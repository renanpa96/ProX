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GOMD\Global Operation Regons (new)\BR\EMS\2021 LGC\ABO general\ABO\PO\Fox\"/>
    </mc:Choice>
  </mc:AlternateContent>
  <bookViews>
    <workbookView xWindow="0" yWindow="120" windowWidth="23000" windowHeight="8780"/>
  </bookViews>
  <sheets>
    <sheet name="PO 9660002112 ACER EE Sep&amp;Oct S" sheetId="1" r:id="rId1"/>
    <sheet name="工作表2" sheetId="3" r:id="rId2"/>
    <sheet name="工作表1" sheetId="2" r:id="rId3"/>
  </sheets>
  <definedNames>
    <definedName name="_xlnm._FilterDatabase" localSheetId="0" hidden="1">'PO 9660002112 ACER EE Sep&amp;Oct S'!$A$1:$O$651</definedName>
    <definedName name="_xlnm._FilterDatabase" localSheetId="2" hidden="1">工作表1!$A$1:$E$549</definedName>
  </definedNames>
  <calcPr calcId="162913" iterateDelta="1E-4"/>
</workbook>
</file>

<file path=xl/calcChain.xml><?xml version="1.0" encoding="utf-8"?>
<calcChain xmlns="http://schemas.openxmlformats.org/spreadsheetml/2006/main">
  <c r="F390" i="1" l="1"/>
  <c r="J390" i="1" l="1"/>
  <c r="J587" i="1"/>
  <c r="J632" i="1"/>
  <c r="J470" i="1"/>
  <c r="J461" i="1"/>
  <c r="J462" i="1"/>
  <c r="J546" i="1"/>
  <c r="J431" i="1"/>
  <c r="J430" i="1"/>
  <c r="J489" i="1"/>
  <c r="J231" i="1"/>
  <c r="J47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3" i="1"/>
  <c r="J464" i="1"/>
  <c r="J465" i="1"/>
  <c r="J466" i="1"/>
  <c r="J467" i="1"/>
  <c r="J468" i="1"/>
  <c r="J469" i="1"/>
  <c r="J472" i="1"/>
  <c r="J473" i="1"/>
  <c r="J474" i="1"/>
  <c r="J475" i="1"/>
  <c r="J476" i="1"/>
  <c r="J477" i="1"/>
  <c r="J479" i="1"/>
  <c r="J481" i="1"/>
  <c r="J482" i="1"/>
  <c r="J483" i="1"/>
  <c r="J484" i="1"/>
  <c r="J485" i="1"/>
  <c r="J486" i="1"/>
  <c r="J487" i="1"/>
  <c r="J488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4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2" i="1"/>
</calcChain>
</file>

<file path=xl/sharedStrings.xml><?xml version="1.0" encoding="utf-8"?>
<sst xmlns="http://schemas.openxmlformats.org/spreadsheetml/2006/main" count="4056" uniqueCount="2007">
  <si>
    <t>Purch.doc.</t>
  </si>
  <si>
    <t>Item</t>
  </si>
  <si>
    <t>Material</t>
  </si>
  <si>
    <t>Short text</t>
  </si>
  <si>
    <t xml:space="preserve">  Quantity</t>
  </si>
  <si>
    <t xml:space="preserve">  Net value</t>
  </si>
  <si>
    <t>NBM code</t>
  </si>
  <si>
    <t>DA6002ES010</t>
  </si>
  <si>
    <t>PCB 34G LA-K093P REV1 MB 2</t>
  </si>
  <si>
    <t>8534.00.51</t>
  </si>
  <si>
    <t>DA6002B1010</t>
  </si>
  <si>
    <t>PCB 34G LS-K091P REV1 IO/B</t>
  </si>
  <si>
    <t>DAB0009501A</t>
  </si>
  <si>
    <t>PCB 30A LA-L191P REV1A MB 4</t>
  </si>
  <si>
    <t>DAB0008K010</t>
  </si>
  <si>
    <t>PCB 3AU LS-L031P REV1 IO/B</t>
  </si>
  <si>
    <t>DAA000Q201C</t>
  </si>
  <si>
    <t>PCB 31Z LA-L181P REV1C MB 4</t>
  </si>
  <si>
    <t>DAA000Q201B</t>
  </si>
  <si>
    <t>PCB 31Z LA-L181P REV1B MB 4</t>
  </si>
  <si>
    <t>DAA000OO01B</t>
  </si>
  <si>
    <t>PCB 3AT LA-K851P REV1B MB 3</t>
  </si>
  <si>
    <t>DAA000OP010</t>
  </si>
  <si>
    <t>PCB 3AT LS-K851P REV1 IO/B</t>
  </si>
  <si>
    <t>DA4002ZE010</t>
  </si>
  <si>
    <t>PCB 3AT LS-K853P REV1 TURBO KEY/B</t>
  </si>
  <si>
    <t>DA2001BL010</t>
  </si>
  <si>
    <t>PCB 3AT LS-K854P REV1 KB/B</t>
  </si>
  <si>
    <t>DA4002ZD010</t>
  </si>
  <si>
    <t>PCB 3AT LS-K852P REV1 HS/B</t>
  </si>
  <si>
    <t>DAA000TV21B</t>
  </si>
  <si>
    <t>PCB 3SY LA-L973P REV1B MB 2</t>
  </si>
  <si>
    <t>DA2001CW010</t>
  </si>
  <si>
    <t>PCB 3SY LS-L973P REV1 KB/B</t>
  </si>
  <si>
    <t>DAA000SG01A</t>
  </si>
  <si>
    <t>PCB 3SY LS-L971P REV1A IO/B</t>
  </si>
  <si>
    <t>DA8001SW01A</t>
  </si>
  <si>
    <t>PCB 3TY LA-M211P REV1A MB 1</t>
  </si>
  <si>
    <t>DA8001SY010</t>
  </si>
  <si>
    <t>PCB 3TY LS-M211P REV1 IO/B</t>
  </si>
  <si>
    <t>SA00009QP00FBA</t>
  </si>
  <si>
    <t>S IC FL 8M W25Q80EWSSIG SOIC 8P</t>
  </si>
  <si>
    <t>8542.32.21</t>
  </si>
  <si>
    <t>SA0000BCG30FB</t>
  </si>
  <si>
    <t>S IC KB9052Q D LQFP 128P EC CONTROLLER</t>
  </si>
  <si>
    <t>SA0000DHJ00FBB</t>
  </si>
  <si>
    <t>S IC FL 16M W25Q16JWSSIQ SOIC 8P SPI ROM</t>
  </si>
  <si>
    <t>SA00003EW10FF</t>
  </si>
  <si>
    <t>S IC FL 8M W25Q80DVSSIG SOIC 8P</t>
  </si>
  <si>
    <t>SA0000BEZ50FF</t>
  </si>
  <si>
    <t>S IC KB9542Q F2 LQFP 128P KEYBOARD CTRL</t>
  </si>
  <si>
    <t>SA0000DHJ00FF</t>
  </si>
  <si>
    <t>SA00003EW10FA</t>
  </si>
  <si>
    <t>SA0000DHJ00FAB</t>
  </si>
  <si>
    <t>SA0000BCG50FG</t>
  </si>
  <si>
    <t>S IC KB9052Q E LQFP 128P EC CONTROLLER</t>
  </si>
  <si>
    <t>SA0000BCG30FG</t>
  </si>
  <si>
    <t>SA0000B8720FG</t>
  </si>
  <si>
    <t>S IC FL 8M FM25Q08B-SOB-T-G SOP 8P</t>
  </si>
  <si>
    <t>SA0000BCG30FH</t>
  </si>
  <si>
    <t>SA000075S30FC</t>
  </si>
  <si>
    <t>8542.31.20</t>
  </si>
  <si>
    <t>SA00009QP00FC</t>
  </si>
  <si>
    <t>SA0000B8720FB</t>
  </si>
  <si>
    <t>SA0000EIN00FB</t>
  </si>
  <si>
    <t>S IC WB24C256-SLPTR SOP 8P EEPROM</t>
  </si>
  <si>
    <t>SA0000BJH10FB</t>
  </si>
  <si>
    <t>S IC FL 8M FM25Q08B-SO-T-G SOP 8P</t>
  </si>
  <si>
    <t>SA0000DUO10FF</t>
  </si>
  <si>
    <t>S IC RTS5452E-GR QFN TYPEC PD CTRL HH514</t>
  </si>
  <si>
    <t>8542.39.39</t>
  </si>
  <si>
    <t>AM3SY000800</t>
  </si>
  <si>
    <t>HH514_VGA_PLATE_ASSY_50</t>
  </si>
  <si>
    <t>8473.30.90.014</t>
  </si>
  <si>
    <t>AM3SY000900</t>
  </si>
  <si>
    <t>HH514_VGA_SHIELDING_ASSY_50</t>
  </si>
  <si>
    <t>AM3SY000A00</t>
  </si>
  <si>
    <t>HH514_CPU_PLATE_ASSY</t>
  </si>
  <si>
    <t>DC06000AIB0</t>
  </si>
  <si>
    <t>DISPLAY_P 20P 613007-020231</t>
  </si>
  <si>
    <t>8536.90.40.007</t>
  </si>
  <si>
    <t>DC23000I700</t>
  </si>
  <si>
    <t>CONN YUQIU PJ032-F07J1BE-A 3.6D 6P AUDIO</t>
  </si>
  <si>
    <t>DC23000IV00</t>
  </si>
  <si>
    <t>CONN SINGATRON 2SJ3095-235111F 6P AUDIO</t>
  </si>
  <si>
    <t>DC23000KM00</t>
  </si>
  <si>
    <t>CONN JIEDUN 3822610001 3.6D 6P AUDIO</t>
  </si>
  <si>
    <t>DC231005600</t>
  </si>
  <si>
    <t>CONN SINGATRON 2DC3207-000111F 3P DC</t>
  </si>
  <si>
    <t>8536.90.40</t>
  </si>
  <si>
    <t>DC231005F00</t>
  </si>
  <si>
    <t>CONN OCTEKCONN DCJ-03AKBWAB 3P DC JACK</t>
  </si>
  <si>
    <t>DC231005K00</t>
  </si>
  <si>
    <t>CONN ACES 30738-11702-002 3.1D DC JACK</t>
  </si>
  <si>
    <t>DC232006X00</t>
  </si>
  <si>
    <t>CONN YUQIU HD112-F19M1BE-A 19P HDMI</t>
  </si>
  <si>
    <t>DC232009100</t>
  </si>
  <si>
    <t>CONN ACON HERA0-AK120C H5.55 19P HDMI2.1</t>
  </si>
  <si>
    <t>DC23300NI00</t>
  </si>
  <si>
    <t>CONN CONTECK 26241-8B19-02 9P USB</t>
  </si>
  <si>
    <t>DC23300X400</t>
  </si>
  <si>
    <t>CONN OCTEK USB-09BSLWAB 9P USB3.0</t>
  </si>
  <si>
    <t>DC23300AI00</t>
  </si>
  <si>
    <t>CONN LOTES AUSB0015-P001A 9P USB3.0 H0.4</t>
  </si>
  <si>
    <t>DC23300XA00</t>
  </si>
  <si>
    <t>CONN OCTEKCONN USB-09BTLWAB 9P USB3.1</t>
  </si>
  <si>
    <t>DC23300X900</t>
  </si>
  <si>
    <t>CONN ACON GTRA0-9V1394 9P USB 3.1</t>
  </si>
  <si>
    <t>DC23300YQ00</t>
  </si>
  <si>
    <t>CONN HEFENG HHF-14A000-2DF 19P HDMI</t>
  </si>
  <si>
    <t>DC233010R00</t>
  </si>
  <si>
    <t>CONN CONTECK 26241A-8B19-02 9P USB3.1</t>
  </si>
  <si>
    <t>DC234007W00</t>
  </si>
  <si>
    <t>CONN SANTA 130460-5 8P RJ45</t>
  </si>
  <si>
    <t>DC23400H900</t>
  </si>
  <si>
    <t>CONN SDAN 601063-008101 8P RJ45</t>
  </si>
  <si>
    <t>DC23400F700</t>
  </si>
  <si>
    <t>CONN SDAN 601051-008041 8P RJ45</t>
  </si>
  <si>
    <t>EC0M5000700</t>
  </si>
  <si>
    <t>QDJ00_RF_CLIP</t>
  </si>
  <si>
    <t>8473.30.90</t>
  </si>
  <si>
    <t>EL3SY000V00</t>
  </si>
  <si>
    <t>HH514_INTEL_CPU_ABSORBER_MYLAR</t>
  </si>
  <si>
    <t>3919.90.90.01</t>
  </si>
  <si>
    <t>EL3SY001400</t>
  </si>
  <si>
    <t>HH514_MB_AL_FOIL_MYLAR</t>
  </si>
  <si>
    <t>EL3SY001900</t>
  </si>
  <si>
    <t>HH514_USB_ABSORBER_MYLAR_R</t>
  </si>
  <si>
    <t>EL3SY001C00</t>
  </si>
  <si>
    <t>HH514_USB_BOARD_ADSORBER_MYLAR</t>
  </si>
  <si>
    <t>EL3SY001D00</t>
  </si>
  <si>
    <t>HH514_USB_BOARD_TOP_AL_MYLAR</t>
  </si>
  <si>
    <t>EL3SY001F00</t>
  </si>
  <si>
    <t>HH514_MB_TOP_USB_AL_MYLAR</t>
  </si>
  <si>
    <t>ES000008700</t>
  </si>
  <si>
    <t>STANDOFF 1.5H 4.5D 0.8H 3.0D M2 C</t>
  </si>
  <si>
    <t>7318.19.00</t>
  </si>
  <si>
    <t>ES000009R00</t>
  </si>
  <si>
    <t>STANDOFF 2.5H 5D 0.8H 3.0D M2.0 C</t>
  </si>
  <si>
    <t>7318.16.00</t>
  </si>
  <si>
    <t>ES00000AA00</t>
  </si>
  <si>
    <t>STANDOFF 2.2H 4.0D 1.05H 3.1D M2.0 A</t>
  </si>
  <si>
    <t>ES00000F600</t>
  </si>
  <si>
    <t>STANDOFF 1.4H 4.5D 0.7H 3.1D M2 A</t>
  </si>
  <si>
    <t>ES00000JB00</t>
  </si>
  <si>
    <t>STANDOFF 1.4H 5.0D 1.1H 3.1D M2 A</t>
  </si>
  <si>
    <t>SA00002AI00</t>
  </si>
  <si>
    <t>S IC KC3810NF A0 QFN 24P</t>
  </si>
  <si>
    <t>SA00003K300</t>
  </si>
  <si>
    <t>S IC G718TM1U SOT23 8P OTP</t>
  </si>
  <si>
    <t>SA00004JV00</t>
  </si>
  <si>
    <t>S IC RT9297GQW WDFN 10P PWM</t>
  </si>
  <si>
    <t>SA00004ZA00</t>
  </si>
  <si>
    <t>S IC AP2330W-7 SC59 3P PWR SW</t>
  </si>
  <si>
    <t>SA741320110</t>
  </si>
  <si>
    <t>S IC 74AHC1G32GW SOT353 5P OR GATE</t>
  </si>
  <si>
    <t>SA00000OJ00</t>
  </si>
  <si>
    <t>S IC MC74VHC1G32DFT2G SC70 5P OR</t>
  </si>
  <si>
    <t>SA00005U600</t>
  </si>
  <si>
    <t>S IC 74AUP1G07GW TSSOP 5P BUFFER</t>
  </si>
  <si>
    <t>SA00005VV20</t>
  </si>
  <si>
    <t>S IC FL 128M W25Q128JVSIQ SOIC8P SPI ROM</t>
  </si>
  <si>
    <t>SA0000CEN00</t>
  </si>
  <si>
    <t>S IC G788P81U MSOP 8P TEMP. SENSOR</t>
  </si>
  <si>
    <t>SA00006Y800</t>
  </si>
  <si>
    <t>S IC G524B1T11U SOT-23 5P POWER SWITCH</t>
  </si>
  <si>
    <t>SA00009CW00</t>
  </si>
  <si>
    <t>S IC EM5202DV DFN3X3 8P LOAD SWITCH</t>
  </si>
  <si>
    <t>SA000071S00</t>
  </si>
  <si>
    <t>S IC RT9059GQW WDFN 10P LDO</t>
  </si>
  <si>
    <t>SA00007IH00</t>
  </si>
  <si>
    <t>S IC RT8207PGQW WQFN 20P PWM</t>
  </si>
  <si>
    <t>SA00007JU10</t>
  </si>
  <si>
    <t>S IC PS8527CTQFN20GTR2-A2 TQFN RE-DRIVER</t>
  </si>
  <si>
    <t>SA00007MN10</t>
  </si>
  <si>
    <t>S IC G5719CRC1U TDFN 8P REGULATOR</t>
  </si>
  <si>
    <t>SA00007PM00</t>
  </si>
  <si>
    <t>S IC EM5209VF DFN 14P DUAL LOAD SW</t>
  </si>
  <si>
    <t>SA00007QP00</t>
  </si>
  <si>
    <t>S IC SY8003ADFC DFN 8P PWM</t>
  </si>
  <si>
    <t>SA0000F1600</t>
  </si>
  <si>
    <t>S IC RTL8111H-VB-CGT QFN 32P E-LAN CTRL</t>
  </si>
  <si>
    <t>SA00008CH00</t>
  </si>
  <si>
    <t>S IC G753T11U SOT-23 5P TEMP.SENSOR</t>
  </si>
  <si>
    <t>SA00008FS00</t>
  </si>
  <si>
    <t>S IC RT9069-50GB SOT23 5P LDO</t>
  </si>
  <si>
    <t>SA00008J200</t>
  </si>
  <si>
    <t>S IC SY8286BRAC QFN 20P PWM</t>
  </si>
  <si>
    <t>SA00008R600</t>
  </si>
  <si>
    <t>S IC EM5201V DFN3X3 8P LOAD SWITCH</t>
  </si>
  <si>
    <t>SA000091700</t>
  </si>
  <si>
    <t>S IC SY8288BRAC QFN 20P PWM</t>
  </si>
  <si>
    <t>SA000097E10</t>
  </si>
  <si>
    <t>S IC SLGC55544CVTR TQFN 16P USB CHARGE</t>
  </si>
  <si>
    <t>SA000099200</t>
  </si>
  <si>
    <t>S IC SY8286RAC QFN 20P PWM</t>
  </si>
  <si>
    <t>SA00009G000</t>
  </si>
  <si>
    <t>S IC TCS40DPR SOT-23F 3P HALL SENSOR</t>
  </si>
  <si>
    <t>SA00009KY30</t>
  </si>
  <si>
    <t>S IC FL 128M W25Q128JWSIQ SOIC8P SPI ROM</t>
  </si>
  <si>
    <t>SA00009PH10</t>
  </si>
  <si>
    <t>S IC FL 128M GD25LB128DSIGR SOP 8P SPI</t>
  </si>
  <si>
    <t>SA00009R700</t>
  </si>
  <si>
    <t>S IC TUSB546 QFN 40P USB3.1 DP SWITCH</t>
  </si>
  <si>
    <t>SA0000A5500</t>
  </si>
  <si>
    <t>S IC RT9610CGQW WDFN 8P MOSFET DRIVER -D</t>
  </si>
  <si>
    <t>SA0000A5L00</t>
  </si>
  <si>
    <t>S IC ALC295-CG MQFN 48P AUDIO CODEC</t>
  </si>
  <si>
    <t>SA0000A6B00</t>
  </si>
  <si>
    <t>S IC BQ24781RUYR WQFN 28P PWM</t>
  </si>
  <si>
    <t>8542.39.31</t>
  </si>
  <si>
    <t>SA0000AC390</t>
  </si>
  <si>
    <t>S IC PS8409AQFN48GTR2-C0 QFN48P REPEATER</t>
  </si>
  <si>
    <t>SA0000ACG00</t>
  </si>
  <si>
    <t>S IC G9661MF11U SOP 8P LDO</t>
  </si>
  <si>
    <t>SA0000AO500</t>
  </si>
  <si>
    <t>S IC YB8251PST23 PSOT23 3P HALL SENSOR</t>
  </si>
  <si>
    <t>SA0000AOI30</t>
  </si>
  <si>
    <t>S IC NCP302045MNTWG DRMOS 1901AFTER -D</t>
  </si>
  <si>
    <t>SA0000D1P00</t>
  </si>
  <si>
    <t>S IC AOZ5116QI QFN 31P DR.MOS -D</t>
  </si>
  <si>
    <t>SA0000B8400</t>
  </si>
  <si>
    <t>S IC FL 128M XM25QH128AHIGT SOP 8P</t>
  </si>
  <si>
    <t>SA0000BBT00</t>
  </si>
  <si>
    <t>S IC RT6543AGQW WQFN 20P CORE POWER</t>
  </si>
  <si>
    <t>SA0000BDN00</t>
  </si>
  <si>
    <t>S IC SY6861B1ABC SOT23 6P PWR SW</t>
  </si>
  <si>
    <t>SA0000BIO00</t>
  </si>
  <si>
    <t>S IC NL17SZ07EDFT2G SC70 5P BUFFER</t>
  </si>
  <si>
    <t>SA0000BIP00</t>
  </si>
  <si>
    <t>S IC MC74VHC1G08EDFT2G SC70 5P AND</t>
  </si>
  <si>
    <t>SA0000BJI00</t>
  </si>
  <si>
    <t>S IC NL17SZ08EDFT2G SOT-353 5P AND GATE</t>
  </si>
  <si>
    <t>SA0000BYT00</t>
  </si>
  <si>
    <t>S IC JW5068AQFNF#TRPBF QFN 20P CONVERTER</t>
  </si>
  <si>
    <t>SA0000BYV00</t>
  </si>
  <si>
    <t>S IC RT6258CGQUF UQFN 12P CONVERTER</t>
  </si>
  <si>
    <t>SA0000C3L00</t>
  </si>
  <si>
    <t>S IC RTS5441E-GRT QFN 24P TPYE-C PD CTRL</t>
  </si>
  <si>
    <t>SA0000C5300</t>
  </si>
  <si>
    <t>S IC RT8816BGQW WQFN 20P PWM</t>
  </si>
  <si>
    <t>SA0000C7900</t>
  </si>
  <si>
    <t>S IC UP9512QQKI WQFN4X4 32P BUCK CONTROL</t>
  </si>
  <si>
    <t>SA0000C7W00</t>
  </si>
  <si>
    <t>S IC SY8388BRHC QFN 16P PWM</t>
  </si>
  <si>
    <t>SA0000C8300</t>
  </si>
  <si>
    <t>S IC 74AUP1G32GW TSSOP 5P OR</t>
  </si>
  <si>
    <t>SA0000C9300</t>
  </si>
  <si>
    <t>S IC QD9619AQR1 VQFN 41P DR.MOS -D</t>
  </si>
  <si>
    <t>SA0000CCP10</t>
  </si>
  <si>
    <t>S IC ALC256M-CG MQFN 48P CODEC 0FA</t>
  </si>
  <si>
    <t>SA0000CMA00</t>
  </si>
  <si>
    <t>S IC US5650QQKI WQFN 32P POWER MONITOR</t>
  </si>
  <si>
    <t>SA0000CQX00</t>
  </si>
  <si>
    <t>S IC NCP45492XMNTWG QFN 32P MONITOR</t>
  </si>
  <si>
    <t>SA0000D4D00</t>
  </si>
  <si>
    <t>S IC FL 256M W25Q256JVEIN WSON8P SPI ROM</t>
  </si>
  <si>
    <t>SA0000D5C00</t>
  </si>
  <si>
    <t>S IC G2894KD1U TDFN2X3 14P DUAL LOAD SW</t>
  </si>
  <si>
    <t>SA0000D6U00</t>
  </si>
  <si>
    <t>S IC RT3663BRGQW WQFN 52P PWM</t>
  </si>
  <si>
    <t>SA0000D7R00</t>
  </si>
  <si>
    <t>S IC BQ24800RUYR WQFN 28P PWM</t>
  </si>
  <si>
    <t>SA0000DAN00</t>
  </si>
  <si>
    <t>S IC GL9930T-OGY10 QFN24 PCIE GEN3/SATA3</t>
  </si>
  <si>
    <t>SA0000DH100</t>
  </si>
  <si>
    <t>S IC SLG4U43858VTR STQFN 20P LOGIC SOC</t>
  </si>
  <si>
    <t>SA0000DJD00</t>
  </si>
  <si>
    <t>S IC NCP81269MNTXG QFN 20P PWM</t>
  </si>
  <si>
    <t>SA0000DOH00</t>
  </si>
  <si>
    <t>S IC NCP81307MNTXG QFN 40P CONTROLLER</t>
  </si>
  <si>
    <t>SA0000DSK00</t>
  </si>
  <si>
    <t>S IC G788-1P81U MSOP 8P TEMP.SENSOR</t>
  </si>
  <si>
    <t>SA0000DUO40</t>
  </si>
  <si>
    <t>S IC RTS5452E-GR QFN TYPEC PD CTRL HH4O4</t>
  </si>
  <si>
    <t>SA0000DXM00</t>
  </si>
  <si>
    <t>S IC PS8719ETQFN24GTR2-A0 USB3.1 REPEATE</t>
  </si>
  <si>
    <t>SA0000DZ000</t>
  </si>
  <si>
    <t>S IC SLG4U44276VTR STQFN 20P LOGIC SOC</t>
  </si>
  <si>
    <t>SA0000E0S00</t>
  </si>
  <si>
    <t>S IC FL 256M GD25LB256EYIGR WSON SPI ROM</t>
  </si>
  <si>
    <t>SA0000E3G10</t>
  </si>
  <si>
    <t>S IC RT1738AGQW(2) WQFN 20P PROTECTOR</t>
  </si>
  <si>
    <t>SA0000E3K10</t>
  </si>
  <si>
    <t>S IC TPS65991ADRSMR VQFN 32P USB PD</t>
  </si>
  <si>
    <t>SA0000E6600</t>
  </si>
  <si>
    <t>S IC RT3624BEGQW WQFN 52P PWM</t>
  </si>
  <si>
    <t>SA0000E7Q00</t>
  </si>
  <si>
    <t>S IC AOZ5016QI QFN 31P DR.MOS -D</t>
  </si>
  <si>
    <t>SA0000EA900</t>
  </si>
  <si>
    <t>S IC G9103-180N61U UDFN 4P LDO</t>
  </si>
  <si>
    <t>SA0000EAE00</t>
  </si>
  <si>
    <t>S IC GL9901NT-OGY10 QFN24 USB3.1 10 GBPS</t>
  </si>
  <si>
    <t>SA0000CJU00</t>
  </si>
  <si>
    <t>S IC TPS51486RJER VQFN 18P DDR POWER</t>
  </si>
  <si>
    <t>SA0000FHY00</t>
  </si>
  <si>
    <t>S IC GL9901VT-OGY11 QFN24 USB3.1 10 GBP</t>
  </si>
  <si>
    <t>SB000009Q80</t>
  </si>
  <si>
    <t>S TR 2N7002KW 1N SOT323-3 -D</t>
  </si>
  <si>
    <t>8541.21.20</t>
  </si>
  <si>
    <t>SB00000EO00</t>
  </si>
  <si>
    <t>S TR 2N7002KDW 2N SOT-363-6 PANJIT -D</t>
  </si>
  <si>
    <t>SB00000VY00</t>
  </si>
  <si>
    <t>S TR LSK3541G1ET2L 1N VMT3</t>
  </si>
  <si>
    <t>SB00000W600</t>
  </si>
  <si>
    <t>S TR MMDT3906 2PNP SOT363-6 -D</t>
  </si>
  <si>
    <t>SB00001HV00</t>
  </si>
  <si>
    <t>S TR EMB12N03V 1N EDFN3X3-8 -D</t>
  </si>
  <si>
    <t>8541.29.20</t>
  </si>
  <si>
    <t>SB000011K00</t>
  </si>
  <si>
    <t>S TR LMUN5236T1G NPN SOT323-3 -D</t>
  </si>
  <si>
    <t>SB000013V00</t>
  </si>
  <si>
    <t>S TR LMBT3904WT1G NPN SC70-3 -D</t>
  </si>
  <si>
    <t>SB000016K00</t>
  </si>
  <si>
    <t>S TR PJT138KA 2N SOT363-6 -D</t>
  </si>
  <si>
    <t>SB00001AZ00</t>
  </si>
  <si>
    <t>S TR AOE6930 2N DFN5X6E -D</t>
  </si>
  <si>
    <t>SB00001F700</t>
  </si>
  <si>
    <t>S TR AON6403 1P DFN5X6-8 -D</t>
  </si>
  <si>
    <t>SB00001FN00</t>
  </si>
  <si>
    <t>S TR LBSS139DW1T1G 2N SOT-363-6 ESD -D</t>
  </si>
  <si>
    <t>SB00001GC00</t>
  </si>
  <si>
    <t>S TR LBSS139WT1G 1N SC70-3 -D</t>
  </si>
  <si>
    <t>SB00001GD00</t>
  </si>
  <si>
    <t>S TR LBSS139LT1G 1N SOT-23-3 -D</t>
  </si>
  <si>
    <t>SB00001UV00</t>
  </si>
  <si>
    <t>S TR 2N7002KWN?TH?WS 1N SOT-323-3 -D</t>
  </si>
  <si>
    <t>SB00000VS10</t>
  </si>
  <si>
    <t>S TR EMB09N03V 1N EDFN3X3-8</t>
  </si>
  <si>
    <t>SB00001HH00</t>
  </si>
  <si>
    <t>S TR EMB09A03VP 2N EDFN3X3-8 -D</t>
  </si>
  <si>
    <t>SB00001IC00</t>
  </si>
  <si>
    <t>S TR PK5N2EA 1N PDFN5X6P -D</t>
  </si>
  <si>
    <t>SB00001LB00</t>
  </si>
  <si>
    <t>S TR LBSS260DW1T1G 2N SOT-363-6 -D</t>
  </si>
  <si>
    <t>SB00001LC00</t>
  </si>
  <si>
    <t>S TR EMP21N03HC 1N EDFN5X6-8 -D</t>
  </si>
  <si>
    <t>SB00001M300</t>
  </si>
  <si>
    <t>S TR LBSS84ELT1G 1P SOT23-3 -D</t>
  </si>
  <si>
    <t>SB00001M800</t>
  </si>
  <si>
    <t>S TR WPM5001-3/TR 1P SOT23-3 -D</t>
  </si>
  <si>
    <t>SB00001BX00</t>
  </si>
  <si>
    <t>S TR EMZB08P03V 1P EDFN3X3-8 -D</t>
  </si>
  <si>
    <t>SB00001OQ00</t>
  </si>
  <si>
    <t>S TR AONR21321 1P DFN 3X3 EP -D</t>
  </si>
  <si>
    <t>SB00001P000</t>
  </si>
  <si>
    <t>S TR AONY36352 2N DFN5X6D-8</t>
  </si>
  <si>
    <t>SB00001RP00</t>
  </si>
  <si>
    <t>S TR AONR32320C 1N DFN3X3EP</t>
  </si>
  <si>
    <t>SB00001W100</t>
  </si>
  <si>
    <t>S TR EMP18K03HPCS 2N EDFN5X6-8</t>
  </si>
  <si>
    <t>SB00001ZF00</t>
  </si>
  <si>
    <t>S TR 2N7002KDW-TP 2N SOT-363-6 -D</t>
  </si>
  <si>
    <t>SC300001G00</t>
  </si>
  <si>
    <t>S DIO(BR) AZC099-04S.R7G SOT23 ESD</t>
  </si>
  <si>
    <t>SC300001Y00</t>
  </si>
  <si>
    <t>S DIO(BR) AZ1045-04F.R7G DFN2510P10E ESD</t>
  </si>
  <si>
    <t>SC300007500</t>
  </si>
  <si>
    <t>S DIO(BR) SYT05S05ABC SOT23-6L ESD</t>
  </si>
  <si>
    <t>8541.10.29</t>
  </si>
  <si>
    <t>SC400005D00</t>
  </si>
  <si>
    <t>S ZEN DIO BZT52-B5V1S SOD323-2</t>
  </si>
  <si>
    <t>8541.10.21</t>
  </si>
  <si>
    <t>SC40000AT00</t>
  </si>
  <si>
    <t>S ZEN DIO PESD5V0H1BSF SOD962-2</t>
  </si>
  <si>
    <t>SC40000H800</t>
  </si>
  <si>
    <t>S ZEN DIO AZ5B8S-01F.R7G DFN0603P2Y ESD</t>
  </si>
  <si>
    <t>SC500009H10</t>
  </si>
  <si>
    <t>S LED LTST-C295TBKFKT-CA 0603 BLUE/ORG</t>
  </si>
  <si>
    <t>8541.41.21</t>
  </si>
  <si>
    <t>SC50000RZ00</t>
  </si>
  <si>
    <t>S LED LTST-S326TBKFKT 3X2X1 ORANGE/BLUE</t>
  </si>
  <si>
    <t>SC600001Q00</t>
  </si>
  <si>
    <t>S DIO ROW LBAV70WT1G 3P C/C SC70 DUAL SW</t>
  </si>
  <si>
    <t>SCA00004410</t>
  </si>
  <si>
    <t>S ZEN ROW CEST23LC3V3B-M 3P C/A SOT-23</t>
  </si>
  <si>
    <t>SC300006T00</t>
  </si>
  <si>
    <t>S DIO(BR) AZ176S-04F.R7G DFN2510P10E</t>
  </si>
  <si>
    <t>SCA00004300</t>
  </si>
  <si>
    <t>S ZEN ROW CEST23LC5VB C/A SOT-23 USB2.0</t>
  </si>
  <si>
    <t>SCA00004500</t>
  </si>
  <si>
    <t>S ZEN ROW CEST23NC24VU 3P C/A SOT23 BATT</t>
  </si>
  <si>
    <t>SCS00001200</t>
  </si>
  <si>
    <t>S SCH DIO BAS40CW SOT-323</t>
  </si>
  <si>
    <t>8541.10.22</t>
  </si>
  <si>
    <t>SCS00006300</t>
  </si>
  <si>
    <t>S SCH DIO RB751S-40 SOD-523 PANJIT</t>
  </si>
  <si>
    <t>SCS00007G00</t>
  </si>
  <si>
    <t>S SCH DIO LBAT54ALT1G SOT23-3</t>
  </si>
  <si>
    <t>SCS00009500</t>
  </si>
  <si>
    <t>S SCH DIO LRB751V-40T1G SOD-323</t>
  </si>
  <si>
    <t>SCS0000FD00</t>
  </si>
  <si>
    <t>S SCH DIO SS32FL SOD-123FL</t>
  </si>
  <si>
    <t>SCS0000I300</t>
  </si>
  <si>
    <t>S SCH DIO RB751V-40 SOD-323 TITAN MICRO</t>
  </si>
  <si>
    <t>SCS0000AV00</t>
  </si>
  <si>
    <t>S SCH DIO LBAT54CLT1G SOT-23</t>
  </si>
  <si>
    <t>SD000001580</t>
  </si>
  <si>
    <t>S RES 1/16W 56.2K +-1% 0402</t>
  </si>
  <si>
    <t>8533.21.20</t>
  </si>
  <si>
    <t>SD000001B80</t>
  </si>
  <si>
    <t>S RES 1/16W 240K +-1% 0402</t>
  </si>
  <si>
    <t>SD000002780</t>
  </si>
  <si>
    <t>S RES 1/16W 82.5K +-1% 0402</t>
  </si>
  <si>
    <t>SD000004100</t>
  </si>
  <si>
    <t>S RES 1/16W 8.2K +-1% 0402</t>
  </si>
  <si>
    <t>SD000004200</t>
  </si>
  <si>
    <t>S RES 1/16W 243K +-1% 0402</t>
  </si>
  <si>
    <t>SD000004C00</t>
  </si>
  <si>
    <t>S RES 1/16W 1.21K +-1% 0402</t>
  </si>
  <si>
    <t>SD000005V00</t>
  </si>
  <si>
    <t>S RES 1/16W 2 +-1% 0402</t>
  </si>
  <si>
    <t>SD000006580</t>
  </si>
  <si>
    <t>S RES 1/16W 3.16K +-1% 0402</t>
  </si>
  <si>
    <t>SD000006A80</t>
  </si>
  <si>
    <t>S RES 1/16W 6.8K +-1% 0402</t>
  </si>
  <si>
    <t>SD000006T80</t>
  </si>
  <si>
    <t>S RES 1/10W 4.7 +-1% 0603</t>
  </si>
  <si>
    <t>SD000007G00</t>
  </si>
  <si>
    <t>S RES 1/20W 20K +-1% 0201</t>
  </si>
  <si>
    <t>SD000007M00</t>
  </si>
  <si>
    <t>S RES 1/20W 470 +-1% 0201</t>
  </si>
  <si>
    <t>SD000008O80</t>
  </si>
  <si>
    <t>S RES 1/16W 649 +-1% 0402</t>
  </si>
  <si>
    <t>SD000009K00</t>
  </si>
  <si>
    <t>S RES 1/16W 41.2K +-1% 0402</t>
  </si>
  <si>
    <t>SD000009M80</t>
  </si>
  <si>
    <t>S RES 1/16W 2.61K +-1% 0402</t>
  </si>
  <si>
    <t>SD000009P80</t>
  </si>
  <si>
    <t>S RES 1/16W 1.4K +-1% 0402</t>
  </si>
  <si>
    <t>SD000009T80</t>
  </si>
  <si>
    <t>S RES 1/16W 240 +-1% 0402</t>
  </si>
  <si>
    <t>SD00000AI80</t>
  </si>
  <si>
    <t>S RES 1/20W 200 +-1% 0201</t>
  </si>
  <si>
    <t>SD00000AJ80</t>
  </si>
  <si>
    <t>S RES 1/16W 12.4K +-1% 0402</t>
  </si>
  <si>
    <t>SD00000AL80</t>
  </si>
  <si>
    <t>S RES 1/16W 750K +-1% 0402</t>
  </si>
  <si>
    <t>SD00000EL80</t>
  </si>
  <si>
    <t>S RES 1/16W 487 +-1% 0402</t>
  </si>
  <si>
    <t>SD00000GM80</t>
  </si>
  <si>
    <t>S RES 1/16W 6.2K +-1% 0402</t>
  </si>
  <si>
    <t>SD00000GW80</t>
  </si>
  <si>
    <t>S RES 1/16W 3.3K +-1% 0402</t>
  </si>
  <si>
    <t>SD00000IU00</t>
  </si>
  <si>
    <t>S RES 1/20W 200K +-1% 0201</t>
  </si>
  <si>
    <t>SD00000J180</t>
  </si>
  <si>
    <t>S RES 1/16W 2.2 +-1% 0402</t>
  </si>
  <si>
    <t>SD00000J480</t>
  </si>
  <si>
    <t>S RES 1/16W 1.05K +-1% 0402</t>
  </si>
  <si>
    <t>SD00000K820</t>
  </si>
  <si>
    <t>S RES 1W 0.01 +-1% 1206 100PPM/C</t>
  </si>
  <si>
    <t>SD00000K980</t>
  </si>
  <si>
    <t>S RES 1/16W 4.64K +-1% 0402</t>
  </si>
  <si>
    <t>SD00000KV80</t>
  </si>
  <si>
    <t>S RES 1/16W 953 +-1% 0402</t>
  </si>
  <si>
    <t>SD00000L580</t>
  </si>
  <si>
    <t>S RES 1/16W 3M +-5% 0402</t>
  </si>
  <si>
    <t>SD00000LG80</t>
  </si>
  <si>
    <t>S RES 1/20W 39 +-5% 0201</t>
  </si>
  <si>
    <t>SD00000LH80</t>
  </si>
  <si>
    <t>S RES 1/20W 33 +-5% 0201</t>
  </si>
  <si>
    <t>SD00000R580</t>
  </si>
  <si>
    <t>S RES 1/16W 1.8K +-1% 0402</t>
  </si>
  <si>
    <t>SD00000RT00</t>
  </si>
  <si>
    <t>S RES 1/16W 36K +-1% 0402</t>
  </si>
  <si>
    <t>SD00000TH00</t>
  </si>
  <si>
    <t>S RES 1/20W 2.2K +-1% 0201</t>
  </si>
  <si>
    <t>SD00000TO00</t>
  </si>
  <si>
    <t>S RES 1/20W 49.9 +-1% 0201</t>
  </si>
  <si>
    <t>SD00000U200</t>
  </si>
  <si>
    <t>S RES 1/16W 4.3K +-1% 0402</t>
  </si>
  <si>
    <t>SD00000UV00</t>
  </si>
  <si>
    <t>S RES 1/16W 3.6K +-1% 0402</t>
  </si>
  <si>
    <t>SD00000WS80</t>
  </si>
  <si>
    <t>S RES 1/16W 2.32K +-1% 0402</t>
  </si>
  <si>
    <t>SD00000X880</t>
  </si>
  <si>
    <t>S RES 1/16W 3.9 +-1% 0402</t>
  </si>
  <si>
    <t>SD00000XK80</t>
  </si>
  <si>
    <t>S RES 1/16W 887 +-1% 0402</t>
  </si>
  <si>
    <t>SD00000YG80</t>
  </si>
  <si>
    <t>S RES 1/20W 220K +-1% 0201</t>
  </si>
  <si>
    <t>SD00000YK00</t>
  </si>
  <si>
    <t>S RES 1/20W 150 +-1% 0201</t>
  </si>
  <si>
    <t>SD00000YQ00</t>
  </si>
  <si>
    <t>S RES 1/20W 20 +-5% 0201</t>
  </si>
  <si>
    <t>SD000010J80</t>
  </si>
  <si>
    <t>S RES 1/20W 56 +-1% 0201</t>
  </si>
  <si>
    <t>SD000012D80</t>
  </si>
  <si>
    <t>S RES 1/20W 60.4 +-1% 0201</t>
  </si>
  <si>
    <t>SD000012E80</t>
  </si>
  <si>
    <t>S RES 1/20W 10M +-5% 0201</t>
  </si>
  <si>
    <t>SD000012O80</t>
  </si>
  <si>
    <t>S RES 1/20W 51 +-5% 0201</t>
  </si>
  <si>
    <t>SD000012R80</t>
  </si>
  <si>
    <t>S RES 1/20W 2.2K +-5% 0201</t>
  </si>
  <si>
    <t>SD000014400</t>
  </si>
  <si>
    <t>S RES 1/20W 49.9K +-1% 0201</t>
  </si>
  <si>
    <t>SD000016U00</t>
  </si>
  <si>
    <t>S RES 2W 0.005 +-1% 2512 100PPM/C</t>
  </si>
  <si>
    <t>SD000017700</t>
  </si>
  <si>
    <t>S RES 1/16W 309 +-1% 0402</t>
  </si>
  <si>
    <t>SD000017H00</t>
  </si>
  <si>
    <t>S RES 1/20W 2.2 +-1% 0201</t>
  </si>
  <si>
    <t>SD000017M00</t>
  </si>
  <si>
    <t>S RES 1/20W 30 +-5% 0201</t>
  </si>
  <si>
    <t>SD000017R00</t>
  </si>
  <si>
    <t>S RES 1W 0.005 +-1% 1206 100PPM/C</t>
  </si>
  <si>
    <t>SD000018H00</t>
  </si>
  <si>
    <t>S RES 1/20W 11K +-1% 0201</t>
  </si>
  <si>
    <t>SD00001FA00</t>
  </si>
  <si>
    <t>S RES 1/20W 499 +-1% 0201</t>
  </si>
  <si>
    <t>SD00001JX00</t>
  </si>
  <si>
    <t>S RES 1/20W 113 +-1% 0201</t>
  </si>
  <si>
    <t>SD00001RP00</t>
  </si>
  <si>
    <t>S RES 1/20W 62 +-1% 0201</t>
  </si>
  <si>
    <t>SD00001V900</t>
  </si>
  <si>
    <t>S RES 1/20W 75K +-5% 0201</t>
  </si>
  <si>
    <t>SD000020A00</t>
  </si>
  <si>
    <t>S RES 1/20W 10M +-1% 0201</t>
  </si>
  <si>
    <t>SD000023200</t>
  </si>
  <si>
    <t>S RES 1/20W 5.6 +-1% 0201</t>
  </si>
  <si>
    <t>SD000023300</t>
  </si>
  <si>
    <t>S RES 1/20W 13 +-5% 0201</t>
  </si>
  <si>
    <t>SD000024G00</t>
  </si>
  <si>
    <t>S RES 1/20W 4.75K +-0.5% 0201</t>
  </si>
  <si>
    <t>SD001470B80</t>
  </si>
  <si>
    <t>S RES 1/4W 4.7 +-5% 1206</t>
  </si>
  <si>
    <t>SD002000080</t>
  </si>
  <si>
    <t>S RES 1/8W 0 +-5% 0805</t>
  </si>
  <si>
    <t>SD002100A80</t>
  </si>
  <si>
    <t>S RES 1/8W 10 +-5% 0805</t>
  </si>
  <si>
    <t>SD002220B80</t>
  </si>
  <si>
    <t>S RES 1/8W 2.2 +-5% 0805</t>
  </si>
  <si>
    <t>SD002470180</t>
  </si>
  <si>
    <t>S RES 1/8W 4.7K +-5% 0805</t>
  </si>
  <si>
    <t>SD002470B80</t>
  </si>
  <si>
    <t>S RES 1/8W 4.7 +-5% 0805</t>
  </si>
  <si>
    <t>SD008220B80</t>
  </si>
  <si>
    <t>S RES 1/8W 2.2 +-1% 0805</t>
  </si>
  <si>
    <t>SD011100A80</t>
  </si>
  <si>
    <t>S RES 1/4W 10 +-5% 1206</t>
  </si>
  <si>
    <t>SD013000080</t>
  </si>
  <si>
    <t>S RES 1/10W 0 +-5% 0603</t>
  </si>
  <si>
    <t>SD013100B80</t>
  </si>
  <si>
    <t>S RES 1/10W 1 +-5% 0603</t>
  </si>
  <si>
    <t>SD013220B80</t>
  </si>
  <si>
    <t>S RES 1/10W 2.2 +-5% 0603</t>
  </si>
  <si>
    <t>SD013470B80</t>
  </si>
  <si>
    <t>S RES 1/10W 4.7 +-5% 0603</t>
  </si>
  <si>
    <t>SD013510B80</t>
  </si>
  <si>
    <t>S RES 1/10W 5.1 +-5% 0603</t>
  </si>
  <si>
    <t>SD014100A80</t>
  </si>
  <si>
    <t>S RES 1/10W 10 +-1% 0603</t>
  </si>
  <si>
    <t>SD014100B80</t>
  </si>
  <si>
    <t>S RES 1/10W 1 +-1% 0603</t>
  </si>
  <si>
    <t>SD014178380</t>
  </si>
  <si>
    <t>S RES 1/10W 178K +-1% 0603</t>
  </si>
  <si>
    <t>SD014220B80</t>
  </si>
  <si>
    <t>S RES 1/10W 2.2 +-1% 0603</t>
  </si>
  <si>
    <t>SD014510A80</t>
  </si>
  <si>
    <t>S RES 1/10W 51 +-1% 0603</t>
  </si>
  <si>
    <t>SD014619280</t>
  </si>
  <si>
    <t>S RES 1/10W 61.9K +-1% 0603</t>
  </si>
  <si>
    <t>SD014887180</t>
  </si>
  <si>
    <t>S RES 1/10W 8.87K +-1% 0603</t>
  </si>
  <si>
    <t>SD028000080</t>
  </si>
  <si>
    <t>S RES 1/16W 0 +-5% 0402</t>
  </si>
  <si>
    <t>SD028100080</t>
  </si>
  <si>
    <t>S RES 1/16W 100 +-5% 0402</t>
  </si>
  <si>
    <t>SD028100180</t>
  </si>
  <si>
    <t>S RES 1/16W 1K +-5% 0402</t>
  </si>
  <si>
    <t>SD028100280</t>
  </si>
  <si>
    <t>S RES 1/16W 10K +-5% 0402</t>
  </si>
  <si>
    <t>SD028100380</t>
  </si>
  <si>
    <t>S RES 1/16W 100K +-5% 0402</t>
  </si>
  <si>
    <t>SD028100480</t>
  </si>
  <si>
    <t>S RES 1/16W 1M +-5% 0402</t>
  </si>
  <si>
    <t>SD028102380</t>
  </si>
  <si>
    <t>S RES 1/16W 102K +-1% 0402</t>
  </si>
  <si>
    <t>SD028150280</t>
  </si>
  <si>
    <t>S RES 1/16W 15K +-5% 0402</t>
  </si>
  <si>
    <t>SD028200180</t>
  </si>
  <si>
    <t>S RES 1/16W 2K +-5% 0402</t>
  </si>
  <si>
    <t>SD028200A80</t>
  </si>
  <si>
    <t>S RES 1/16W 20 +-5% 0402</t>
  </si>
  <si>
    <t>SD028200B80</t>
  </si>
  <si>
    <t>S RES 1/16W 2 +-5% 0402</t>
  </si>
  <si>
    <t>SD028220180</t>
  </si>
  <si>
    <t>S RES 1/16W 2.2K +-5% 0402</t>
  </si>
  <si>
    <t>SD028220280</t>
  </si>
  <si>
    <t>S RES 1/16W 22K +-5% 0402</t>
  </si>
  <si>
    <t>SD028220B80</t>
  </si>
  <si>
    <t>S RES 1/16W 2.2 +-5% 0402</t>
  </si>
  <si>
    <t>SD028330A80</t>
  </si>
  <si>
    <t>S RES 1/16W 33 +-5% 0402</t>
  </si>
  <si>
    <t>SD028430180</t>
  </si>
  <si>
    <t>S RES 1/16W 4.3K +-5% 0402</t>
  </si>
  <si>
    <t>SD028470080</t>
  </si>
  <si>
    <t>S RES 1/16W 470 +-5% 0402</t>
  </si>
  <si>
    <t>SD028470180</t>
  </si>
  <si>
    <t>S RES 1/16W 4.7K +-5% 0402</t>
  </si>
  <si>
    <t>SD028470280</t>
  </si>
  <si>
    <t>S RES 1/16W 47K +-5% 0402</t>
  </si>
  <si>
    <t>SD028470380</t>
  </si>
  <si>
    <t>S RES 1/16W 470K +-5% 0402</t>
  </si>
  <si>
    <t>SD028470A80</t>
  </si>
  <si>
    <t>S RES 1/16W 47 +-5% 0402</t>
  </si>
  <si>
    <t>SD028560080</t>
  </si>
  <si>
    <t>S RES 1/16W 560 +-5% 0402</t>
  </si>
  <si>
    <t>SD028620080</t>
  </si>
  <si>
    <t>S RES 1/16W 620 +-5% 0402</t>
  </si>
  <si>
    <t>SD028680080</t>
  </si>
  <si>
    <t>S RES 1/16W 680 +-5% 0402</t>
  </si>
  <si>
    <t>SD028750280</t>
  </si>
  <si>
    <t>S RES 1/16W 75K +-5% 0402</t>
  </si>
  <si>
    <t>SD028820080</t>
  </si>
  <si>
    <t>S RES 1/16W 820 +-5% 0402</t>
  </si>
  <si>
    <t>SD028820180</t>
  </si>
  <si>
    <t>S RES 1/16W 8.2K +-5% 0402</t>
  </si>
  <si>
    <t>SD034000080</t>
  </si>
  <si>
    <t>S RES 1/16W 0 +-1% 0402</t>
  </si>
  <si>
    <t>SD034100080</t>
  </si>
  <si>
    <t>S RES 1/16W 100 +-1% 0402</t>
  </si>
  <si>
    <t>SD034100180</t>
  </si>
  <si>
    <t>S RES 1/16W 1K +-1% 0402</t>
  </si>
  <si>
    <t>SD034100280</t>
  </si>
  <si>
    <t>S RES 1/16W 10K +-1% 0402</t>
  </si>
  <si>
    <t>SD034100380</t>
  </si>
  <si>
    <t>S RES 1/16W 100K +-1% 0402</t>
  </si>
  <si>
    <t>SD034100480</t>
  </si>
  <si>
    <t>S RES 1/16W 1M +-1% 0402</t>
  </si>
  <si>
    <t>SD034100A80</t>
  </si>
  <si>
    <t>S RES 1/16W 10 +-1% 0402</t>
  </si>
  <si>
    <t>SD034105280</t>
  </si>
  <si>
    <t>S RES 1/16W 10.5K +-1% 0402</t>
  </si>
  <si>
    <t>SD034110280</t>
  </si>
  <si>
    <t>S RES 1/16W 11K +-1% 0402</t>
  </si>
  <si>
    <t>SD034110380</t>
  </si>
  <si>
    <t>S RES 1/16W 110K +-1% 0402</t>
  </si>
  <si>
    <t>SD034113280</t>
  </si>
  <si>
    <t>S RES 1/16W 11.3K +-1% 0402</t>
  </si>
  <si>
    <t>SD034113380</t>
  </si>
  <si>
    <t>S RES 1/16W 113K +-1% 0402</t>
  </si>
  <si>
    <t>SD034115180</t>
  </si>
  <si>
    <t>S RES 1/16W 1.15K +-1% 0402</t>
  </si>
  <si>
    <t>SD034115280</t>
  </si>
  <si>
    <t>S RES 1/16W 11.5K +-1% 0402</t>
  </si>
  <si>
    <t>SD034120280</t>
  </si>
  <si>
    <t>S RES 1/16W 12K +-1% 0402</t>
  </si>
  <si>
    <t>SD034120380</t>
  </si>
  <si>
    <t>S RES 1/16W 120K +-1% 0402</t>
  </si>
  <si>
    <t>SD034121090</t>
  </si>
  <si>
    <t>S RES 1/16W 121 +-1% 0402</t>
  </si>
  <si>
    <t>SD034124180</t>
  </si>
  <si>
    <t>S RES 1/16W 1.24K +-1% 0402</t>
  </si>
  <si>
    <t>SD034137280</t>
  </si>
  <si>
    <t>S RES 1/16W 13.7K +-1% 0402</t>
  </si>
  <si>
    <t>SD034140280</t>
  </si>
  <si>
    <t>S RES 1/16W 14K +-1% 0402</t>
  </si>
  <si>
    <t>SD034143380</t>
  </si>
  <si>
    <t>S RES 1/16W 143K +-1% 0402</t>
  </si>
  <si>
    <t>SD034150280</t>
  </si>
  <si>
    <t>S RES 1/16W 15K +-1% 0402</t>
  </si>
  <si>
    <t>SD034150380</t>
  </si>
  <si>
    <t>S RES 1/16W 150K +-1% 0402</t>
  </si>
  <si>
    <t>SD034154180</t>
  </si>
  <si>
    <t>S RES 1/16W 1.54K +-1% 0402</t>
  </si>
  <si>
    <t>SD034158280</t>
  </si>
  <si>
    <t>S RES 1/16W 15.8K +-1% 0402</t>
  </si>
  <si>
    <t>SD034160180</t>
  </si>
  <si>
    <t>S RES 1/16W 1.6K +-1% 0402</t>
  </si>
  <si>
    <t>SD034162000</t>
  </si>
  <si>
    <t>S RES 1/16W 162 +-1% 0402</t>
  </si>
  <si>
    <t>SD034162280</t>
  </si>
  <si>
    <t>S RES 1/16W 16.2K +-1% 0402</t>
  </si>
  <si>
    <t>SD034162380</t>
  </si>
  <si>
    <t>S RES 1/16W 162K +-1% 0402</t>
  </si>
  <si>
    <t>SD034165280</t>
  </si>
  <si>
    <t>S RES 1/16W 16.5K +-1% 0402</t>
  </si>
  <si>
    <t>SD034165380</t>
  </si>
  <si>
    <t>S RES 1/16W 165K +-1% 0402</t>
  </si>
  <si>
    <t>SD034182080</t>
  </si>
  <si>
    <t>S RES 1/16W 182 +-1% 0402</t>
  </si>
  <si>
    <t>SD034187280</t>
  </si>
  <si>
    <t>S RES 1/16W 18.7K +-1% 0402</t>
  </si>
  <si>
    <t>SD034200180</t>
  </si>
  <si>
    <t>S RES 1/16W 2K +-1% 0402</t>
  </si>
  <si>
    <t>SD034200280</t>
  </si>
  <si>
    <t>S RES 1/16W 20K +-1% 0402</t>
  </si>
  <si>
    <t>SD034200380</t>
  </si>
  <si>
    <t>S RES 1/16W 200K +-1% 0402</t>
  </si>
  <si>
    <t>SD034200480</t>
  </si>
  <si>
    <t>S RES 1/16W 2M +-1% 0402</t>
  </si>
  <si>
    <t>SD034205280</t>
  </si>
  <si>
    <t>S RES 1/16W 20.5K +-1% 0402</t>
  </si>
  <si>
    <t>SD034210280</t>
  </si>
  <si>
    <t>S RES 1/16W 21K +-1% 0402</t>
  </si>
  <si>
    <t>SD034215280</t>
  </si>
  <si>
    <t>S RES 1/16W 21.5K +-1% 0402</t>
  </si>
  <si>
    <t>SD034215380</t>
  </si>
  <si>
    <t>S RES 1/16W 215K +-1% 0402</t>
  </si>
  <si>
    <t>SD034220280</t>
  </si>
  <si>
    <t>S RES 1/16W 22K +-1% 0402</t>
  </si>
  <si>
    <t>SD034221180</t>
  </si>
  <si>
    <t>S RES 1/16W 2.21K +-1% 0402</t>
  </si>
  <si>
    <t>SD034221280</t>
  </si>
  <si>
    <t>S RES 1/16W 22.1K +-1% 0402</t>
  </si>
  <si>
    <t>SD034226280</t>
  </si>
  <si>
    <t>S RES 1/16W 22.6K +-1% 0402</t>
  </si>
  <si>
    <t>SD034226380</t>
  </si>
  <si>
    <t>S RES 1/16W 226K +-1% 0402</t>
  </si>
  <si>
    <t>SD034232380</t>
  </si>
  <si>
    <t>S RES 1/16W 232K +-1% 0402</t>
  </si>
  <si>
    <t>SD034237180</t>
  </si>
  <si>
    <t>S RES 1/16W 2.37K +-1% 0402</t>
  </si>
  <si>
    <t>SD034240180</t>
  </si>
  <si>
    <t>S RES 1/16W 2.4K +-1% 0402</t>
  </si>
  <si>
    <t>SD034249080</t>
  </si>
  <si>
    <t>S RES 1/16W 249 +-1% 0402</t>
  </si>
  <si>
    <t>SD034249180</t>
  </si>
  <si>
    <t>S RES 1/16W 2.49K +-1% 0402</t>
  </si>
  <si>
    <t>SD034249280</t>
  </si>
  <si>
    <t>S RES 1/16W 24.9K +-1% 0402</t>
  </si>
  <si>
    <t>SD034249A80</t>
  </si>
  <si>
    <t>S RES 1/16W 24.9 +-1% 0402</t>
  </si>
  <si>
    <t>SD034255080</t>
  </si>
  <si>
    <t>S RES 1/16W 255 +-1% 0402</t>
  </si>
  <si>
    <t>SD034255180</t>
  </si>
  <si>
    <t>S RES 1/16W 2.55K +-1% 0402</t>
  </si>
  <si>
    <t>SD034255280</t>
  </si>
  <si>
    <t>S RES 1/16W 25.5K +-1% 0402</t>
  </si>
  <si>
    <t>SD034261280</t>
  </si>
  <si>
    <t>S RES 1/16W 26.1K +-1% 0402</t>
  </si>
  <si>
    <t>SD034261380</t>
  </si>
  <si>
    <t>S RES 1/16W 261K +-1% 0402</t>
  </si>
  <si>
    <t>SD034270280</t>
  </si>
  <si>
    <t>S RES 1/16W 27K +-1% 0402</t>
  </si>
  <si>
    <t>SD034274080</t>
  </si>
  <si>
    <t>S RES 1/16W 274 +-1% 0402</t>
  </si>
  <si>
    <t>SD034274180</t>
  </si>
  <si>
    <t>S RES 1/16W 2.74K +-1% 0402</t>
  </si>
  <si>
    <t>SD034274280</t>
  </si>
  <si>
    <t>S RES 1/16W 27.4K +-1% 0402</t>
  </si>
  <si>
    <t>SD034280180</t>
  </si>
  <si>
    <t>S RES 1/16W 2.8K +-1% 0402</t>
  </si>
  <si>
    <t>SD034300180</t>
  </si>
  <si>
    <t>S RES 1/16W 3K +-1% 0402</t>
  </si>
  <si>
    <t>SD034301280</t>
  </si>
  <si>
    <t>S RES 1/16W 30.1K +-1% 0402</t>
  </si>
  <si>
    <t>SD034316280</t>
  </si>
  <si>
    <t>S RES 1/16W 31.6K +-1% 0402</t>
  </si>
  <si>
    <t>SD034316380</t>
  </si>
  <si>
    <t>S RES 1/16W 316K +-1% 0402</t>
  </si>
  <si>
    <t>SD034324280</t>
  </si>
  <si>
    <t>S RES 1/16W 32.4K +-1% 0402</t>
  </si>
  <si>
    <t>SD034324380</t>
  </si>
  <si>
    <t>S RES 1/16W 324K +-1% 0402</t>
  </si>
  <si>
    <t>SD034330280</t>
  </si>
  <si>
    <t>S RES 1/16W 33K +-1% 0402</t>
  </si>
  <si>
    <t>SD034330A80</t>
  </si>
  <si>
    <t>S RES 1/16W 33 +-1% 0402</t>
  </si>
  <si>
    <t>SD034332380</t>
  </si>
  <si>
    <t>S RES 1/16W 332K +-1% 0402</t>
  </si>
  <si>
    <t>SD034340180</t>
  </si>
  <si>
    <t>S RES 1/16W 3.4K +-1% 0402</t>
  </si>
  <si>
    <t>SD034357080</t>
  </si>
  <si>
    <t>S RES 1/16W 357 +-1% 0402</t>
  </si>
  <si>
    <t>SD034365280</t>
  </si>
  <si>
    <t>S RES 1/16W 36.5K +-1% 0402</t>
  </si>
  <si>
    <t>SD034365380</t>
  </si>
  <si>
    <t>S RES 1/16W 365K +-1% 0402</t>
  </si>
  <si>
    <t>SD034374280</t>
  </si>
  <si>
    <t>S RES 1/16W 37.4K +-1% 0402</t>
  </si>
  <si>
    <t>SD034383280</t>
  </si>
  <si>
    <t>S RES 1/16W 38.3K +-1% 0402</t>
  </si>
  <si>
    <t>SD034390180</t>
  </si>
  <si>
    <t>S RES 1/16W 3.9K +-1% 0402</t>
  </si>
  <si>
    <t>SD034390280</t>
  </si>
  <si>
    <t>S RES 1/16W 39K +-1% 0402</t>
  </si>
  <si>
    <t>SD034402180</t>
  </si>
  <si>
    <t>S RES 1/16W 4.02K +-1% 0402</t>
  </si>
  <si>
    <t>SD034402A80</t>
  </si>
  <si>
    <t>S RES 1/16W 40.2 +-1% 0402</t>
  </si>
  <si>
    <t>SD034422380</t>
  </si>
  <si>
    <t>S RES 1/16W 422K +-1% 0402</t>
  </si>
  <si>
    <t>SD034430A80</t>
  </si>
  <si>
    <t>S RES 1/16W 43 +-1% 0402</t>
  </si>
  <si>
    <t>SD034432080</t>
  </si>
  <si>
    <t>S RES 1/16W 432 +-1% 0402</t>
  </si>
  <si>
    <t>SD034442080</t>
  </si>
  <si>
    <t>S RES 1/16W 442 +-1% 0402</t>
  </si>
  <si>
    <t>SD034453080</t>
  </si>
  <si>
    <t>S RES 1/16W 453 +-1% 0402</t>
  </si>
  <si>
    <t>SD034453280</t>
  </si>
  <si>
    <t>S RES 1/16W 45.3K +-1% 0402</t>
  </si>
  <si>
    <t>SD034453380</t>
  </si>
  <si>
    <t>S RES 1/16W 453K +-1% 0402</t>
  </si>
  <si>
    <t>SD034453A80</t>
  </si>
  <si>
    <t>S RES 1/16W 45.3 +-1% 0402</t>
  </si>
  <si>
    <t>SD034470080</t>
  </si>
  <si>
    <t>S RES 1/16W 470 +-1% 0402</t>
  </si>
  <si>
    <t>SD034470180</t>
  </si>
  <si>
    <t>S RES 1/16W 4.7K +-1% 0402</t>
  </si>
  <si>
    <t>SD034470280</t>
  </si>
  <si>
    <t>S RES 1/16W 47K +-1% 0402</t>
  </si>
  <si>
    <t>SD034470380</t>
  </si>
  <si>
    <t>S RES 1/16W 470K +-1% 0402</t>
  </si>
  <si>
    <t>SD034475080</t>
  </si>
  <si>
    <t>S RES 1/16W 475 +-1% 0402</t>
  </si>
  <si>
    <t>SD034475180</t>
  </si>
  <si>
    <t>S RES 1/16W 4.75K +-1% 0402</t>
  </si>
  <si>
    <t>SD034475280</t>
  </si>
  <si>
    <t>S RES 1/16W 47.5K +-1% 0402</t>
  </si>
  <si>
    <t>SD034487280</t>
  </si>
  <si>
    <t>S RES 1/16W 48.7K +-1% 0402</t>
  </si>
  <si>
    <t>SD034499080</t>
  </si>
  <si>
    <t>S RES 1/16W 499 +-1% 0402</t>
  </si>
  <si>
    <t>SD034499180</t>
  </si>
  <si>
    <t>S RES 1/16W 4.99K +-1% 0402</t>
  </si>
  <si>
    <t>SD034499280</t>
  </si>
  <si>
    <t>S RES 1/16W 49.9K +-1% 0402</t>
  </si>
  <si>
    <t>SD034499380</t>
  </si>
  <si>
    <t>S RES 1/16W 499K +-1% 0402</t>
  </si>
  <si>
    <t>SD034499A80</t>
  </si>
  <si>
    <t>S RES 1/16W 49.9 +-1% 0402</t>
  </si>
  <si>
    <t>SD034510180</t>
  </si>
  <si>
    <t>S RES 1/16W 5.1K +-1% 0402</t>
  </si>
  <si>
    <t>SD034576180</t>
  </si>
  <si>
    <t>S RES 1/16W 5.76K +-1% 0402</t>
  </si>
  <si>
    <t>SD034576280</t>
  </si>
  <si>
    <t>S RES 1/16W 57.6K +-1% 0402</t>
  </si>
  <si>
    <t>SD034590180</t>
  </si>
  <si>
    <t>S RES 1/16W 5.9K +-1% 0402</t>
  </si>
  <si>
    <t>SD034604A80</t>
  </si>
  <si>
    <t>S RES 1/16W 60.4 +-1% 0402</t>
  </si>
  <si>
    <t>SD034619180</t>
  </si>
  <si>
    <t>S RES 1/16W 6.19K +-1% 0402</t>
  </si>
  <si>
    <t>SD034620280</t>
  </si>
  <si>
    <t>S RES 1/16W 62K +-1% 0402</t>
  </si>
  <si>
    <t>SD034634180</t>
  </si>
  <si>
    <t>S RES 1/16W 6.34K +-1% 0402</t>
  </si>
  <si>
    <t>SD034665180</t>
  </si>
  <si>
    <t>S RES 1/16W 6.65K +-1% 0402</t>
  </si>
  <si>
    <t>SD034680080</t>
  </si>
  <si>
    <t>S RES 1/16W 680 +-1% 0402</t>
  </si>
  <si>
    <t>SD034680280</t>
  </si>
  <si>
    <t>S RES 1/16W 68K +-1% 0402</t>
  </si>
  <si>
    <t>SD034681280</t>
  </si>
  <si>
    <t>S RES 1/16W 68.1K +-1% 0402</t>
  </si>
  <si>
    <t>SD034681380</t>
  </si>
  <si>
    <t>S RES 1/16W 681K +-1% 0402</t>
  </si>
  <si>
    <t>SD034715280</t>
  </si>
  <si>
    <t>S RES 1/16W 71.5K +-1% 0402</t>
  </si>
  <si>
    <t>SD034732180</t>
  </si>
  <si>
    <t>S RES 1/16W 7.32K +-1% 0402</t>
  </si>
  <si>
    <t>SD034750180</t>
  </si>
  <si>
    <t>S RES 1/16W 7.5K +-1% 0402</t>
  </si>
  <si>
    <t>SD034750280</t>
  </si>
  <si>
    <t>S RES 1/16W 75K +-1% 0402</t>
  </si>
  <si>
    <t>SD034750A80</t>
  </si>
  <si>
    <t>S RES 1/16W 75 +-1% 0402</t>
  </si>
  <si>
    <t>SD034787180</t>
  </si>
  <si>
    <t>S RES 1/16W 7.87K +-1% 0402</t>
  </si>
  <si>
    <t>SD034787280</t>
  </si>
  <si>
    <t>S RES 1/16W 78.7K +-1% 0402</t>
  </si>
  <si>
    <t>SD034806280</t>
  </si>
  <si>
    <t>S RES 1/16W 80.6K +-1% 0402</t>
  </si>
  <si>
    <t>SD034820A80</t>
  </si>
  <si>
    <t>S RES 1/16W 82 +-1% 0402</t>
  </si>
  <si>
    <t>SD034825180</t>
  </si>
  <si>
    <t>S RES 1/16W 8.25K +-1% 0402</t>
  </si>
  <si>
    <t>SD034845280</t>
  </si>
  <si>
    <t>S RES 1/16W 84.5K +-1% 0402</t>
  </si>
  <si>
    <t>SD034887280</t>
  </si>
  <si>
    <t>S RES 1/16W 88.7K +-1% 0402</t>
  </si>
  <si>
    <t>SD034910280</t>
  </si>
  <si>
    <t>S RES 1/16W 91K +-1% 0402</t>
  </si>
  <si>
    <t>SD041000080</t>
  </si>
  <si>
    <t>S RES 1/20W 0 +-1% 0201</t>
  </si>
  <si>
    <t>SD041100080</t>
  </si>
  <si>
    <t>S RES 1/20W 100 +-1% 0201</t>
  </si>
  <si>
    <t>SD041100280</t>
  </si>
  <si>
    <t>S RES 1/20W 10K +-1% 0201</t>
  </si>
  <si>
    <t>SD041100380</t>
  </si>
  <si>
    <t>S RES 1/20W 100K +-1% 0201</t>
  </si>
  <si>
    <t>SD043000080</t>
  </si>
  <si>
    <t>S RES 1/20W 0 +-5% 0201</t>
  </si>
  <si>
    <t>SD043100080</t>
  </si>
  <si>
    <t>S RES 1/20W 100 +-5% 0201</t>
  </si>
  <si>
    <t>SD043100180</t>
  </si>
  <si>
    <t>S RES 1/20W 1K +-5% 0201</t>
  </si>
  <si>
    <t>SD043100280</t>
  </si>
  <si>
    <t>S RES 1/20W 10K +-5% 0201</t>
  </si>
  <si>
    <t>SD043100380</t>
  </si>
  <si>
    <t>S RES 1/20W 100K +-5% 0201</t>
  </si>
  <si>
    <t>SD043100480</t>
  </si>
  <si>
    <t>S RES 1/20W 1M +-5% 0201</t>
  </si>
  <si>
    <t>SD043200280</t>
  </si>
  <si>
    <t>S RES 1/20W 20K +-5% 0201</t>
  </si>
  <si>
    <t>SD043220380</t>
  </si>
  <si>
    <t>S RES 1/20W 220K +-5% 0201</t>
  </si>
  <si>
    <t>SD043330180</t>
  </si>
  <si>
    <t>S RES 1/20W 3.3K +-5% 0201</t>
  </si>
  <si>
    <t>SD043470080</t>
  </si>
  <si>
    <t>S RES 1/20W 470 +-5% 0201</t>
  </si>
  <si>
    <t>SD043470180</t>
  </si>
  <si>
    <t>S RES 1/20W 4.7K +-5% 0201</t>
  </si>
  <si>
    <t>SD043820180</t>
  </si>
  <si>
    <t>S RES 1/20W 8.2K +-5% 0201</t>
  </si>
  <si>
    <t>SE000000K80</t>
  </si>
  <si>
    <t>S CER CAP 1U 6.3V K X5R 0402</t>
  </si>
  <si>
    <t>8532.24.10</t>
  </si>
  <si>
    <t>SE000004H00</t>
  </si>
  <si>
    <t>S CER CAP 18P 25V J NPO 0201</t>
  </si>
  <si>
    <t>SE000005T80</t>
  </si>
  <si>
    <t>S CER CAP 10U 6.3V M X5R 0603 H0.8</t>
  </si>
  <si>
    <t>SE000005Z80</t>
  </si>
  <si>
    <t>S CER CAP 0.22U 25V K X7R 0603</t>
  </si>
  <si>
    <t>SE000006900</t>
  </si>
  <si>
    <t>S CER CAP 1UF 25V K X5R 0603</t>
  </si>
  <si>
    <t>SE000006S80</t>
  </si>
  <si>
    <t>S CER CAP 2.2U 16V K X5R 0603</t>
  </si>
  <si>
    <t>SE000007V00</t>
  </si>
  <si>
    <t>S CER CAP 0.01U 6.3V K X7R 0201</t>
  </si>
  <si>
    <t>SE000008880</t>
  </si>
  <si>
    <t>S CER CAP 2.2U 6.3V M X5R 0402</t>
  </si>
  <si>
    <t>SE000009400</t>
  </si>
  <si>
    <t>S CER CAP 15P 25V J NPO 0201</t>
  </si>
  <si>
    <t>SE00000G880</t>
  </si>
  <si>
    <t>S CER CAP 0.1U 25V K X5R 0402</t>
  </si>
  <si>
    <t>SE00000HC80</t>
  </si>
  <si>
    <t>S CER CAP 10P 25V J NPO 0201</t>
  </si>
  <si>
    <t>SE00000KD80</t>
  </si>
  <si>
    <t>S CER CAP 0.01U 16V K X7R 0201</t>
  </si>
  <si>
    <t>SE00000M000</t>
  </si>
  <si>
    <t>S CER CAP 22U 6.3V M X5R 0603</t>
  </si>
  <si>
    <t>SE00000NT00</t>
  </si>
  <si>
    <t>S CER CAP 18P 50V J NPO 0201</t>
  </si>
  <si>
    <t>SE00000P700</t>
  </si>
  <si>
    <t>S CER CAP 0.33U 10V K X5R 0402</t>
  </si>
  <si>
    <t>SE00000PL00</t>
  </si>
  <si>
    <t>S CER CAP 47U 6.3V M X5R 0805 H1.25</t>
  </si>
  <si>
    <t>SE00000R700</t>
  </si>
  <si>
    <t>S CER CAP 0.22U 16V K X7R 0402</t>
  </si>
  <si>
    <t>SE00000RG00</t>
  </si>
  <si>
    <t>S CER CAP 220P 25V K X7R 0201</t>
  </si>
  <si>
    <t>SE00000RH00</t>
  </si>
  <si>
    <t>S CER CAP 12P 50V J NPO 0201</t>
  </si>
  <si>
    <t>SE00000SE00</t>
  </si>
  <si>
    <t>S CER CAP 100P 50V J NPO 0201</t>
  </si>
  <si>
    <t>SE00000SJ00</t>
  </si>
  <si>
    <t>S CER CAP 3P 25V B NPO 0201</t>
  </si>
  <si>
    <t>SE00000SJY0</t>
  </si>
  <si>
    <t>S CER CAP 3P 25V B NPO 0201 YAGEO</t>
  </si>
  <si>
    <t>SE00000SO00</t>
  </si>
  <si>
    <t>S CER CAP 4.7U 6.3V M X5R 0402</t>
  </si>
  <si>
    <t>SE00000SV00</t>
  </si>
  <si>
    <t>S CER CAP 0.1U 10V K X5R 0201</t>
  </si>
  <si>
    <t>SE00000T300</t>
  </si>
  <si>
    <t>S CER CAP 0.22U 50V K X7R 0603</t>
  </si>
  <si>
    <t>SE00000TB00</t>
  </si>
  <si>
    <t>S CER CAP 33P 50V J NPO 0201</t>
  </si>
  <si>
    <t>SE00000TD00</t>
  </si>
  <si>
    <t>S CER CAP 15P 50V J NPO 0201</t>
  </si>
  <si>
    <t>SE00000TG00</t>
  </si>
  <si>
    <t>S CER CAP 1000P 50V K X7R 0201</t>
  </si>
  <si>
    <t>SE00000UC00</t>
  </si>
  <si>
    <t>S CER CAP 1U 6.3V M X5R 0201</t>
  </si>
  <si>
    <t>SE00000UD00</t>
  </si>
  <si>
    <t>S CER CAP 10U 6.3V M X5R 0402</t>
  </si>
  <si>
    <t>SE00000V680</t>
  </si>
  <si>
    <t>S CER CAP 2.2U 10V M X5R 0402</t>
  </si>
  <si>
    <t>SE00000W100</t>
  </si>
  <si>
    <t>S CER CAP 2.2U 6.3V K X5R 0402</t>
  </si>
  <si>
    <t>SE00000W210</t>
  </si>
  <si>
    <t>S CER CAP 0.1U 25V K X7R 0402</t>
  </si>
  <si>
    <t>SE00000WA00</t>
  </si>
  <si>
    <t>S CER CAP 0.47U 25V K X5R 0402</t>
  </si>
  <si>
    <t>SE00000X200</t>
  </si>
  <si>
    <t>S CER CAP 10U 25V M X5R 0603</t>
  </si>
  <si>
    <t>SE00000X2T0</t>
  </si>
  <si>
    <t>S CER CAP 10U 25V M X5R 0603 TAIYO</t>
  </si>
  <si>
    <t>SE00000X880</t>
  </si>
  <si>
    <t>S CER CAP 2.2U 6.3V M X5R 0201</t>
  </si>
  <si>
    <t>SE00000XC80</t>
  </si>
  <si>
    <t>S CER CAP 0.22U 10V K X5R 0201</t>
  </si>
  <si>
    <t>SE00000Y300</t>
  </si>
  <si>
    <t>S CER CAP 0.22U 6.3V K X5R 0201</t>
  </si>
  <si>
    <t>SE00000YB00</t>
  </si>
  <si>
    <t>S CER CAP 1U 6.3V K X5R 0201</t>
  </si>
  <si>
    <t>SE00000ZT00</t>
  </si>
  <si>
    <t>S CER CAP 20P 25V J NPO 0201</t>
  </si>
  <si>
    <t>SE00000ZX00</t>
  </si>
  <si>
    <t>S CER CAP 0.22U 10V M X5R 0201</t>
  </si>
  <si>
    <t>SE000010S00</t>
  </si>
  <si>
    <t>S CER CAP 10U 25V K X6S 0805 H1.25</t>
  </si>
  <si>
    <t>SE000010V00</t>
  </si>
  <si>
    <t>S CER CAP 1U 25V K X5R 0402</t>
  </si>
  <si>
    <t>SE000013500</t>
  </si>
  <si>
    <t>S CER CAP 1U 10V M X5R 0201</t>
  </si>
  <si>
    <t>SE000013M00</t>
  </si>
  <si>
    <t>S CER CAP 22U 10V M X5R 0603</t>
  </si>
  <si>
    <t>SE000014U00</t>
  </si>
  <si>
    <t>S CER CAP 10U 10V M X5R 0402</t>
  </si>
  <si>
    <t>SE000015500</t>
  </si>
  <si>
    <t>S CER CAP 47U 6.3V M X5R 0603</t>
  </si>
  <si>
    <t>SE0000155S0</t>
  </si>
  <si>
    <t>S CER CAP 47U 6.3V M X5R 0603 SAMSUNG</t>
  </si>
  <si>
    <t>SE00001AA00</t>
  </si>
  <si>
    <t>S CER CAP 0.1U 25V K X5R 0201</t>
  </si>
  <si>
    <t>SE00001HG00</t>
  </si>
  <si>
    <t>S CER CAP 2.2U 10V K X5R 0201</t>
  </si>
  <si>
    <t>SE00001JI00</t>
  </si>
  <si>
    <t>S CER CAP 0.33U 6.3V M X5R 0201</t>
  </si>
  <si>
    <t>SE00001M700</t>
  </si>
  <si>
    <t>S CER CAP 0.22U 25V K X5R 0201</t>
  </si>
  <si>
    <t>SE00001M800</t>
  </si>
  <si>
    <t>S CER CAP 0.33U 25V K X5R 0201</t>
  </si>
  <si>
    <t>SE024681J80</t>
  </si>
  <si>
    <t>S CER CAP 680P 50V J NPO 0603</t>
  </si>
  <si>
    <t>SE042104K80</t>
  </si>
  <si>
    <t>S CER CAP .1U 25V K X7R 0603</t>
  </si>
  <si>
    <t>SE042223K80</t>
  </si>
  <si>
    <t>S CER CAP .022U 25V K X7R 0603</t>
  </si>
  <si>
    <t>SE042473M80</t>
  </si>
  <si>
    <t>S CER CAP .047U 25V M X7R 0603</t>
  </si>
  <si>
    <t>SE068103K80</t>
  </si>
  <si>
    <t>S CER CAP 0.01UF 25V K X7R 0402</t>
  </si>
  <si>
    <t>SE071100J80</t>
  </si>
  <si>
    <t>S CER CAP 10P 50V J NPO 0402</t>
  </si>
  <si>
    <t>SE071101J80</t>
  </si>
  <si>
    <t>S CER CAP 100P 50V J NPO 0402</t>
  </si>
  <si>
    <t>SE071150J80</t>
  </si>
  <si>
    <t>S CER CAP 15P 50V J NPO 0402</t>
  </si>
  <si>
    <t>SE071151J80</t>
  </si>
  <si>
    <t>S CER CAP 150P 50V J NPO 0402</t>
  </si>
  <si>
    <t>SE071180J80</t>
  </si>
  <si>
    <t>S CER CAP 18P 50V J NPO 0402</t>
  </si>
  <si>
    <t>SE071270J80</t>
  </si>
  <si>
    <t>S CER CAP 27P 50V J NPO 0402</t>
  </si>
  <si>
    <t>SE071330J80</t>
  </si>
  <si>
    <t>S CER CAP 33P 50V J NPO 0402</t>
  </si>
  <si>
    <t>SE07139AC80</t>
  </si>
  <si>
    <t>S CER CAP 3.9P 50V C NPO 0402</t>
  </si>
  <si>
    <t>SE071470J80</t>
  </si>
  <si>
    <t>S CER CAP 47P 50V J NPO 0402</t>
  </si>
  <si>
    <t>SE071471J80</t>
  </si>
  <si>
    <t>S CER CAP 470P 50V J NPO 0402</t>
  </si>
  <si>
    <t>SE071680J80</t>
  </si>
  <si>
    <t>S CER CAP 68P 50V J NPO 0402</t>
  </si>
  <si>
    <t>SE071820J80</t>
  </si>
  <si>
    <t>S CER CAP 82P 50V J NPO 0402</t>
  </si>
  <si>
    <t>SE074102K80</t>
  </si>
  <si>
    <t>S CER CAP 1000P 50V K X7R 0402</t>
  </si>
  <si>
    <t>SE074103K80</t>
  </si>
  <si>
    <t>S CER CAP .01U 50V K X7R 0402</t>
  </si>
  <si>
    <t>SE074152K80</t>
  </si>
  <si>
    <t>S CER CAP 1500P 50V K X7R 0402</t>
  </si>
  <si>
    <t>SE074221K80</t>
  </si>
  <si>
    <t>S CER CAP 220P 50V K X7R 0402</t>
  </si>
  <si>
    <t>SE074222K80</t>
  </si>
  <si>
    <t>S CER CAP 2200P 50V K X7R 0402</t>
  </si>
  <si>
    <t>SE074331K80</t>
  </si>
  <si>
    <t>S CER CAP 330P 50V K X7R 0402</t>
  </si>
  <si>
    <t>SE074391K80</t>
  </si>
  <si>
    <t>S CER CAP 390P 50V K X7R 0402</t>
  </si>
  <si>
    <t>SE074472K80</t>
  </si>
  <si>
    <t>S CER CAP 4700P 50V K X7R 0402</t>
  </si>
  <si>
    <t>SE074681K80</t>
  </si>
  <si>
    <t>S CER CAP 680P 50V K X7R 0402</t>
  </si>
  <si>
    <t>SE075103K80</t>
  </si>
  <si>
    <t>S CER CAP .01U 25V K X7R 0402</t>
  </si>
  <si>
    <t>SE075222K80</t>
  </si>
  <si>
    <t>S CER CAP 2200P 25V K X7R 0402</t>
  </si>
  <si>
    <t>SE076103K80</t>
  </si>
  <si>
    <t>S CER CAP .01U 16V K X7R 0402</t>
  </si>
  <si>
    <t>SE076104K80</t>
  </si>
  <si>
    <t>S CER CAP .1U 16V K X7R 0402</t>
  </si>
  <si>
    <t>SE076153K80</t>
  </si>
  <si>
    <t>S CER CAP .015U 16V K X7R 0402</t>
  </si>
  <si>
    <t>SE076223K80</t>
  </si>
  <si>
    <t>S CER CAP .022U 16V K X7R 0402</t>
  </si>
  <si>
    <t>SE076333K80</t>
  </si>
  <si>
    <t>S CER CAP .033U 16V K X7R 0402</t>
  </si>
  <si>
    <t>SE082221J80</t>
  </si>
  <si>
    <t>S CER CAP 220P 50V J NPO 0402</t>
  </si>
  <si>
    <t>SE095224K00</t>
  </si>
  <si>
    <t>S CER CAP 0.22U 10V K X5R 0402</t>
  </si>
  <si>
    <t>SE102104K00</t>
  </si>
  <si>
    <t>S CER CAP 0.1U 10V +-10% X7R 0402</t>
  </si>
  <si>
    <t>SE124474K80</t>
  </si>
  <si>
    <t>S CER CAP .47U 6.3V K X5R 0402</t>
  </si>
  <si>
    <t>SE170102K80</t>
  </si>
  <si>
    <t>S CER CAP 1000P 25V K X7R 0201</t>
  </si>
  <si>
    <t>SE173100J80</t>
  </si>
  <si>
    <t>S CER CAP 10P 50V J NPO 0201</t>
  </si>
  <si>
    <t>SE17422AC80</t>
  </si>
  <si>
    <t>S CER CAP 2.2P 50V C NPO 0201</t>
  </si>
  <si>
    <t>SF000004T00</t>
  </si>
  <si>
    <t>S ELE CAP 68U 25V M 6.3X5.7 ESR0.44 VZH</t>
  </si>
  <si>
    <t>8532.22.00</t>
  </si>
  <si>
    <t>SF000007700</t>
  </si>
  <si>
    <t>S ELE CAP 33U 25V M 6.3X4.5 ESR1.6 VSV</t>
  </si>
  <si>
    <t>SGA00002680</t>
  </si>
  <si>
    <t>S POLY C 330U 2.5V Y D2 LESR9M EEFS H1.9</t>
  </si>
  <si>
    <t>SGA00004520</t>
  </si>
  <si>
    <t>S POLY C 220U 2.5V M B2 R15M PSL H1.9 CP</t>
  </si>
  <si>
    <t>SGA00004E10</t>
  </si>
  <si>
    <t>S POLY C 150U 6.3V M B2 R35M PSL H1.9 CP</t>
  </si>
  <si>
    <t>SGA00006100</t>
  </si>
  <si>
    <t>S POLY C 330U 2V M D2 ESR9M S H1.9</t>
  </si>
  <si>
    <t>SGA00008I00</t>
  </si>
  <si>
    <t>S POLY C 330U 2.5V Y D1 LESR9M ACAS H1.9</t>
  </si>
  <si>
    <t>SGA00009M00</t>
  </si>
  <si>
    <t>S POLY C 150U 6.3V M ESR35M H1.9</t>
  </si>
  <si>
    <t>SGA00009S00</t>
  </si>
  <si>
    <t>S POLY C 330U 2V Y ESR9M H1.9</t>
  </si>
  <si>
    <t>SGA0000AM00</t>
  </si>
  <si>
    <t>S POLY C 220U 2V M D7 ESR4.5M SR H1</t>
  </si>
  <si>
    <t>SGA0000D500</t>
  </si>
  <si>
    <t>S POLY C 220U 2.5V Y D7 ESR6M SR H1</t>
  </si>
  <si>
    <t>SGA0000DK00</t>
  </si>
  <si>
    <t>S POLY C 560U 2V M D2 ESR6M 700 H1.9</t>
  </si>
  <si>
    <t>SGA0000EY00</t>
  </si>
  <si>
    <t>S POLY C 330U 2V Y D2 ESR9M HPA H1.9</t>
  </si>
  <si>
    <t>SGA0000F700</t>
  </si>
  <si>
    <t>S POLY C 330U 2.5V Y D2 ESR9M HPA H1.9</t>
  </si>
  <si>
    <t>SH00001QT00</t>
  </si>
  <si>
    <t>S COIL 2.2UH TMPC0412HP-2R2MG-Z03 3.3A</t>
  </si>
  <si>
    <t>8504.50.00.002</t>
  </si>
  <si>
    <t>SH00000RT00</t>
  </si>
  <si>
    <t>S COIL 2.2UH +-20% HPC252012NF-2R2M 1.3A</t>
  </si>
  <si>
    <t>SH00000YC00</t>
  </si>
  <si>
    <t>S COIL 4.7UH +-20% 5.5A 7X7X3 MOLDING</t>
  </si>
  <si>
    <t>SH000021R00</t>
  </si>
  <si>
    <t>S COIL 3.3UH 20% STPI0603-3R3M-E7-TW 6A</t>
  </si>
  <si>
    <t>SH00000YE00</t>
  </si>
  <si>
    <t>S COIL 1UH +-20% 11A 7X7X3 MOLDING</t>
  </si>
  <si>
    <t>SH00000YG00</t>
  </si>
  <si>
    <t>S COIL 1UH +-30% 2.8A 4X4X2 FERRITE</t>
  </si>
  <si>
    <t>SH000028L00</t>
  </si>
  <si>
    <t>S COIL 1UH 30% SPEB4018A-1R0N-HF-TW 3.2A</t>
  </si>
  <si>
    <t>8504.50.00</t>
  </si>
  <si>
    <t>SH00001KZ00</t>
  </si>
  <si>
    <t>S COIL 2.2UH 20% STPI0603-2R2M-HF-TW 8A</t>
  </si>
  <si>
    <t>SH00000Z200</t>
  </si>
  <si>
    <t>S COIL 1UH +-20% 6.6A 5X5X3 MOLDING</t>
  </si>
  <si>
    <t>SH00000Z300</t>
  </si>
  <si>
    <t>S COIL 0.68UH +-20% 7.9A 5X5X3 MOLDING</t>
  </si>
  <si>
    <t>SH000010N00</t>
  </si>
  <si>
    <t>S COIL 0.24UH +-20% 22A 7X7X3 MOLDING</t>
  </si>
  <si>
    <t>SH000011H00</t>
  </si>
  <si>
    <t>S COIL 0.22UH +-20% 24A 7X7X4 MOLDING</t>
  </si>
  <si>
    <t>SH000016700</t>
  </si>
  <si>
    <t>S COIL 1.5UH +-20% 9A 7X7X3 MOLDING</t>
  </si>
  <si>
    <t>SH000020F00</t>
  </si>
  <si>
    <t>S COIL 0.68UH +-20% MCS25GD-R68MMP 3.7A</t>
  </si>
  <si>
    <t>SH00001ED00</t>
  </si>
  <si>
    <t>S COIL 0.47UH +-20% 12.2A 5X5X3 MOLDING</t>
  </si>
  <si>
    <t>SH00001EE00</t>
  </si>
  <si>
    <t>S COIL 0.15UH +-20% 36A 7X7X4 MOLDING</t>
  </si>
  <si>
    <t>SH00001EF00</t>
  </si>
  <si>
    <t>S COIL 0.15UH +-20% 35A 7X7X3 MOLDING</t>
  </si>
  <si>
    <t>SH00001XA00</t>
  </si>
  <si>
    <t>S COIL 0.22UH STPI120804-R22M-HF-TW 45A</t>
  </si>
  <si>
    <t>SH000029I00</t>
  </si>
  <si>
    <t>S COIL 0.22UH +-20% CCCA-1383-R22-MR 40A</t>
  </si>
  <si>
    <t>SH00001VW00</t>
  </si>
  <si>
    <t>S COIL 0.47UH STPI120804-R47M-HF-TW 40A</t>
  </si>
  <si>
    <t>SH00001VZ00</t>
  </si>
  <si>
    <t>S COIL 1.5UH 20% SHPI0603-1R5M-HF-TW 8A</t>
  </si>
  <si>
    <t>SH00002AL00</t>
  </si>
  <si>
    <t>S COIL 0.15UH 20% CCCA-0630-R15-MRD 40A</t>
  </si>
  <si>
    <t>SH00001ZQ00</t>
  </si>
  <si>
    <t>S COIL 1UH +-20% STPI0603-1R0M-E1-TW 11A</t>
  </si>
  <si>
    <t>SH00001ZX00</t>
  </si>
  <si>
    <t>S COIL 4.7UH SHPI0603-4R7M-HF-TW 5.5A</t>
  </si>
  <si>
    <t>SH000024300</t>
  </si>
  <si>
    <t>S COIL 0.24UH STPI0603-R24M-T2-TW 28A</t>
  </si>
  <si>
    <t>SH000028100</t>
  </si>
  <si>
    <t>S COIL 0.68UH STPI0503-R68M-E1-TW 10.2A</t>
  </si>
  <si>
    <t>SH000029500</t>
  </si>
  <si>
    <t>S COIL 0.15UH STPI0604-R15M-T3-TW 40A</t>
  </si>
  <si>
    <t>SH00002AH00</t>
  </si>
  <si>
    <t>S COIL 0.68UH 20% MCN-05CZAR68MRB1L 8.5A</t>
  </si>
  <si>
    <t>SHI0000RD00</t>
  </si>
  <si>
    <t>S INDUC_ 4.7UH +-20% UHP252012BF-4R7M</t>
  </si>
  <si>
    <t>SJ10000UH00</t>
  </si>
  <si>
    <t>S CRYSTAL 25MHZ 20PF XRCGB25M000F2P18R0</t>
  </si>
  <si>
    <t>8541.60.10</t>
  </si>
  <si>
    <t>SJ10000UI00</t>
  </si>
  <si>
    <t>S CRYSTAL 27MHZ 10PF XRCGB27M000F2P18R0</t>
  </si>
  <si>
    <t>8541.60.10.001</t>
  </si>
  <si>
    <t>SJ10000UP00</t>
  </si>
  <si>
    <t>S CRYSTAL 25MHZ 10PF XRCGB25M000F2P34R0</t>
  </si>
  <si>
    <t>SJ10000ZX00</t>
  </si>
  <si>
    <t>S CRYSTAL 38.4MHZ XRCGB38M400F2P14R0</t>
  </si>
  <si>
    <t>SJ100010000</t>
  </si>
  <si>
    <t>S CRYSTAL 25MHZ 10PF EXS00A-CG03482</t>
  </si>
  <si>
    <t>SJ100015U00</t>
  </si>
  <si>
    <t>S CRYSTAL 32.768KHZ X1A000171000118</t>
  </si>
  <si>
    <t>8541.60.90.003</t>
  </si>
  <si>
    <t>SL200002F00</t>
  </si>
  <si>
    <t>S THERM_ 10K +-1% 0402 B25/50 3370K</t>
  </si>
  <si>
    <t>8533.40.11</t>
  </si>
  <si>
    <t>SL200002H00</t>
  </si>
  <si>
    <t>S THERM_ 100K +-1% 0402 B25/50 4250K</t>
  </si>
  <si>
    <t>SL200002I00</t>
  </si>
  <si>
    <t>S THERM_ 220K +-5% 0402 B25/50 4700K</t>
  </si>
  <si>
    <t>SL200003200</t>
  </si>
  <si>
    <t>S THERM_ 10K +-50% TPM0S103P130R 0402</t>
  </si>
  <si>
    <t>SM01000BV00</t>
  </si>
  <si>
    <t>S SUPPRE_ MURATA BLM15BB221SN1D 0402</t>
  </si>
  <si>
    <t>8504.90.10</t>
  </si>
  <si>
    <t>SM01000BW00</t>
  </si>
  <si>
    <t>S SUPPRE_ TAI-TECH HCB1608KF-121T30 0603</t>
  </si>
  <si>
    <t>SM01000EJ00</t>
  </si>
  <si>
    <t>S SUPPRE_ TAI-TECH HCB2012KF-221T30 0805</t>
  </si>
  <si>
    <t>SM01000JX00</t>
  </si>
  <si>
    <t>S SUPPRE_ TAI-TECH HCB1608KF-330T30 0603</t>
  </si>
  <si>
    <t>SM01000KL00</t>
  </si>
  <si>
    <t>S SUPPRE_ MURATA BLM15AX601SN1D 0402</t>
  </si>
  <si>
    <t>SM01000KR00</t>
  </si>
  <si>
    <t>S SUPPRE_ MURATA BLM18KG331SN1D 0603</t>
  </si>
  <si>
    <t>SM01000OW00</t>
  </si>
  <si>
    <t>S SUPPRE_ 3A Z120 40M 0603</t>
  </si>
  <si>
    <t>SM01000OZ00</t>
  </si>
  <si>
    <t>S SUPPRE_ TAI-TECH HCB1005PF-330T30 0402</t>
  </si>
  <si>
    <t>SM01000Q500</t>
  </si>
  <si>
    <t>S SUPPRE_ TAI-TECH HCB1005KF-221T15 0402</t>
  </si>
  <si>
    <t>SM01000U600</t>
  </si>
  <si>
    <t>S SUPPRE_ 5A Z80 20M 0805</t>
  </si>
  <si>
    <t>SM070003V00</t>
  </si>
  <si>
    <t>S COM FI_ INPAQ HCM1012GH900BP</t>
  </si>
  <si>
    <t>SM070005U00</t>
  </si>
  <si>
    <t>S COM FI_ MURATA DLM0NSN900HY2D</t>
  </si>
  <si>
    <t>SN10000CV00</t>
  </si>
  <si>
    <t>S TACT SW NTC013-AA1J-A160T SPST H2.5 4P</t>
  </si>
  <si>
    <t>8536.50.90</t>
  </si>
  <si>
    <t>SP01001R900</t>
  </si>
  <si>
    <t>S H-CONN CVILUX CF31142D0R4-05-NH 14P</t>
  </si>
  <si>
    <t>SP01002KU00</t>
  </si>
  <si>
    <t>S H-CONN SDAN 606022-008041 8P P1</t>
  </si>
  <si>
    <t>SP01002KW00</t>
  </si>
  <si>
    <t>S H-CONN TWVM FPC1020-04RC-MA0HA 4P P1</t>
  </si>
  <si>
    <t>SP01002NP00</t>
  </si>
  <si>
    <t>S H-CONN TWVM FPC0518-12RC-TAGHA 12P P.5</t>
  </si>
  <si>
    <t>SP01002PB00</t>
  </si>
  <si>
    <t>S H-CONN HEFENG AFA68-S04FIA-HF 4P P1</t>
  </si>
  <si>
    <t>SP01002PG00</t>
  </si>
  <si>
    <t>S H-CONN HEFENG AFA02-S08FCA-2H 8P P1</t>
  </si>
  <si>
    <t>SP01002SQ00</t>
  </si>
  <si>
    <t>S H-CONN HEFENG ALC01-S40AIA-HF 40P P0.5</t>
  </si>
  <si>
    <t>SP01002T100</t>
  </si>
  <si>
    <t>S H-CONN HEFENG AFA01-S04FCA-RB 4P P1</t>
  </si>
  <si>
    <t>SP01002T300</t>
  </si>
  <si>
    <t>S H-CONN HEFENG AFC02-S08FIA-HF 8P P0.5</t>
  </si>
  <si>
    <t>SP010033C00</t>
  </si>
  <si>
    <t>S H-CONN JIEDUN 2410710805 8P P0.5</t>
  </si>
  <si>
    <t>SP01002TO00</t>
  </si>
  <si>
    <t>S H-CONN SDAN 606044-040041 40P P0.5</t>
  </si>
  <si>
    <t>SP01002YL00</t>
  </si>
  <si>
    <t>S H-CONN HEFENG AFC79-S40FIA-R0 40P P0.5</t>
  </si>
  <si>
    <t>SP010036600</t>
  </si>
  <si>
    <t>S H-CONN JIEDUN 2411511203 12P P0.5</t>
  </si>
  <si>
    <t>SP010037300</t>
  </si>
  <si>
    <t>S H-CONN SDAN 606045-032111 32P P0.5</t>
  </si>
  <si>
    <t>SP010037H00</t>
  </si>
  <si>
    <t>S H-CONN HEFENG AWB01-S08CIA-HF 8P P0.8</t>
  </si>
  <si>
    <t>SP020012X00</t>
  </si>
  <si>
    <t>S W-CONN CVILUX CI4204M2HR0-NH 4P P1.25</t>
  </si>
  <si>
    <t>SP02001CK00</t>
  </si>
  <si>
    <t>S W-CONN CVILUX CI4202M2HR0-NH 2P P1.25</t>
  </si>
  <si>
    <t>SP02001NN00</t>
  </si>
  <si>
    <t>S W-CONN HEFENG AWB03-S04C1A-HF 4P P1.25</t>
  </si>
  <si>
    <t>SP02001QS00</t>
  </si>
  <si>
    <t>S W-CONN TWVM WTB1220-02RD-MAGHB 2P</t>
  </si>
  <si>
    <t>SP02001RN00</t>
  </si>
  <si>
    <t>S W-CONN TWVM WTB2020-08RD-TAGHA 8P P2.0</t>
  </si>
  <si>
    <t>SP02001RW00</t>
  </si>
  <si>
    <t>S W-CONN TWVM WTB1220-06RD-TAGHD 6P</t>
  </si>
  <si>
    <t>SP02001S300</t>
  </si>
  <si>
    <t>S W-CONN HEFENG AWB03-S02C1A-H0 2P P1.25</t>
  </si>
  <si>
    <t>SP02001SC00</t>
  </si>
  <si>
    <t>S W-CONN HEFENG AWB05-S02FCA-RB 2P P1.25</t>
  </si>
  <si>
    <t>SP02001T500</t>
  </si>
  <si>
    <t>S W-CONN HEFENG AWB11-S08F1A-HF 8P P2.0</t>
  </si>
  <si>
    <t>SP02001VG00</t>
  </si>
  <si>
    <t>S W-CONN HEFENG AWB03-S06C6A-HF 6P P1.25</t>
  </si>
  <si>
    <t>SP050006F00</t>
  </si>
  <si>
    <t>S X'FORM_ IH-160 LAN</t>
  </si>
  <si>
    <t>8504.31.99</t>
  </si>
  <si>
    <t>SP050006P00</t>
  </si>
  <si>
    <t>S X'FORM_ IH-115-F LAN</t>
  </si>
  <si>
    <t>8504.31.19</t>
  </si>
  <si>
    <t>SP06000EPA0</t>
  </si>
  <si>
    <t>S CONN LOTES AUSB0605-P203A USB</t>
  </si>
  <si>
    <t>SP06000FXA0</t>
  </si>
  <si>
    <t>S CONN CONTECK 29134-5K29-02 USB</t>
  </si>
  <si>
    <t>SP06000FTA0</t>
  </si>
  <si>
    <t>S CONN SINGATRON 2UB3C40-003111F USB</t>
  </si>
  <si>
    <t>SP070013E00</t>
  </si>
  <si>
    <t>S SOCKET BELLWETHER 80152-3221 67P NGFF</t>
  </si>
  <si>
    <t>SP070018L00</t>
  </si>
  <si>
    <t>S SOCKET BELLWETHER 80159-3221 67P NGFF</t>
  </si>
  <si>
    <t>SP07001CY00</t>
  </si>
  <si>
    <t>S SOCKET LOTES ADDR0206-P001A 260P DDR4</t>
  </si>
  <si>
    <t>SP07001EW00</t>
  </si>
  <si>
    <t>S SOCKET LOTES APCI0107-P001A NGFF KEY M</t>
  </si>
  <si>
    <t>SP07001HW00</t>
  </si>
  <si>
    <t>S SOCKET LOTES ADDR0205-P001A DDR4 STD</t>
  </si>
  <si>
    <t>SP07001OK00</t>
  </si>
  <si>
    <t>S SOCKET FOX ASAA821-H4SB5-7H 260P DDR4</t>
  </si>
  <si>
    <t>SP07001OD00</t>
  </si>
  <si>
    <t>S SOCKET LOTES APCI0108-P001A NGFF KEY E</t>
  </si>
  <si>
    <t>SP07001OO00</t>
  </si>
  <si>
    <t>S SOCKET FOX ASAA821-H4RB5-7H 260P DDR4</t>
  </si>
  <si>
    <t>SP07001V500</t>
  </si>
  <si>
    <t>S SOCKET BELLWETHER 80886-1121 260P DDR4</t>
  </si>
  <si>
    <t>8536.90.40.013</t>
  </si>
  <si>
    <t>SP07001WG00</t>
  </si>
  <si>
    <t>S SOCKET DEREN 567YD2-001H1S11R-R DDR5</t>
  </si>
  <si>
    <t>SP07001WH00</t>
  </si>
  <si>
    <t>S SOCKET DEREN 567YD2-001H1R11R-R DDR5</t>
  </si>
  <si>
    <t>Unit. Price</t>
  </si>
  <si>
    <t>72A0U6BO183</t>
  </si>
  <si>
    <t>72A0U6BO070</t>
  </si>
  <si>
    <t>72A0Z1BO143</t>
  </si>
  <si>
    <t>72A0Z1BO123</t>
  </si>
  <si>
    <t>72A0YNBO179</t>
  </si>
  <si>
    <t>72A0YNBO351</t>
  </si>
  <si>
    <t>72A0YNBO245</t>
  </si>
  <si>
    <t>72A0X8BO092</t>
  </si>
  <si>
    <t>72A0X8BO091</t>
  </si>
  <si>
    <t>72A0X8BO089</t>
  </si>
  <si>
    <t>72A0X8BO090</t>
  </si>
  <si>
    <t>72A11KBO039</t>
  </si>
  <si>
    <t>72A11KBO037</t>
  </si>
  <si>
    <t>72A11KBO038</t>
  </si>
  <si>
    <t>72A131BO087</t>
  </si>
  <si>
    <t>72A13ZBO017</t>
  </si>
  <si>
    <t>72A0OTBO189</t>
  </si>
  <si>
    <t>72A0SJBO066</t>
  </si>
  <si>
    <t>72A0Z1BO077</t>
  </si>
  <si>
    <t>72A0Z1BO070</t>
  </si>
  <si>
    <t>72A11KBO119</t>
  </si>
  <si>
    <t>72A131BO118</t>
  </si>
  <si>
    <t>72A0YCBO126</t>
  </si>
  <si>
    <t>72A00EBO154</t>
  </si>
  <si>
    <t>72A11KBO130</t>
  </si>
  <si>
    <t>72A11KBO029</t>
  </si>
  <si>
    <t>72A11KBO030</t>
  </si>
  <si>
    <t>72A11KBO031</t>
  </si>
  <si>
    <t>72A0U1BO157</t>
  </si>
  <si>
    <t>72A13ZBO019</t>
  </si>
  <si>
    <t>72A0U1BO158</t>
  </si>
  <si>
    <t>72A11KBO041</t>
  </si>
  <si>
    <t>72A0U1BO159</t>
  </si>
  <si>
    <t>72A0U6BO203</t>
  </si>
  <si>
    <t>72A0OTBO139</t>
  </si>
  <si>
    <t>72A0Z1BO170</t>
  </si>
  <si>
    <t>72A0F6BO093</t>
  </si>
  <si>
    <t>72A0U1BO166</t>
  </si>
  <si>
    <t>729BWVBO042</t>
  </si>
  <si>
    <t>72A0U1BO167</t>
  </si>
  <si>
    <t>72A0U1BO161</t>
  </si>
  <si>
    <t>72A13ZBO023</t>
  </si>
  <si>
    <t>72A11KBO045</t>
  </si>
  <si>
    <t>72A0OTBO140</t>
  </si>
  <si>
    <t>72A0TKBO046</t>
  </si>
  <si>
    <t>72A13ZBO024</t>
  </si>
  <si>
    <t>72A0U1BO044</t>
  </si>
  <si>
    <t>72A11KBO077</t>
  </si>
  <si>
    <t>72A11KBO078</t>
  </si>
  <si>
    <t>72A11KBO079</t>
  </si>
  <si>
    <t>72A11KBO080</t>
  </si>
  <si>
    <t>72A11KBO081</t>
  </si>
  <si>
    <t>72A11KBO082</t>
  </si>
  <si>
    <t>72A0F6BO112</t>
  </si>
  <si>
    <t>72A0OTBO148</t>
  </si>
  <si>
    <t>72A0L3BO125</t>
  </si>
  <si>
    <t>72A0X8BO105</t>
  </si>
  <si>
    <t>72A0X8BO106</t>
  </si>
  <si>
    <t>72A11KBO112</t>
  </si>
  <si>
    <t>729BWVBO9BE</t>
  </si>
  <si>
    <t>72A11KBO113</t>
  </si>
  <si>
    <t>729CGIBO098</t>
  </si>
  <si>
    <t>72A115BO139</t>
  </si>
  <si>
    <t>72A131BO080</t>
  </si>
  <si>
    <t>729CGIBO100</t>
  </si>
  <si>
    <t>72A0JABO134</t>
  </si>
  <si>
    <t>72A0U1BO079</t>
  </si>
  <si>
    <t>72A03ZBO264</t>
  </si>
  <si>
    <t>72A0F6BO144</t>
  </si>
  <si>
    <t>72A0SYBO021</t>
  </si>
  <si>
    <t>72A09OBO106</t>
  </si>
  <si>
    <t>72A0DHBO045</t>
  </si>
  <si>
    <t>72A09SBO076</t>
  </si>
  <si>
    <t>72A03ZBO268</t>
  </si>
  <si>
    <t>72A09SBO077</t>
  </si>
  <si>
    <t>72A0U6BO210</t>
  </si>
  <si>
    <t>72A0UGBO033</t>
  </si>
  <si>
    <t>72A11KBO116</t>
  </si>
  <si>
    <t>72A03ZBO426</t>
  </si>
  <si>
    <t>72A0DHBO207</t>
  </si>
  <si>
    <t>72A09OBO111</t>
  </si>
  <si>
    <t>72A0JABO136</t>
  </si>
  <si>
    <t>72A09OBO112</t>
  </si>
  <si>
    <t>72A0JVBO054</t>
  </si>
  <si>
    <t>72A0UGBO034</t>
  </si>
  <si>
    <t>72A0UGBO035</t>
  </si>
  <si>
    <t>72A0U1BO072</t>
  </si>
  <si>
    <t>72A0JABO139</t>
  </si>
  <si>
    <t>72A0U1BO074</t>
  </si>
  <si>
    <t>72A0DHBO051</t>
  </si>
  <si>
    <t>72A0U6BO211</t>
  </si>
  <si>
    <t>72A0F6BO148</t>
  </si>
  <si>
    <t>72A0L3BO075</t>
  </si>
  <si>
    <t>72A0Z1BO148</t>
  </si>
  <si>
    <t>72A0Z1BO151</t>
  </si>
  <si>
    <t>72A0JABO143</t>
  </si>
  <si>
    <t>72A0SJBO065</t>
  </si>
  <si>
    <t>72A0JABO145</t>
  </si>
  <si>
    <t>72A0PYBO099</t>
  </si>
  <si>
    <t>72A0L3BO082</t>
  </si>
  <si>
    <t>72A0OTBO193</t>
  </si>
  <si>
    <t>72A0L3BO110</t>
  </si>
  <si>
    <t>72A11KBO122</t>
  </si>
  <si>
    <t>72A0OTBO197</t>
  </si>
  <si>
    <t>72A0QOBO041</t>
  </si>
  <si>
    <t>72A0OTBO198</t>
  </si>
  <si>
    <t>72A11KBO123</t>
  </si>
  <si>
    <t>72A115BO132</t>
  </si>
  <si>
    <t>72A0OTBO199</t>
  </si>
  <si>
    <t>72A13ZBO055</t>
  </si>
  <si>
    <t>72A0OTBO203</t>
  </si>
  <si>
    <t>72A0U1BO082</t>
  </si>
  <si>
    <t>72A11KBO127</t>
  </si>
  <si>
    <t>72A0U6BO124</t>
  </si>
  <si>
    <t>72A0YNBO248</t>
  </si>
  <si>
    <t>72A0U6BO125</t>
  </si>
  <si>
    <t>72A11KBO128</t>
  </si>
  <si>
    <t>72A0U1BO090</t>
  </si>
  <si>
    <t>72A0Z1BO152</t>
  </si>
  <si>
    <t>72A0Z1BO153</t>
  </si>
  <si>
    <t>72A0X8BO111</t>
  </si>
  <si>
    <t>72A11VBO108</t>
  </si>
  <si>
    <t>72A0X8BO135</t>
  </si>
  <si>
    <t>72A0Z1BO079</t>
  </si>
  <si>
    <t>72A11KBO131</t>
  </si>
  <si>
    <t>72A0Z1BO081</t>
  </si>
  <si>
    <t>72A11KBO132</t>
  </si>
  <si>
    <t>72A11KBO134</t>
  </si>
  <si>
    <t>72A11KBO135</t>
  </si>
  <si>
    <t>72A0UGBO105</t>
  </si>
  <si>
    <t>72A11KBO126</t>
  </si>
  <si>
    <t>72A115BO138</t>
  </si>
  <si>
    <t>729BWVBO9BY</t>
  </si>
  <si>
    <t>72A09OBO055</t>
  </si>
  <si>
    <t>72A0UGBO040</t>
  </si>
  <si>
    <t>72A0YCBO137</t>
  </si>
  <si>
    <t>72A0F8BO154</t>
  </si>
  <si>
    <t>72A00EBO443</t>
  </si>
  <si>
    <t>72A0XGBO105</t>
  </si>
  <si>
    <t>72A09OBO056</t>
  </si>
  <si>
    <t>72A0OTBO209</t>
  </si>
  <si>
    <t>72A0DHBO180</t>
  </si>
  <si>
    <t>72A0OTBO210</t>
  </si>
  <si>
    <t>72A0F8BO152</t>
  </si>
  <si>
    <t>72A0ANBO053</t>
  </si>
  <si>
    <t>72A0U6BO132</t>
  </si>
  <si>
    <t>72A0OTBO208</t>
  </si>
  <si>
    <t>72A0F8BO153</t>
  </si>
  <si>
    <t>72A0F8BO189</t>
  </si>
  <si>
    <t>72A0JABO157</t>
  </si>
  <si>
    <t>72A0JABO158</t>
  </si>
  <si>
    <t>72A0YCBO139</t>
  </si>
  <si>
    <t>72A0YCBO140</t>
  </si>
  <si>
    <t>72A0YCBO138</t>
  </si>
  <si>
    <t>72A11KBO146</t>
  </si>
  <si>
    <t>72A0PYBO064</t>
  </si>
  <si>
    <t>72A0SJBO071</t>
  </si>
  <si>
    <t>72A0Z1BO156</t>
  </si>
  <si>
    <t>72A0YKBO059</t>
  </si>
  <si>
    <t>729CGIBO145</t>
  </si>
  <si>
    <t>72A03ZBO274</t>
  </si>
  <si>
    <t>72A0YCBO144</t>
  </si>
  <si>
    <t>72A0YCBO145</t>
  </si>
  <si>
    <t>72A0Z1BO145</t>
  </si>
  <si>
    <t>72A0Z1BO146</t>
  </si>
  <si>
    <t>729CGIBO112</t>
  </si>
  <si>
    <t>72A11KBO150</t>
  </si>
  <si>
    <t>72A03ZBO294</t>
  </si>
  <si>
    <t>72A0U1BO098</t>
  </si>
  <si>
    <t>72A0U1BO094</t>
  </si>
  <si>
    <t>72A0L3BO104</t>
  </si>
  <si>
    <t>72A0L3BO105</t>
  </si>
  <si>
    <t>729BWVBO9CV</t>
  </si>
  <si>
    <t>72A0DHBO056</t>
  </si>
  <si>
    <t>72A00EBO366</t>
  </si>
  <si>
    <t>72A0F6BO165</t>
  </si>
  <si>
    <t>72A11KBO152</t>
  </si>
  <si>
    <t>72A0U6BO201</t>
  </si>
  <si>
    <t>72A0Z1BO086</t>
  </si>
  <si>
    <t>72A11KBO153</t>
  </si>
  <si>
    <t>72A0F8BO156</t>
  </si>
  <si>
    <t>72A0DHBO057</t>
  </si>
  <si>
    <t>729D7HBO408</t>
  </si>
  <si>
    <t>72A0U1BO101</t>
  </si>
  <si>
    <t>72A0YNBO202</t>
  </si>
  <si>
    <t>729CGIBO114</t>
  </si>
  <si>
    <t>72A0JABO162</t>
  </si>
  <si>
    <t>72A11KBO154</t>
  </si>
  <si>
    <t>72A0DHBO060</t>
  </si>
  <si>
    <t>72A0Z1BO088</t>
  </si>
  <si>
    <t>72A0Z1BO089</t>
  </si>
  <si>
    <t>729C4ZBO110</t>
  </si>
  <si>
    <t>72A09SBO098</t>
  </si>
  <si>
    <t>729BWVBO9D1</t>
  </si>
  <si>
    <t>72A0JVBO117</t>
  </si>
  <si>
    <t>729BWVBO784</t>
  </si>
  <si>
    <t>72A0U6BO133</t>
  </si>
  <si>
    <t>729C4ZBO111</t>
  </si>
  <si>
    <t>72A0F6BO167</t>
  </si>
  <si>
    <t>72A0OTBO215</t>
  </si>
  <si>
    <t>72A0JABO165</t>
  </si>
  <si>
    <t>72A0DHBO062</t>
  </si>
  <si>
    <t>72A0U6BO134</t>
  </si>
  <si>
    <t>72A03ZBO436</t>
  </si>
  <si>
    <t>72A0YCBO149</t>
  </si>
  <si>
    <t>729BWVBO9D4</t>
  </si>
  <si>
    <t>72A0U1BO103</t>
  </si>
  <si>
    <t>72A0QOBO043</t>
  </si>
  <si>
    <t>729BWVBO9D6</t>
  </si>
  <si>
    <t>72A11KBO156</t>
  </si>
  <si>
    <t>72A0FWBO079</t>
  </si>
  <si>
    <t>729CGIBO116</t>
  </si>
  <si>
    <t>72A11KBO157</t>
  </si>
  <si>
    <t>72A0U6BO135</t>
  </si>
  <si>
    <t>72A0QOBO044</t>
  </si>
  <si>
    <t>72A0OTBO216</t>
  </si>
  <si>
    <t>72A0JABO168</t>
  </si>
  <si>
    <t>72A0QOBO080</t>
  </si>
  <si>
    <t>72A09SBO102</t>
  </si>
  <si>
    <t>72A131BO139</t>
  </si>
  <si>
    <t>72A0OTBO217</t>
  </si>
  <si>
    <t>72A0U6BO136</t>
  </si>
  <si>
    <t>72A0Z1BO090</t>
  </si>
  <si>
    <t>72A0U6BO137</t>
  </si>
  <si>
    <t>72A0U6BO138</t>
  </si>
  <si>
    <t>72A0Z1BO091</t>
  </si>
  <si>
    <t>72A0U6BO139</t>
  </si>
  <si>
    <t>72A0U6BO140</t>
  </si>
  <si>
    <t>72A0U6BO141</t>
  </si>
  <si>
    <t>72A0F8BO191</t>
  </si>
  <si>
    <t>72A0DHBO064</t>
  </si>
  <si>
    <t>72A0Z1BO092</t>
  </si>
  <si>
    <t>72A0Z1BO093</t>
  </si>
  <si>
    <t>72A0JABO243</t>
  </si>
  <si>
    <t>72A11KBO158</t>
  </si>
  <si>
    <t>72A0U6BO142</t>
  </si>
  <si>
    <t>72A0U6BO143</t>
  </si>
  <si>
    <t>72A0QOBO046</t>
  </si>
  <si>
    <t>72A0U6BO144</t>
  </si>
  <si>
    <t>72A0U6BO145</t>
  </si>
  <si>
    <t>72A11KBO159</t>
  </si>
  <si>
    <t>72A0Z1BO094</t>
  </si>
  <si>
    <t>72A0Z1BO095</t>
  </si>
  <si>
    <t>729BWVBO9DA</t>
  </si>
  <si>
    <t>729BWVBO790</t>
  </si>
  <si>
    <t>72A0SYBO024</t>
  </si>
  <si>
    <t>72A0JABO171</t>
  </si>
  <si>
    <t>72A0YCBO150</t>
  </si>
  <si>
    <t>72A131BO122</t>
  </si>
  <si>
    <t>72A0JABO172</t>
  </si>
  <si>
    <t>72A0DHBO022</t>
  </si>
  <si>
    <t>729BWVBO791</t>
  </si>
  <si>
    <t>729BWVBO9DD</t>
  </si>
  <si>
    <t>729BWVBO9DE</t>
  </si>
  <si>
    <t>729C4ZBO114</t>
  </si>
  <si>
    <t>729BWVBO9DG</t>
  </si>
  <si>
    <t>729D7HBO414</t>
  </si>
  <si>
    <t>72A11KBO160</t>
  </si>
  <si>
    <t>72A0Z1BO157</t>
  </si>
  <si>
    <t>729C4ZBO116</t>
  </si>
  <si>
    <t>72A131BO123</t>
  </si>
  <si>
    <t>72A0Z1BO158</t>
  </si>
  <si>
    <t>72A0SJBO078</t>
  </si>
  <si>
    <t>729BWVBO929</t>
  </si>
  <si>
    <t>729BWVBO9DN</t>
  </si>
  <si>
    <t>729BWVBO799</t>
  </si>
  <si>
    <t>729BWVBO800</t>
  </si>
  <si>
    <t>729BWVBO801</t>
  </si>
  <si>
    <t>729BWVBO802</t>
  </si>
  <si>
    <t>729D7HBO416</t>
  </si>
  <si>
    <t>729BWVBO931</t>
  </si>
  <si>
    <t>729D7HBO417</t>
  </si>
  <si>
    <t>72A0DHBO067</t>
  </si>
  <si>
    <t>72A0JABO174</t>
  </si>
  <si>
    <t>729BWVBO808</t>
  </si>
  <si>
    <t>729BWVBO809</t>
  </si>
  <si>
    <t>729BWVBO9DP</t>
  </si>
  <si>
    <t>729BWVBO814</t>
  </si>
  <si>
    <t>72A0JABO177</t>
  </si>
  <si>
    <t>72A09OBO058</t>
  </si>
  <si>
    <t>729BWVBO816</t>
  </si>
  <si>
    <t>729BWVBO817</t>
  </si>
  <si>
    <t>72A03ZBO290</t>
  </si>
  <si>
    <t>729D7HBO418</t>
  </si>
  <si>
    <t>729BWVBO819</t>
  </si>
  <si>
    <t>72A0DHBO068</t>
  </si>
  <si>
    <t>729BWVBO822</t>
  </si>
  <si>
    <t>72A0QOBO047</t>
  </si>
  <si>
    <t>72A09OBO059</t>
  </si>
  <si>
    <t>72A0JABO180</t>
  </si>
  <si>
    <t>72A00EBO425</t>
  </si>
  <si>
    <t>729BWVBO825</t>
  </si>
  <si>
    <t>729BWVBO826</t>
  </si>
  <si>
    <t>729BWVBO827</t>
  </si>
  <si>
    <t>729BWVBO9DQ</t>
  </si>
  <si>
    <t>729CGIBO166</t>
  </si>
  <si>
    <t>729BWVBO9DR</t>
  </si>
  <si>
    <t>729BWVBO9HC</t>
  </si>
  <si>
    <t>729BWVBO9DS</t>
  </si>
  <si>
    <t>72A0JABO182</t>
  </si>
  <si>
    <t>72A09SBO111</t>
  </si>
  <si>
    <t>72A0DHBO069</t>
  </si>
  <si>
    <t>72A11KBO161</t>
  </si>
  <si>
    <t>72A0YCBO153</t>
  </si>
  <si>
    <t>729D7HBO419</t>
  </si>
  <si>
    <t>72A0U1BO107</t>
  </si>
  <si>
    <t>72A09OBO061</t>
  </si>
  <si>
    <t>729BWVBO828</t>
  </si>
  <si>
    <t>729BWVBO9DU</t>
  </si>
  <si>
    <t>72A09OBO133</t>
  </si>
  <si>
    <t>72A13ZBO064</t>
  </si>
  <si>
    <t>729CYJBO302</t>
  </si>
  <si>
    <t>729BWVBO9DW</t>
  </si>
  <si>
    <t>72A09SBO114</t>
  </si>
  <si>
    <t>729CGIBO169</t>
  </si>
  <si>
    <t>72A0SJBO079</t>
  </si>
  <si>
    <t>729CYJBO303</t>
  </si>
  <si>
    <t>729BWVBO9DX</t>
  </si>
  <si>
    <t>72A0YNBO203</t>
  </si>
  <si>
    <t>72A0DHBO071</t>
  </si>
  <si>
    <t>72A09OBO135</t>
  </si>
  <si>
    <t>72A0JABO184</t>
  </si>
  <si>
    <t>729D7HBO425</t>
  </si>
  <si>
    <t>729BWVBO9E2</t>
  </si>
  <si>
    <t>729BWVBO832</t>
  </si>
  <si>
    <t>729CPUBO002</t>
  </si>
  <si>
    <t>729C4ZBO121</t>
  </si>
  <si>
    <t>729BWVBO9HE</t>
  </si>
  <si>
    <t>729BWVBO9E3</t>
  </si>
  <si>
    <t>729C4ZBO122</t>
  </si>
  <si>
    <t>72A0U1BO108</t>
  </si>
  <si>
    <t>729BWVBO9E4</t>
  </si>
  <si>
    <t>729CGIBO170</t>
  </si>
  <si>
    <t>72A0F8BO195</t>
  </si>
  <si>
    <t>729CGIBO171</t>
  </si>
  <si>
    <t>72A11KBO162</t>
  </si>
  <si>
    <t>72A0JABO185</t>
  </si>
  <si>
    <t>729BWVBO834</t>
  </si>
  <si>
    <t>729BWVBO835</t>
  </si>
  <si>
    <t>72A11KBO163</t>
  </si>
  <si>
    <t>729BWVBO837</t>
  </si>
  <si>
    <t>729CGIBO173</t>
  </si>
  <si>
    <t>729BWVBO838</t>
  </si>
  <si>
    <t>72A09SBO118</t>
  </si>
  <si>
    <t>729BWVBO9HG</t>
  </si>
  <si>
    <t>72A03ZBO449</t>
  </si>
  <si>
    <t>72A09SBO119</t>
  </si>
  <si>
    <t>72A131BO124</t>
  </si>
  <si>
    <t>729D7HBO427</t>
  </si>
  <si>
    <t>72A0Z1BO159</t>
  </si>
  <si>
    <t>72A0YNBO251</t>
  </si>
  <si>
    <t>729BWVBO9E7</t>
  </si>
  <si>
    <t>72A0Z1BO160</t>
  </si>
  <si>
    <t>729D7HBO428</t>
  </si>
  <si>
    <t>72A0L4BO109</t>
  </si>
  <si>
    <t>72A0F6BO184</t>
  </si>
  <si>
    <t>729BWVBO9E9</t>
  </si>
  <si>
    <t>72A11KBO164</t>
  </si>
  <si>
    <t>729BWVBO9EA</t>
  </si>
  <si>
    <t>72A0F8BO016</t>
  </si>
  <si>
    <t>72A0DHBO074</t>
  </si>
  <si>
    <t>72A131BO125</t>
  </si>
  <si>
    <t>72A0JABO188</t>
  </si>
  <si>
    <t>729BWVBO9HH</t>
  </si>
  <si>
    <t>72A09OBO138</t>
  </si>
  <si>
    <t>729D7HBO429</t>
  </si>
  <si>
    <t>72A0DHBO075</t>
  </si>
  <si>
    <t>729BWVBO9EE</t>
  </si>
  <si>
    <t>72A11KBO165</t>
  </si>
  <si>
    <t>72A0JABO189</t>
  </si>
  <si>
    <t>729CYJBO307</t>
  </si>
  <si>
    <t>729BWVBO842</t>
  </si>
  <si>
    <t>729CGIBO177</t>
  </si>
  <si>
    <t>729BWVBO843</t>
  </si>
  <si>
    <t>72A131BO126</t>
  </si>
  <si>
    <t>72A0OTBO222</t>
  </si>
  <si>
    <t>72A11KBO166</t>
  </si>
  <si>
    <t>729BWVBO9HO</t>
  </si>
  <si>
    <t>72A0U1BO111</t>
  </si>
  <si>
    <t>729CYJBO308</t>
  </si>
  <si>
    <t>72A0FWBO035</t>
  </si>
  <si>
    <t>729CYJBO309</t>
  </si>
  <si>
    <t>72A0QOBO050</t>
  </si>
  <si>
    <t>729BWVBO9EG</t>
  </si>
  <si>
    <t>72A0U1BO112</t>
  </si>
  <si>
    <t>72A09OBO139</t>
  </si>
  <si>
    <t>72A0JABO194</t>
  </si>
  <si>
    <t>72A09OBO140</t>
  </si>
  <si>
    <t>729BWVBO9EI</t>
  </si>
  <si>
    <t>729BWVBO844</t>
  </si>
  <si>
    <t>729D7HBO430</t>
  </si>
  <si>
    <t>729BWVBO9EJ</t>
  </si>
  <si>
    <t>729BWVBO845</t>
  </si>
  <si>
    <t>72A0FWBO027</t>
  </si>
  <si>
    <t>72A0JABO196</t>
  </si>
  <si>
    <t>72A09SBO122</t>
  </si>
  <si>
    <t>72A0JVBO090</t>
  </si>
  <si>
    <t>729BWVBO847</t>
  </si>
  <si>
    <t>72A0ANBO040</t>
  </si>
  <si>
    <t>72A0SJBO081</t>
  </si>
  <si>
    <t>72A0U1BO113</t>
  </si>
  <si>
    <t>729D7HBO431</t>
  </si>
  <si>
    <t>72A00EBO368</t>
  </si>
  <si>
    <t>729BWVBO9EO</t>
  </si>
  <si>
    <t>72A0F8BO198</t>
  </si>
  <si>
    <t>72A0OTBO223</t>
  </si>
  <si>
    <t>72A0F6BO189</t>
  </si>
  <si>
    <t>72A0FWBO024</t>
  </si>
  <si>
    <t>72A0JABO197</t>
  </si>
  <si>
    <t>72A09OBO143</t>
  </si>
  <si>
    <t>729BWVBO849</t>
  </si>
  <si>
    <t>72A03ZBO440</t>
  </si>
  <si>
    <t>729CGIBO180</t>
  </si>
  <si>
    <t>72A0JVBO091</t>
  </si>
  <si>
    <t>72A11KBO167</t>
  </si>
  <si>
    <t>72A09SBO124</t>
  </si>
  <si>
    <t>729C4ZBO131</t>
  </si>
  <si>
    <t>72A0FWBO023</t>
  </si>
  <si>
    <t>72A0F8BO199</t>
  </si>
  <si>
    <t>72A0Z1BO096</t>
  </si>
  <si>
    <t>72A0U6BO146</t>
  </si>
  <si>
    <t>72A0U6BO147</t>
  </si>
  <si>
    <t>72A0Z1BO097</t>
  </si>
  <si>
    <t>72A0JABO199</t>
  </si>
  <si>
    <t>72A0U6BO149</t>
  </si>
  <si>
    <t>72A0FWBO022</t>
  </si>
  <si>
    <t>72A0F8BO200</t>
  </si>
  <si>
    <t>72A0F8BO201</t>
  </si>
  <si>
    <t>72A0U6BO150</t>
  </si>
  <si>
    <t>72A0U6BO151</t>
  </si>
  <si>
    <t>72A0JABO200</t>
  </si>
  <si>
    <t>72A0Z1BO098</t>
  </si>
  <si>
    <t>72A0Z1BO099</t>
  </si>
  <si>
    <t>72A0U6BO153</t>
  </si>
  <si>
    <t>72A0U6BO154</t>
  </si>
  <si>
    <t>729BWVBO854</t>
  </si>
  <si>
    <t>72A0Z1BO100</t>
  </si>
  <si>
    <t>729BWVBO855</t>
  </si>
  <si>
    <t>729BWVBO9EV</t>
  </si>
  <si>
    <t>729BWVBO9EW</t>
  </si>
  <si>
    <t>72A0F8BO202</t>
  </si>
  <si>
    <t>72A0JABO203</t>
  </si>
  <si>
    <t>729BWVBO856</t>
  </si>
  <si>
    <t>72A11KBO168</t>
  </si>
  <si>
    <t>729BWVBO9F1</t>
  </si>
  <si>
    <t>72A11KBO169</t>
  </si>
  <si>
    <t>72A0Z1BO101</t>
  </si>
  <si>
    <t>729D7HBO436</t>
  </si>
  <si>
    <t>72A0YCBO156</t>
  </si>
  <si>
    <t>72A0JABO206</t>
  </si>
  <si>
    <t>729CYJBO317</t>
  </si>
  <si>
    <t>729CYJBO360</t>
  </si>
  <si>
    <t>72A0Z1BO102</t>
  </si>
  <si>
    <t>72A0SJBO083</t>
  </si>
  <si>
    <t>72A0SJBO084</t>
  </si>
  <si>
    <t>72A11KBO170</t>
  </si>
  <si>
    <t>72A131BO127</t>
  </si>
  <si>
    <t>729D7HBO437</t>
  </si>
  <si>
    <t>72A0F6BO196</t>
  </si>
  <si>
    <t>72A11KBO172</t>
  </si>
  <si>
    <t>72A0OTBO225</t>
  </si>
  <si>
    <t>72A0U1BO114</t>
  </si>
  <si>
    <t>72A0U6BO156</t>
  </si>
  <si>
    <t>72A09OBO145</t>
  </si>
  <si>
    <t>72A0DHBO079</t>
  </si>
  <si>
    <t>72A0YCBO157</t>
  </si>
  <si>
    <t>72A0U6BO158</t>
  </si>
  <si>
    <t>72A0KCBO050</t>
  </si>
  <si>
    <t>72A09SBO128</t>
  </si>
  <si>
    <t>72A0JABO207</t>
  </si>
  <si>
    <t>72A0SJBO085</t>
  </si>
  <si>
    <t>72A0JABO208</t>
  </si>
  <si>
    <t>72A11KBO174</t>
  </si>
  <si>
    <t>72A0DHBO081</t>
  </si>
  <si>
    <t>72A0JABO209</t>
  </si>
  <si>
    <t>72A0YNBO205</t>
  </si>
  <si>
    <t>72A0Z1BO103</t>
  </si>
  <si>
    <t>72A0DHBO082</t>
  </si>
  <si>
    <t>72A0U6BO188</t>
  </si>
  <si>
    <t>72A0U6BO159</t>
  </si>
  <si>
    <t>72A0Z1BO107</t>
  </si>
  <si>
    <t>72A131BO129</t>
  </si>
  <si>
    <t>72A0QOBO054</t>
  </si>
  <si>
    <t>72A0U6BO161</t>
  </si>
  <si>
    <t>72A0U6BO162</t>
  </si>
  <si>
    <t>72A0JABO211</t>
  </si>
  <si>
    <t>72A0OTBO228</t>
  </si>
  <si>
    <t>72A0Z1BO109</t>
  </si>
  <si>
    <t>72A0Z1BO110</t>
  </si>
  <si>
    <t>72A0FWBO029</t>
  </si>
  <si>
    <t>729BWVBO857</t>
  </si>
  <si>
    <t>72A0DHBO083</t>
  </si>
  <si>
    <t>72A0DHBO084</t>
  </si>
  <si>
    <t>729BWVBO9F7</t>
  </si>
  <si>
    <t>729BWVBO859</t>
  </si>
  <si>
    <t>729BWVBO860</t>
  </si>
  <si>
    <t>729BWVBO861</t>
  </si>
  <si>
    <t>729BWVBO9F8</t>
  </si>
  <si>
    <t>729BWVBO862</t>
  </si>
  <si>
    <t>72A0F6BO197</t>
  </si>
  <si>
    <t>729BWVBO9HJ</t>
  </si>
  <si>
    <t>72A0JVBO052</t>
  </si>
  <si>
    <t>729BWVBO9F9</t>
  </si>
  <si>
    <t>72A0DHBO085</t>
  </si>
  <si>
    <t>729BWVBO865</t>
  </si>
  <si>
    <t>72A0JABO212</t>
  </si>
  <si>
    <t>729BWVBO866</t>
  </si>
  <si>
    <t>729BWVBO9FA</t>
  </si>
  <si>
    <t>729CGIBO184</t>
  </si>
  <si>
    <t>72A0JABO213</t>
  </si>
  <si>
    <t>729BWVBO9FB</t>
  </si>
  <si>
    <t>729BWVBO868</t>
  </si>
  <si>
    <t>72A0FWBO042</t>
  </si>
  <si>
    <t>72A0DHBO086</t>
  </si>
  <si>
    <t>729BWVBO870</t>
  </si>
  <si>
    <t>729BWVBO9FE</t>
  </si>
  <si>
    <t>729D7HBO441</t>
  </si>
  <si>
    <t>729BWVBO871</t>
  </si>
  <si>
    <t>729BWVBO872</t>
  </si>
  <si>
    <t>72A0F8BO207</t>
  </si>
  <si>
    <t>729BWVBO9FG</t>
  </si>
  <si>
    <t>729BWVBO9FH</t>
  </si>
  <si>
    <t>72A0DHBO111</t>
  </si>
  <si>
    <t>729BWVBO9FK</t>
  </si>
  <si>
    <t>72A131BO140</t>
  </si>
  <si>
    <t>729CYJBO319</t>
  </si>
  <si>
    <t>72A0U6BO164</t>
  </si>
  <si>
    <t>72A0U1BO115</t>
  </si>
  <si>
    <t>72A0SJBO088</t>
  </si>
  <si>
    <t>729CGIBO189</t>
  </si>
  <si>
    <t>72A0ANBO050</t>
  </si>
  <si>
    <t>729CYJBO320</t>
  </si>
  <si>
    <t>72A0U1BO116</t>
  </si>
  <si>
    <t>72A0U1BO118</t>
  </si>
  <si>
    <t>729CPUBO001</t>
  </si>
  <si>
    <t>72A0SJBO092</t>
  </si>
  <si>
    <t>72A0DHBO090</t>
  </si>
  <si>
    <t>72A03ZBO281</t>
  </si>
  <si>
    <t>72A0PYBO081</t>
  </si>
  <si>
    <t>72A0UGBO048</t>
  </si>
  <si>
    <t>72A0OTBO230</t>
  </si>
  <si>
    <t>72A0UGBO104</t>
  </si>
  <si>
    <t>72A0YNBO208</t>
  </si>
  <si>
    <t>72A11KBO178</t>
  </si>
  <si>
    <t>72A03ZBO283</t>
  </si>
  <si>
    <t>72A09OBO150</t>
  </si>
  <si>
    <t>72A11KBO184</t>
  </si>
  <si>
    <t>729D7HBO456</t>
  </si>
  <si>
    <t>729D7HBO457</t>
  </si>
  <si>
    <t>72A0YNBO209</t>
  </si>
  <si>
    <t>72A0U1BO124</t>
  </si>
  <si>
    <t>72A0ANBO047</t>
  </si>
  <si>
    <t>72A0DHBO026</t>
  </si>
  <si>
    <t>72A0JABO217</t>
  </si>
  <si>
    <t>729D7HBO460</t>
  </si>
  <si>
    <t>72A03ZBO442</t>
  </si>
  <si>
    <t>72A0Z1BO113</t>
  </si>
  <si>
    <t>72A09SBO131</t>
  </si>
  <si>
    <t>72A09SBO132</t>
  </si>
  <si>
    <t>72A0L3BO118</t>
  </si>
  <si>
    <t>72A0X8BO117</t>
  </si>
  <si>
    <t>72A11KBO189</t>
  </si>
  <si>
    <t>72A0OTBO234</t>
  </si>
  <si>
    <t>72A0U1BO129</t>
  </si>
  <si>
    <t>72A131BO134</t>
  </si>
  <si>
    <t>72A0QOBO107</t>
  </si>
  <si>
    <t>72A0QOBO106</t>
  </si>
  <si>
    <t>72A0Z1BO169</t>
  </si>
  <si>
    <t>72A11KBO187</t>
  </si>
  <si>
    <t>72A11KBO188</t>
  </si>
  <si>
    <t>72A11KBO190</t>
  </si>
  <si>
    <t>72A11KBO193</t>
  </si>
  <si>
    <t>72A0U6BO168</t>
  </si>
  <si>
    <t>72A0F8BO019</t>
  </si>
  <si>
    <t>72A0F6BO218</t>
  </si>
  <si>
    <t>72A0SJBO097</t>
  </si>
  <si>
    <t>72A0Z1BO115</t>
  </si>
  <si>
    <t>72A0YNBO210</t>
  </si>
  <si>
    <t>72A00EBO430</t>
  </si>
  <si>
    <t>729D7HBO470</t>
  </si>
  <si>
    <t>72A09OBO153</t>
  </si>
  <si>
    <t>72A0U1BO137</t>
  </si>
  <si>
    <t>72A0F8BO320</t>
  </si>
  <si>
    <t>729D7HBO473</t>
  </si>
  <si>
    <t>729BWVBO910</t>
  </si>
  <si>
    <t>72A0F8BO323</t>
  </si>
  <si>
    <t>72A0SJBO099</t>
  </si>
  <si>
    <t>72A09OBO104</t>
  </si>
  <si>
    <t>72A03ZBO300</t>
  </si>
  <si>
    <t>72A0F8BO317</t>
  </si>
  <si>
    <t>72A0F8BO318</t>
  </si>
  <si>
    <t>72A0FWBO039</t>
  </si>
  <si>
    <t>72A0JABO223</t>
  </si>
  <si>
    <t>72A0F8BO313</t>
  </si>
  <si>
    <t>72A0U1BO143</t>
  </si>
  <si>
    <t>72A0F8BO164</t>
  </si>
  <si>
    <t>72A0F8BO165</t>
  </si>
  <si>
    <t>72A0L4BO120</t>
  </si>
  <si>
    <t>72A0QOBO082</t>
  </si>
  <si>
    <t>72A0JVBO097</t>
  </si>
  <si>
    <t>72A0L3BO126</t>
  </si>
  <si>
    <t>72A0UGBO053</t>
  </si>
  <si>
    <t>72A13ZBO070</t>
  </si>
  <si>
    <t>72A13ZBO071</t>
  </si>
  <si>
    <t>72A0U1BO146</t>
  </si>
  <si>
    <t>72A0U1BO148</t>
  </si>
  <si>
    <t>72A0Z1BO172</t>
  </si>
  <si>
    <t>72A0Z1BO173</t>
  </si>
  <si>
    <t>72A11KBO198</t>
  </si>
  <si>
    <t>72A09OBO161</t>
  </si>
  <si>
    <t>72A0QOBO057</t>
  </si>
  <si>
    <t>72A0OTBO245</t>
  </si>
  <si>
    <t>72A0PYBO085</t>
  </si>
  <si>
    <t>72A0OTBO247</t>
  </si>
  <si>
    <t>72A0U1BO151</t>
  </si>
  <si>
    <t>72A0OTBO248</t>
  </si>
  <si>
    <t>72A0UGBO054</t>
  </si>
  <si>
    <t>72A0UGBO055</t>
  </si>
  <si>
    <t>72A0X8BO138</t>
  </si>
  <si>
    <t>729BWVBO928</t>
  </si>
  <si>
    <t>72A0U1BO152</t>
  </si>
  <si>
    <t>72A0Z1BO179</t>
  </si>
  <si>
    <t>72A11KBO205</t>
  </si>
  <si>
    <t>72A13ZBO073</t>
  </si>
  <si>
    <t>72A03ZBO472</t>
  </si>
  <si>
    <t>72A0JVBO105</t>
  </si>
  <si>
    <t>72A0DHBO119</t>
  </si>
  <si>
    <t>72A0DHBO102</t>
  </si>
  <si>
    <t>72A0F6BO236</t>
  </si>
  <si>
    <t>72A0L3BO129</t>
  </si>
  <si>
    <t>72A0OTBO250</t>
  </si>
  <si>
    <t>72A0JVBO103</t>
  </si>
  <si>
    <t>72A11KBO206</t>
  </si>
  <si>
    <t>72A115BO166</t>
  </si>
  <si>
    <t>72A115BO167</t>
  </si>
  <si>
    <t>20plt</t>
    <phoneticPr fontId="18" type="noConversion"/>
  </si>
  <si>
    <t>BAL</t>
    <phoneticPr fontId="18" type="noConversion"/>
  </si>
  <si>
    <t>SJ10000TO00</t>
  </si>
  <si>
    <t>72A0SJBO095</t>
  </si>
  <si>
    <t>SJ100015700</t>
    <phoneticPr fontId="20" type="noConversion"/>
  </si>
  <si>
    <t>72A0Z1BO116</t>
  </si>
  <si>
    <t>SA0000EWQ00</t>
  </si>
  <si>
    <t>72A115BO137</t>
  </si>
  <si>
    <t>SM01000RQ00</t>
  </si>
  <si>
    <t>72A0X8BO136</t>
  </si>
  <si>
    <t>ready</t>
    <phoneticPr fontId="18" type="noConversion"/>
  </si>
  <si>
    <t>72A0SJBO066</t>
    <phoneticPr fontId="18" type="noConversion"/>
  </si>
  <si>
    <t>Qty</t>
    <phoneticPr fontId="18" type="noConversion"/>
  </si>
  <si>
    <t>SA0000BJH10</t>
  </si>
  <si>
    <t>SA0000EIN00</t>
  </si>
  <si>
    <t>SA000075S30</t>
  </si>
  <si>
    <t>SA00009QP00</t>
  </si>
  <si>
    <t>SA0000BCG30</t>
  </si>
  <si>
    <t>SA0000B8720</t>
  </si>
  <si>
    <t>SA00003EW10</t>
  </si>
  <si>
    <t>SA0000DHJ00</t>
  </si>
  <si>
    <t>SA0000BEZ50</t>
  </si>
  <si>
    <t>SA0000BCG50</t>
  </si>
  <si>
    <t>PN</t>
    <phoneticPr fontId="18" type="noConversion"/>
  </si>
  <si>
    <t>列標籤</t>
  </si>
  <si>
    <t>總計</t>
  </si>
  <si>
    <t>加總 - Qty</t>
  </si>
  <si>
    <t>72A0U6BO067</t>
  </si>
  <si>
    <t>DA2001B801A</t>
    <phoneticPr fontId="18" type="noConversion"/>
  </si>
  <si>
    <t>72A0SJBO090</t>
  </si>
  <si>
    <t>SGA00001E10</t>
    <phoneticPr fontId="18" type="noConversion"/>
  </si>
  <si>
    <t>SA00009PH10</t>
    <phoneticPr fontId="18" type="noConversion"/>
  </si>
  <si>
    <t>SA00009KY30</t>
    <phoneticPr fontId="18" type="noConversion"/>
  </si>
  <si>
    <t>follow MB</t>
    <phoneticPr fontId="18" type="noConversion"/>
  </si>
  <si>
    <t>SA0000BCG50FG</t>
    <phoneticPr fontId="18" type="noConversion"/>
  </si>
  <si>
    <t>MOQ updated</t>
    <phoneticPr fontId="18" type="noConversion"/>
  </si>
  <si>
    <t>cut MOQ</t>
    <phoneticPr fontId="18" type="noConversion"/>
  </si>
  <si>
    <t>SGA00004E10</t>
    <phoneticPr fontId="18" type="noConversion"/>
  </si>
  <si>
    <t>ALT SGA00009M00</t>
    <phoneticPr fontId="18" type="noConversion"/>
  </si>
  <si>
    <t>combine with ALT SGA00009S00</t>
    <phoneticPr fontId="18" type="noConversion"/>
  </si>
  <si>
    <t>combine with ALT SH00000YC00</t>
    <phoneticPr fontId="18" type="noConversion"/>
  </si>
  <si>
    <t>ALT SJ10000TO00*33000</t>
    <phoneticPr fontId="18" type="noConversion"/>
  </si>
  <si>
    <t>ALT SJ100015700*18000</t>
    <phoneticPr fontId="18" type="noConversion"/>
  </si>
  <si>
    <t>ALT SA0000BCG30FG*900</t>
    <phoneticPr fontId="18" type="noConversion"/>
  </si>
  <si>
    <t>pick up 6.15</t>
    <phoneticPr fontId="18" type="noConversion"/>
  </si>
  <si>
    <t>pick up 6.27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</si>
</sst>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Border="1"/>
    <xf numFmtId="3" fontId="0" fillId="0" borderId="0" xfId="0" applyNumberFormat="1" applyBorder="1"/>
    <xf numFmtId="0" fontId="0" fillId="0" borderId="0" xfId="0" applyFill="1" applyBorder="1"/>
    <xf numFmtId="0" fontId="0" fillId="33" borderId="0" xfId="0" applyFill="1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Fill="1" applyBorder="1"/>
    <xf numFmtId="0" fontId="0" fillId="0" borderId="0" xfId="0" applyFill="1"/>
    <xf numFmtId="4" fontId="0" fillId="0" borderId="0" xfId="0" applyNumberFormat="1" applyFill="1" applyBorder="1"/>
    <xf numFmtId="0" fontId="19" fillId="0" borderId="0" xfId="0" applyFont="1" applyFill="1" applyBorder="1" applyAlignment="1">
      <alignment vertical="center"/>
    </xf>
    <xf numFmtId="0" fontId="14" fillId="0" borderId="0" xfId="0" applyFont="1" applyFill="1" applyBorder="1"/>
    <xf numFmtId="0" fontId="21" fillId="0" borderId="0" xfId="0" applyFont="1" applyFill="1" applyBorder="1"/>
    <xf numFmtId="3" fontId="21" fillId="0" borderId="0" xfId="0" applyNumberFormat="1" applyFont="1" applyFill="1" applyBorder="1"/>
    <xf numFmtId="4" fontId="21" fillId="0" borderId="0" xfId="0" applyNumberFormat="1" applyFont="1" applyFill="1" applyBorder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5">
    <dxf>
      <fill>
        <patternFill patternType="solid">
          <fgColor rgb="FFFF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O651"/>
  <sheetViews>
    <sheetView tabSelected="1" zoomScale="70" zoomScaleNormal="70" workbookViewId="0">
      <selection activeCell="I10" sqref="I10"/>
    </sheetView>
  </sheetViews>
  <sheetFormatPr defaultRowHeight="14.5" x14ac:dyDescent="0.3"/>
  <cols>
    <col min="1" max="1" width="11.796875" style="6" bestFit="1" customWidth="1"/>
    <col min="2" max="2" width="5.69921875" style="6" bestFit="1" customWidth="1"/>
    <col min="3" max="3" width="16.3984375" style="6" bestFit="1" customWidth="1"/>
    <col min="4" max="4" width="16.3984375" style="6" customWidth="1"/>
    <col min="5" max="5" width="17.296875" style="6" bestFit="1" customWidth="1"/>
    <col min="6" max="6" width="13.3984375" style="6" bestFit="1" customWidth="1"/>
    <col min="7" max="9" width="15.5" style="6" bestFit="1" customWidth="1"/>
    <col min="10" max="10" width="9.19921875" style="6" bestFit="1" customWidth="1"/>
    <col min="11" max="11" width="10.19921875" style="6" bestFit="1" customWidth="1"/>
    <col min="12" max="12" width="10.5" style="6" bestFit="1" customWidth="1"/>
    <col min="13" max="13" width="13.8984375" style="6" bestFit="1" customWidth="1"/>
    <col min="14" max="14" width="45" style="6" bestFit="1" customWidth="1"/>
    <col min="15" max="15" width="40.09765625" style="13" bestFit="1" customWidth="1"/>
    <col min="16" max="16384" width="8.796875" style="13"/>
  </cols>
  <sheetData>
    <row r="1" spans="1:14" x14ac:dyDescent="0.3">
      <c r="A1" s="6" t="s">
        <v>0</v>
      </c>
      <c r="B1" s="6" t="s">
        <v>1</v>
      </c>
      <c r="C1" s="6" t="s">
        <v>2</v>
      </c>
      <c r="F1" s="6" t="s">
        <v>4</v>
      </c>
      <c r="G1" s="6" t="s">
        <v>2005</v>
      </c>
      <c r="H1" s="6" t="s">
        <v>2005</v>
      </c>
      <c r="I1" s="6" t="s">
        <v>2006</v>
      </c>
      <c r="J1" s="6" t="s">
        <v>1962</v>
      </c>
      <c r="K1" s="6" t="s">
        <v>1325</v>
      </c>
      <c r="L1" s="6" t="s">
        <v>5</v>
      </c>
      <c r="M1" s="6" t="s">
        <v>6</v>
      </c>
      <c r="N1" s="6" t="s">
        <v>3</v>
      </c>
    </row>
    <row r="2" spans="1:14" x14ac:dyDescent="0.3">
      <c r="A2" s="6">
        <v>9660002112</v>
      </c>
      <c r="B2" s="6">
        <v>440</v>
      </c>
      <c r="C2" s="6" t="s">
        <v>92</v>
      </c>
      <c r="E2" s="6">
        <v>87098600032</v>
      </c>
      <c r="F2" s="12">
        <v>33000</v>
      </c>
      <c r="G2" s="6">
        <v>33000</v>
      </c>
      <c r="J2" s="12">
        <f>SUM(G2:I2)-F2</f>
        <v>0</v>
      </c>
      <c r="K2" s="14">
        <v>0.45600000000000002</v>
      </c>
      <c r="L2" s="14">
        <v>15048</v>
      </c>
      <c r="M2" s="6" t="s">
        <v>80</v>
      </c>
      <c r="N2" s="6" t="s">
        <v>93</v>
      </c>
    </row>
    <row r="3" spans="1:14" x14ac:dyDescent="0.3">
      <c r="A3" s="6">
        <v>9660002112</v>
      </c>
      <c r="B3" s="6">
        <v>330</v>
      </c>
      <c r="C3" s="6" t="s">
        <v>66</v>
      </c>
      <c r="E3" s="6">
        <v>87100500010</v>
      </c>
      <c r="F3" s="12">
        <v>10000</v>
      </c>
      <c r="I3" s="6">
        <v>10000</v>
      </c>
      <c r="J3" s="12">
        <f>SUM(G3:I3)-F3</f>
        <v>0</v>
      </c>
      <c r="K3" s="14">
        <v>0.20799999999999999</v>
      </c>
      <c r="L3" s="14">
        <v>2080</v>
      </c>
      <c r="M3" s="6" t="s">
        <v>42</v>
      </c>
      <c r="N3" s="6" t="s">
        <v>67</v>
      </c>
    </row>
    <row r="4" spans="1:14" x14ac:dyDescent="0.3">
      <c r="A4" s="6">
        <v>9660002112</v>
      </c>
      <c r="B4" s="6">
        <v>320</v>
      </c>
      <c r="C4" s="6" t="s">
        <v>64</v>
      </c>
      <c r="E4" s="6">
        <v>87108600006</v>
      </c>
      <c r="F4" s="12">
        <v>9000</v>
      </c>
      <c r="I4" s="6">
        <v>9000</v>
      </c>
      <c r="J4" s="12">
        <f>SUM(G4:I4)-F4</f>
        <v>0</v>
      </c>
      <c r="K4" s="14">
        <v>0.78600000000000003</v>
      </c>
      <c r="L4" s="14">
        <v>7074</v>
      </c>
      <c r="M4" s="6" t="s">
        <v>42</v>
      </c>
      <c r="N4" s="6" t="s">
        <v>65</v>
      </c>
    </row>
    <row r="5" spans="1:14" x14ac:dyDescent="0.3">
      <c r="A5" s="6">
        <v>9660002112</v>
      </c>
      <c r="B5" s="6">
        <v>490</v>
      </c>
      <c r="C5" s="6" t="s">
        <v>102</v>
      </c>
      <c r="E5" s="6" t="s">
        <v>1364</v>
      </c>
      <c r="F5" s="12">
        <v>98000</v>
      </c>
      <c r="H5" s="6">
        <v>98000</v>
      </c>
      <c r="J5" s="12">
        <f>SUM(G5:I5)-F5</f>
        <v>0</v>
      </c>
      <c r="K5" s="14">
        <v>0.10894000000000001</v>
      </c>
      <c r="L5" s="14">
        <v>10676.12</v>
      </c>
      <c r="M5" s="6" t="s">
        <v>89</v>
      </c>
      <c r="N5" s="6" t="s">
        <v>103</v>
      </c>
    </row>
    <row r="6" spans="1:14" x14ac:dyDescent="0.3">
      <c r="A6" s="6">
        <v>9660002112</v>
      </c>
      <c r="B6" s="6">
        <v>2070</v>
      </c>
      <c r="C6" s="6" t="s">
        <v>430</v>
      </c>
      <c r="E6" s="6" t="s">
        <v>1521</v>
      </c>
      <c r="F6" s="12">
        <v>320000</v>
      </c>
      <c r="G6" s="6">
        <v>320000</v>
      </c>
      <c r="J6" s="12">
        <f>SUM(G6:I6)-F6</f>
        <v>0</v>
      </c>
      <c r="K6" s="14">
        <v>2.2000000000000001E-4</v>
      </c>
      <c r="L6" s="6">
        <v>70.400000000000006</v>
      </c>
      <c r="M6" s="6" t="s">
        <v>399</v>
      </c>
      <c r="N6" s="6" t="s">
        <v>431</v>
      </c>
    </row>
    <row r="7" spans="1:14" x14ac:dyDescent="0.3">
      <c r="A7" s="6">
        <v>9660002112</v>
      </c>
      <c r="B7" s="6">
        <v>2560</v>
      </c>
      <c r="C7" s="6" t="s">
        <v>528</v>
      </c>
      <c r="E7" s="6" t="s">
        <v>1570</v>
      </c>
      <c r="F7" s="12">
        <v>70000</v>
      </c>
      <c r="G7" s="6">
        <v>70000</v>
      </c>
      <c r="J7" s="12">
        <f>SUM(G7:I7)-F7</f>
        <v>0</v>
      </c>
      <c r="K7" s="14">
        <v>6.7999999999999994E-4</v>
      </c>
      <c r="L7" s="6">
        <v>47.6</v>
      </c>
      <c r="M7" s="6" t="s">
        <v>399</v>
      </c>
      <c r="N7" s="6" t="s">
        <v>529</v>
      </c>
    </row>
    <row r="8" spans="1:14" x14ac:dyDescent="0.3">
      <c r="A8" s="6">
        <v>9660002112</v>
      </c>
      <c r="B8" s="6">
        <v>2630</v>
      </c>
      <c r="C8" s="6" t="s">
        <v>542</v>
      </c>
      <c r="E8" s="6" t="s">
        <v>1577</v>
      </c>
      <c r="F8" s="12">
        <v>470000</v>
      </c>
      <c r="G8" s="6">
        <v>470000</v>
      </c>
      <c r="J8" s="12">
        <f>SUM(G8:I8)-F8</f>
        <v>0</v>
      </c>
      <c r="K8" s="14">
        <v>3.7999999999999997E-4</v>
      </c>
      <c r="L8" s="6">
        <v>178.6</v>
      </c>
      <c r="M8" s="6" t="s">
        <v>399</v>
      </c>
      <c r="N8" s="6" t="s">
        <v>543</v>
      </c>
    </row>
    <row r="9" spans="1:14" x14ac:dyDescent="0.3">
      <c r="A9" s="6">
        <v>9660002112</v>
      </c>
      <c r="B9" s="6">
        <v>2770</v>
      </c>
      <c r="C9" s="6" t="s">
        <v>570</v>
      </c>
      <c r="E9" s="6" t="s">
        <v>1591</v>
      </c>
      <c r="F9" s="12">
        <v>300000</v>
      </c>
      <c r="G9" s="6">
        <v>300000</v>
      </c>
      <c r="J9" s="12">
        <f>SUM(G9:I9)-F9</f>
        <v>0</v>
      </c>
      <c r="K9" s="14">
        <v>2.0000000000000001E-4</v>
      </c>
      <c r="L9" s="6">
        <v>60</v>
      </c>
      <c r="M9" s="6" t="s">
        <v>399</v>
      </c>
      <c r="N9" s="6" t="s">
        <v>571</v>
      </c>
    </row>
    <row r="10" spans="1:14" x14ac:dyDescent="0.3">
      <c r="A10" s="6">
        <v>9660002112</v>
      </c>
      <c r="B10" s="6">
        <v>2780</v>
      </c>
      <c r="C10" s="6" t="s">
        <v>572</v>
      </c>
      <c r="E10" s="6" t="s">
        <v>1592</v>
      </c>
      <c r="F10" s="12">
        <v>1500000</v>
      </c>
      <c r="G10" s="6">
        <v>1500000</v>
      </c>
      <c r="J10" s="12">
        <f>SUM(G10:I10)-F10</f>
        <v>0</v>
      </c>
      <c r="K10" s="14">
        <v>2.0000000000000001E-4</v>
      </c>
      <c r="L10" s="6">
        <v>300</v>
      </c>
      <c r="M10" s="6" t="s">
        <v>399</v>
      </c>
      <c r="N10" s="6" t="s">
        <v>573</v>
      </c>
    </row>
    <row r="11" spans="1:14" x14ac:dyDescent="0.3">
      <c r="A11" s="6">
        <v>9660002112</v>
      </c>
      <c r="B11" s="6">
        <v>2790</v>
      </c>
      <c r="C11" s="6" t="s">
        <v>574</v>
      </c>
      <c r="E11" s="6" t="s">
        <v>1593</v>
      </c>
      <c r="F11" s="12">
        <v>1160000</v>
      </c>
      <c r="G11" s="6">
        <v>1160000</v>
      </c>
      <c r="J11" s="12">
        <f>SUM(G11:I11)-F11</f>
        <v>0</v>
      </c>
      <c r="K11" s="14">
        <v>2.0000000000000001E-4</v>
      </c>
      <c r="L11" s="6">
        <v>232</v>
      </c>
      <c r="M11" s="6" t="s">
        <v>399</v>
      </c>
      <c r="N11" s="6" t="s">
        <v>575</v>
      </c>
    </row>
    <row r="12" spans="1:14" x14ac:dyDescent="0.3">
      <c r="A12" s="6">
        <v>9660002112</v>
      </c>
      <c r="B12" s="6">
        <v>2800</v>
      </c>
      <c r="C12" s="6" t="s">
        <v>576</v>
      </c>
      <c r="E12" s="6" t="s">
        <v>1594</v>
      </c>
      <c r="F12" s="12">
        <v>80000</v>
      </c>
      <c r="G12" s="6">
        <v>80000</v>
      </c>
      <c r="J12" s="12">
        <f>SUM(G12:I12)-F12</f>
        <v>0</v>
      </c>
      <c r="K12" s="14">
        <v>2.0000000000000001E-4</v>
      </c>
      <c r="L12" s="6">
        <v>16</v>
      </c>
      <c r="M12" s="6" t="s">
        <v>399</v>
      </c>
      <c r="N12" s="6" t="s">
        <v>577</v>
      </c>
    </row>
    <row r="13" spans="1:14" x14ac:dyDescent="0.3">
      <c r="A13" s="6">
        <v>9660002112</v>
      </c>
      <c r="B13" s="6">
        <v>2860</v>
      </c>
      <c r="C13" s="6" t="s">
        <v>588</v>
      </c>
      <c r="E13" s="6" t="s">
        <v>1600</v>
      </c>
      <c r="F13" s="12">
        <v>1060000</v>
      </c>
      <c r="G13" s="6">
        <v>1060000</v>
      </c>
      <c r="J13" s="12">
        <f>SUM(G13:I13)-F13</f>
        <v>0</v>
      </c>
      <c r="K13" s="14">
        <v>2.0000000000000001E-4</v>
      </c>
      <c r="L13" s="6">
        <v>212</v>
      </c>
      <c r="M13" s="6" t="s">
        <v>399</v>
      </c>
      <c r="N13" s="6" t="s">
        <v>589</v>
      </c>
    </row>
    <row r="14" spans="1:14" x14ac:dyDescent="0.3">
      <c r="A14" s="6">
        <v>9660002112</v>
      </c>
      <c r="B14" s="6">
        <v>2870</v>
      </c>
      <c r="C14" s="6" t="s">
        <v>590</v>
      </c>
      <c r="E14" s="6" t="s">
        <v>1601</v>
      </c>
      <c r="F14" s="12">
        <v>120000</v>
      </c>
      <c r="G14" s="6">
        <v>120000</v>
      </c>
      <c r="J14" s="12">
        <f>SUM(G14:I14)-F14</f>
        <v>0</v>
      </c>
      <c r="K14" s="14">
        <v>2.0000000000000001E-4</v>
      </c>
      <c r="L14" s="6">
        <v>24</v>
      </c>
      <c r="M14" s="6" t="s">
        <v>399</v>
      </c>
      <c r="N14" s="6" t="s">
        <v>591</v>
      </c>
    </row>
    <row r="15" spans="1:14" x14ac:dyDescent="0.3">
      <c r="A15" s="6">
        <v>9660002112</v>
      </c>
      <c r="B15" s="6">
        <v>2890</v>
      </c>
      <c r="C15" s="6" t="s">
        <v>594</v>
      </c>
      <c r="E15" s="6" t="s">
        <v>1603</v>
      </c>
      <c r="F15" s="12">
        <v>230000</v>
      </c>
      <c r="G15" s="6">
        <v>230000</v>
      </c>
      <c r="J15" s="12">
        <f>SUM(G15:I15)-F15</f>
        <v>0</v>
      </c>
      <c r="K15" s="14">
        <v>2.0000000000000001E-4</v>
      </c>
      <c r="L15" s="6">
        <v>46</v>
      </c>
      <c r="M15" s="6" t="s">
        <v>399</v>
      </c>
      <c r="N15" s="6" t="s">
        <v>595</v>
      </c>
    </row>
    <row r="16" spans="1:14" x14ac:dyDescent="0.3">
      <c r="A16" s="6">
        <v>9660002112</v>
      </c>
      <c r="B16" s="6">
        <v>2920</v>
      </c>
      <c r="C16" s="6" t="s">
        <v>600</v>
      </c>
      <c r="E16" s="6" t="s">
        <v>1606</v>
      </c>
      <c r="F16" s="12">
        <v>640000</v>
      </c>
      <c r="G16" s="6">
        <v>640000</v>
      </c>
      <c r="J16" s="12">
        <f>SUM(G16:I16)-F16</f>
        <v>0</v>
      </c>
      <c r="K16" s="14">
        <v>2.0000000000000001E-4</v>
      </c>
      <c r="L16" s="6">
        <v>128</v>
      </c>
      <c r="M16" s="6" t="s">
        <v>399</v>
      </c>
      <c r="N16" s="6" t="s">
        <v>601</v>
      </c>
    </row>
    <row r="17" spans="1:14" x14ac:dyDescent="0.3">
      <c r="A17" s="6">
        <v>9660002112</v>
      </c>
      <c r="B17" s="6">
        <v>2930</v>
      </c>
      <c r="C17" s="6" t="s">
        <v>602</v>
      </c>
      <c r="E17" s="6" t="s">
        <v>1607</v>
      </c>
      <c r="F17" s="12">
        <v>50000</v>
      </c>
      <c r="G17" s="6">
        <v>50000</v>
      </c>
      <c r="J17" s="12">
        <f>SUM(G17:I17)-F17</f>
        <v>0</v>
      </c>
      <c r="K17" s="14">
        <v>2.0000000000000001E-4</v>
      </c>
      <c r="L17" s="6">
        <v>10</v>
      </c>
      <c r="M17" s="6" t="s">
        <v>399</v>
      </c>
      <c r="N17" s="6" t="s">
        <v>603</v>
      </c>
    </row>
    <row r="18" spans="1:14" x14ac:dyDescent="0.3">
      <c r="A18" s="6">
        <v>9660002112</v>
      </c>
      <c r="B18" s="6">
        <v>2960</v>
      </c>
      <c r="C18" s="6" t="s">
        <v>608</v>
      </c>
      <c r="E18" s="6" t="s">
        <v>1610</v>
      </c>
      <c r="F18" s="12">
        <v>120000</v>
      </c>
      <c r="G18" s="6">
        <v>120000</v>
      </c>
      <c r="J18" s="12">
        <f>SUM(G18:I18)-F18</f>
        <v>0</v>
      </c>
      <c r="K18" s="14">
        <v>2.3999999999999998E-4</v>
      </c>
      <c r="L18" s="6">
        <v>28.8</v>
      </c>
      <c r="M18" s="6" t="s">
        <v>399</v>
      </c>
      <c r="N18" s="6" t="s">
        <v>609</v>
      </c>
    </row>
    <row r="19" spans="1:14" x14ac:dyDescent="0.3">
      <c r="A19" s="6">
        <v>9660002112</v>
      </c>
      <c r="B19" s="6">
        <v>2980</v>
      </c>
      <c r="C19" s="6" t="s">
        <v>612</v>
      </c>
      <c r="E19" s="6" t="s">
        <v>1612</v>
      </c>
      <c r="F19" s="12">
        <v>90000</v>
      </c>
      <c r="G19" s="6">
        <v>90000</v>
      </c>
      <c r="J19" s="12">
        <f>SUM(G19:I19)-F19</f>
        <v>0</v>
      </c>
      <c r="K19" s="14">
        <v>2.7E-4</v>
      </c>
      <c r="L19" s="6">
        <v>24.3</v>
      </c>
      <c r="M19" s="6" t="s">
        <v>399</v>
      </c>
      <c r="N19" s="6" t="s">
        <v>613</v>
      </c>
    </row>
    <row r="20" spans="1:14" x14ac:dyDescent="0.3">
      <c r="A20" s="6">
        <v>9660002112</v>
      </c>
      <c r="B20" s="6">
        <v>3030</v>
      </c>
      <c r="C20" s="6" t="s">
        <v>622</v>
      </c>
      <c r="E20" s="6" t="s">
        <v>1617</v>
      </c>
      <c r="F20" s="12">
        <v>640000</v>
      </c>
      <c r="G20" s="6">
        <v>640000</v>
      </c>
      <c r="J20" s="12">
        <f>SUM(G20:I20)-F20</f>
        <v>0</v>
      </c>
      <c r="K20" s="14">
        <v>2.2000000000000001E-4</v>
      </c>
      <c r="L20" s="6">
        <v>140.80000000000001</v>
      </c>
      <c r="M20" s="6" t="s">
        <v>399</v>
      </c>
      <c r="N20" s="6" t="s">
        <v>623</v>
      </c>
    </row>
    <row r="21" spans="1:14" x14ac:dyDescent="0.3">
      <c r="A21" s="6">
        <v>9660002112</v>
      </c>
      <c r="B21" s="6">
        <v>3040</v>
      </c>
      <c r="C21" s="6" t="s">
        <v>624</v>
      </c>
      <c r="E21" s="6" t="s">
        <v>1618</v>
      </c>
      <c r="F21" s="12">
        <v>760000</v>
      </c>
      <c r="G21" s="6">
        <v>760000</v>
      </c>
      <c r="J21" s="12">
        <f>SUM(G21:I21)-F21</f>
        <v>0</v>
      </c>
      <c r="K21" s="14">
        <v>2.2000000000000001E-4</v>
      </c>
      <c r="L21" s="6">
        <v>167.2</v>
      </c>
      <c r="M21" s="6" t="s">
        <v>399</v>
      </c>
      <c r="N21" s="6" t="s">
        <v>625</v>
      </c>
    </row>
    <row r="22" spans="1:14" x14ac:dyDescent="0.3">
      <c r="A22" s="6">
        <v>9660002112</v>
      </c>
      <c r="B22" s="6">
        <v>3050</v>
      </c>
      <c r="C22" s="6" t="s">
        <v>626</v>
      </c>
      <c r="E22" s="6" t="s">
        <v>1619</v>
      </c>
      <c r="F22" s="12">
        <v>1420000</v>
      </c>
      <c r="G22" s="6">
        <v>1420000</v>
      </c>
      <c r="J22" s="12">
        <f>SUM(G22:I22)-F22</f>
        <v>0</v>
      </c>
      <c r="K22" s="14">
        <v>2.2000000000000001E-4</v>
      </c>
      <c r="L22" s="6">
        <v>312.39999999999998</v>
      </c>
      <c r="M22" s="6" t="s">
        <v>399</v>
      </c>
      <c r="N22" s="6" t="s">
        <v>627</v>
      </c>
    </row>
    <row r="23" spans="1:14" x14ac:dyDescent="0.3">
      <c r="A23" s="6">
        <v>9660002112</v>
      </c>
      <c r="B23" s="6">
        <v>3190</v>
      </c>
      <c r="C23" s="6" t="s">
        <v>654</v>
      </c>
      <c r="E23" s="6" t="s">
        <v>1633</v>
      </c>
      <c r="F23" s="12">
        <v>10000</v>
      </c>
      <c r="G23" s="6">
        <v>10000</v>
      </c>
      <c r="J23" s="12">
        <f>SUM(G23:I23)-F23</f>
        <v>0</v>
      </c>
      <c r="K23" s="14">
        <v>2.1000000000000001E-4</v>
      </c>
      <c r="L23" s="6">
        <v>2.1</v>
      </c>
      <c r="M23" s="6" t="s">
        <v>399</v>
      </c>
      <c r="N23" s="6" t="s">
        <v>655</v>
      </c>
    </row>
    <row r="24" spans="1:14" x14ac:dyDescent="0.3">
      <c r="A24" s="6">
        <v>9660002112</v>
      </c>
      <c r="B24" s="6">
        <v>3360</v>
      </c>
      <c r="C24" s="6" t="s">
        <v>688</v>
      </c>
      <c r="E24" s="6" t="s">
        <v>1650</v>
      </c>
      <c r="F24" s="12">
        <v>50000</v>
      </c>
      <c r="G24" s="6">
        <v>50000</v>
      </c>
      <c r="J24" s="12">
        <f>SUM(G24:I24)-F24</f>
        <v>0</v>
      </c>
      <c r="K24" s="14">
        <v>2.2000000000000001E-4</v>
      </c>
      <c r="L24" s="6">
        <v>11</v>
      </c>
      <c r="M24" s="6" t="s">
        <v>399</v>
      </c>
      <c r="N24" s="6" t="s">
        <v>689</v>
      </c>
    </row>
    <row r="25" spans="1:14" x14ac:dyDescent="0.3">
      <c r="A25" s="6">
        <v>9660002112</v>
      </c>
      <c r="B25" s="6">
        <v>3490</v>
      </c>
      <c r="C25" s="6" t="s">
        <v>714</v>
      </c>
      <c r="E25" s="6" t="s">
        <v>1663</v>
      </c>
      <c r="F25" s="12">
        <v>10000</v>
      </c>
      <c r="G25" s="6">
        <v>10000</v>
      </c>
      <c r="J25" s="12">
        <f>SUM(G25:I25)-F25</f>
        <v>0</v>
      </c>
      <c r="K25" s="14">
        <v>1.8999999999999998E-4</v>
      </c>
      <c r="L25" s="6">
        <v>1.9</v>
      </c>
      <c r="M25" s="6" t="s">
        <v>399</v>
      </c>
      <c r="N25" s="6" t="s">
        <v>715</v>
      </c>
    </row>
    <row r="26" spans="1:14" x14ac:dyDescent="0.3">
      <c r="A26" s="6">
        <v>9660002112</v>
      </c>
      <c r="B26" s="6">
        <v>3500</v>
      </c>
      <c r="C26" s="6" t="s">
        <v>716</v>
      </c>
      <c r="E26" s="6" t="s">
        <v>1664</v>
      </c>
      <c r="F26" s="12">
        <v>20000</v>
      </c>
      <c r="G26" s="6">
        <v>20000</v>
      </c>
      <c r="J26" s="12">
        <f>SUM(G26:I26)-F26</f>
        <v>0</v>
      </c>
      <c r="K26" s="14">
        <v>2.1000000000000001E-4</v>
      </c>
      <c r="L26" s="6">
        <v>4.2</v>
      </c>
      <c r="M26" s="6" t="s">
        <v>399</v>
      </c>
      <c r="N26" s="6" t="s">
        <v>717</v>
      </c>
    </row>
    <row r="27" spans="1:14" x14ac:dyDescent="0.3">
      <c r="A27" s="6">
        <v>9660002112</v>
      </c>
      <c r="B27" s="6">
        <v>3520</v>
      </c>
      <c r="C27" s="6" t="s">
        <v>720</v>
      </c>
      <c r="E27" s="6" t="s">
        <v>1666</v>
      </c>
      <c r="F27" s="12">
        <v>100000</v>
      </c>
      <c r="G27" s="6">
        <v>100000</v>
      </c>
      <c r="J27" s="12">
        <f>SUM(G27:I27)-F27</f>
        <v>0</v>
      </c>
      <c r="K27" s="14">
        <v>2.2000000000000001E-4</v>
      </c>
      <c r="L27" s="6">
        <v>22</v>
      </c>
      <c r="M27" s="6" t="s">
        <v>399</v>
      </c>
      <c r="N27" s="6" t="s">
        <v>721</v>
      </c>
    </row>
    <row r="28" spans="1:14" x14ac:dyDescent="0.3">
      <c r="A28" s="6">
        <v>9660002112</v>
      </c>
      <c r="B28" s="6">
        <v>3540</v>
      </c>
      <c r="C28" s="6" t="s">
        <v>724</v>
      </c>
      <c r="E28" s="6" t="s">
        <v>1668</v>
      </c>
      <c r="F28" s="12">
        <v>130000</v>
      </c>
      <c r="G28" s="6">
        <v>130000</v>
      </c>
      <c r="J28" s="12">
        <f>SUM(G28:I28)-F28</f>
        <v>0</v>
      </c>
      <c r="K28" s="14">
        <v>3.1E-4</v>
      </c>
      <c r="L28" s="6">
        <v>40.299999999999997</v>
      </c>
      <c r="M28" s="6" t="s">
        <v>399</v>
      </c>
      <c r="N28" s="6" t="s">
        <v>725</v>
      </c>
    </row>
    <row r="29" spans="1:14" x14ac:dyDescent="0.3">
      <c r="A29" s="6">
        <v>9660002112</v>
      </c>
      <c r="B29" s="6">
        <v>3830</v>
      </c>
      <c r="C29" s="6" t="s">
        <v>782</v>
      </c>
      <c r="E29" s="6" t="s">
        <v>1697</v>
      </c>
      <c r="F29" s="12">
        <v>60000</v>
      </c>
      <c r="G29" s="6">
        <v>60000</v>
      </c>
      <c r="J29" s="12">
        <f>SUM(G29:I29)-F29</f>
        <v>0</v>
      </c>
      <c r="K29" s="14">
        <v>2.1000000000000001E-4</v>
      </c>
      <c r="L29" s="6">
        <v>12.6</v>
      </c>
      <c r="M29" s="6" t="s">
        <v>399</v>
      </c>
      <c r="N29" s="6" t="s">
        <v>783</v>
      </c>
    </row>
    <row r="30" spans="1:14" x14ac:dyDescent="0.3">
      <c r="A30" s="6">
        <v>9660002112</v>
      </c>
      <c r="B30" s="6">
        <v>3850</v>
      </c>
      <c r="C30" s="6" t="s">
        <v>786</v>
      </c>
      <c r="E30" s="6" t="s">
        <v>1699</v>
      </c>
      <c r="F30" s="12">
        <v>50000</v>
      </c>
      <c r="G30" s="6">
        <v>50000</v>
      </c>
      <c r="J30" s="12">
        <f>SUM(G30:I30)-F30</f>
        <v>0</v>
      </c>
      <c r="K30" s="14">
        <v>2.7E-4</v>
      </c>
      <c r="L30" s="6">
        <v>13.5</v>
      </c>
      <c r="M30" s="6" t="s">
        <v>399</v>
      </c>
      <c r="N30" s="6" t="s">
        <v>787</v>
      </c>
    </row>
    <row r="31" spans="1:14" x14ac:dyDescent="0.3">
      <c r="A31" s="6">
        <v>9660002112</v>
      </c>
      <c r="B31" s="6">
        <v>4010</v>
      </c>
      <c r="C31" s="6" t="s">
        <v>818</v>
      </c>
      <c r="E31" s="6" t="s">
        <v>1715</v>
      </c>
      <c r="F31" s="12">
        <v>290000</v>
      </c>
      <c r="G31" s="6">
        <v>290000</v>
      </c>
      <c r="J31" s="12">
        <f>SUM(G31:I31)-F31</f>
        <v>0</v>
      </c>
      <c r="K31" s="14">
        <v>2.2000000000000001E-4</v>
      </c>
      <c r="L31" s="6">
        <v>63.8</v>
      </c>
      <c r="M31" s="6" t="s">
        <v>399</v>
      </c>
      <c r="N31" s="6" t="s">
        <v>819</v>
      </c>
    </row>
    <row r="32" spans="1:14" x14ac:dyDescent="0.3">
      <c r="A32" s="6">
        <v>9660002112</v>
      </c>
      <c r="B32" s="6">
        <v>4040</v>
      </c>
      <c r="C32" s="6" t="s">
        <v>824</v>
      </c>
      <c r="E32" s="6" t="s">
        <v>1718</v>
      </c>
      <c r="F32" s="12">
        <v>50000</v>
      </c>
      <c r="G32" s="6">
        <v>50000</v>
      </c>
      <c r="J32" s="12">
        <f>SUM(G32:I32)-F32</f>
        <v>0</v>
      </c>
      <c r="K32" s="14">
        <v>1.8999999999999998E-4</v>
      </c>
      <c r="L32" s="6">
        <v>9.5</v>
      </c>
      <c r="M32" s="6" t="s">
        <v>399</v>
      </c>
      <c r="N32" s="6" t="s">
        <v>825</v>
      </c>
    </row>
    <row r="33" spans="1:14" x14ac:dyDescent="0.3">
      <c r="A33" s="6">
        <v>9660002112</v>
      </c>
      <c r="B33" s="6">
        <v>4090</v>
      </c>
      <c r="C33" s="6" t="s">
        <v>834</v>
      </c>
      <c r="E33" s="6" t="s">
        <v>1723</v>
      </c>
      <c r="F33" s="12">
        <v>70000</v>
      </c>
      <c r="G33" s="6">
        <v>70000</v>
      </c>
      <c r="J33" s="12">
        <f>SUM(G33:I33)-F33</f>
        <v>0</v>
      </c>
      <c r="K33" s="14">
        <v>1.8999999999999998E-4</v>
      </c>
      <c r="L33" s="6">
        <v>13.3</v>
      </c>
      <c r="M33" s="6" t="s">
        <v>399</v>
      </c>
      <c r="N33" s="6" t="s">
        <v>835</v>
      </c>
    </row>
    <row r="34" spans="1:14" x14ac:dyDescent="0.3">
      <c r="A34" s="6">
        <v>9660002112</v>
      </c>
      <c r="B34" s="6">
        <v>4220</v>
      </c>
      <c r="C34" s="6" t="s">
        <v>860</v>
      </c>
      <c r="E34" s="6" t="s">
        <v>1736</v>
      </c>
      <c r="F34" s="12">
        <v>250000</v>
      </c>
      <c r="G34" s="6">
        <v>250000</v>
      </c>
      <c r="J34" s="12">
        <f>SUM(G34:I34)-F34</f>
        <v>0</v>
      </c>
      <c r="K34" s="14">
        <v>2.2000000000000001E-4</v>
      </c>
      <c r="L34" s="6">
        <v>55</v>
      </c>
      <c r="M34" s="6" t="s">
        <v>399</v>
      </c>
      <c r="N34" s="6" t="s">
        <v>861</v>
      </c>
    </row>
    <row r="35" spans="1:14" x14ac:dyDescent="0.3">
      <c r="A35" s="6">
        <v>9660002112</v>
      </c>
      <c r="B35" s="6">
        <v>4470</v>
      </c>
      <c r="C35" s="6" t="s">
        <v>910</v>
      </c>
      <c r="E35" s="6" t="s">
        <v>1761</v>
      </c>
      <c r="F35" s="12">
        <v>290000</v>
      </c>
      <c r="G35" s="6">
        <v>290000</v>
      </c>
      <c r="J35" s="12">
        <f>SUM(G35:I35)-F35</f>
        <v>0</v>
      </c>
      <c r="K35" s="14">
        <v>9.8999999999999999E-4</v>
      </c>
      <c r="L35" s="6">
        <v>287.10000000000002</v>
      </c>
      <c r="M35" s="6" t="s">
        <v>912</v>
      </c>
      <c r="N35" s="6" t="s">
        <v>911</v>
      </c>
    </row>
    <row r="36" spans="1:14" x14ac:dyDescent="0.3">
      <c r="A36" s="6">
        <v>9660002112</v>
      </c>
      <c r="B36" s="6">
        <v>4490</v>
      </c>
      <c r="C36" s="6" t="s">
        <v>915</v>
      </c>
      <c r="E36" s="6" t="s">
        <v>1763</v>
      </c>
      <c r="F36" s="12">
        <v>52000</v>
      </c>
      <c r="G36" s="6">
        <v>52000</v>
      </c>
      <c r="J36" s="12">
        <f>SUM(G36:I36)-F36</f>
        <v>0</v>
      </c>
      <c r="K36" s="14">
        <v>3.3600000000000001E-3</v>
      </c>
      <c r="L36" s="6">
        <v>174.72</v>
      </c>
      <c r="M36" s="6" t="s">
        <v>912</v>
      </c>
      <c r="N36" s="6" t="s">
        <v>916</v>
      </c>
    </row>
    <row r="37" spans="1:14" x14ac:dyDescent="0.3">
      <c r="A37" s="6">
        <v>9660002112</v>
      </c>
      <c r="B37" s="6">
        <v>4540</v>
      </c>
      <c r="C37" s="6" t="s">
        <v>925</v>
      </c>
      <c r="E37" s="6" t="s">
        <v>1768</v>
      </c>
      <c r="F37" s="12">
        <v>930000</v>
      </c>
      <c r="I37" s="6">
        <v>930000</v>
      </c>
      <c r="J37" s="12">
        <f>SUM(G37:I37)-F37</f>
        <v>0</v>
      </c>
      <c r="K37" s="14">
        <v>1.5E-3</v>
      </c>
      <c r="L37" s="14">
        <v>1395</v>
      </c>
      <c r="M37" s="6" t="s">
        <v>912</v>
      </c>
      <c r="N37" s="6" t="s">
        <v>926</v>
      </c>
    </row>
    <row r="38" spans="1:14" x14ac:dyDescent="0.3">
      <c r="A38" s="6">
        <v>9660002112</v>
      </c>
      <c r="B38" s="6">
        <v>5020</v>
      </c>
      <c r="C38" s="6" t="s">
        <v>1021</v>
      </c>
      <c r="E38" s="6" t="s">
        <v>1816</v>
      </c>
      <c r="F38" s="12">
        <v>204000</v>
      </c>
      <c r="G38" s="6">
        <v>204000</v>
      </c>
      <c r="J38" s="12">
        <f>SUM(G38:I38)-F38</f>
        <v>0</v>
      </c>
      <c r="K38" s="14">
        <v>1.3500000000000001E-3</v>
      </c>
      <c r="L38" s="6">
        <v>275.39999999999998</v>
      </c>
      <c r="M38" s="6" t="s">
        <v>912</v>
      </c>
      <c r="N38" s="6" t="s">
        <v>1022</v>
      </c>
    </row>
    <row r="39" spans="1:14" x14ac:dyDescent="0.3">
      <c r="A39" s="6">
        <v>9660002112</v>
      </c>
      <c r="B39" s="6">
        <v>5060</v>
      </c>
      <c r="C39" s="6" t="s">
        <v>1029</v>
      </c>
      <c r="E39" s="6" t="s">
        <v>1820</v>
      </c>
      <c r="F39" s="12">
        <v>70000</v>
      </c>
      <c r="G39" s="6">
        <v>70000</v>
      </c>
      <c r="J39" s="12">
        <f>SUM(G39:I39)-F39</f>
        <v>0</v>
      </c>
      <c r="K39" s="14">
        <v>5.0999999999999993E-4</v>
      </c>
      <c r="L39" s="6">
        <v>35.700000000000003</v>
      </c>
      <c r="M39" s="6" t="s">
        <v>912</v>
      </c>
      <c r="N39" s="6" t="s">
        <v>1030</v>
      </c>
    </row>
    <row r="40" spans="1:14" x14ac:dyDescent="0.3">
      <c r="A40" s="6">
        <v>9660002112</v>
      </c>
      <c r="B40" s="6">
        <v>5070</v>
      </c>
      <c r="C40" s="6" t="s">
        <v>1031</v>
      </c>
      <c r="E40" s="6" t="s">
        <v>1821</v>
      </c>
      <c r="F40" s="12">
        <v>160000</v>
      </c>
      <c r="G40" s="6">
        <v>160000</v>
      </c>
      <c r="J40" s="12">
        <f>SUM(G40:I40)-F40</f>
        <v>0</v>
      </c>
      <c r="K40" s="14">
        <v>5.0999999999999993E-4</v>
      </c>
      <c r="L40" s="6">
        <v>81.599999999999994</v>
      </c>
      <c r="M40" s="6" t="s">
        <v>912</v>
      </c>
      <c r="N40" s="6" t="s">
        <v>1032</v>
      </c>
    </row>
    <row r="41" spans="1:14" x14ac:dyDescent="0.3">
      <c r="A41" s="6">
        <v>9660002112</v>
      </c>
      <c r="B41" s="6">
        <v>5080</v>
      </c>
      <c r="C41" s="6" t="s">
        <v>1033</v>
      </c>
      <c r="E41" s="6" t="s">
        <v>1822</v>
      </c>
      <c r="F41" s="12">
        <v>40000</v>
      </c>
      <c r="G41" s="6">
        <v>40000</v>
      </c>
      <c r="J41" s="12">
        <f>SUM(G41:I41)-F41</f>
        <v>0</v>
      </c>
      <c r="K41" s="14">
        <v>5.2000000000000006E-4</v>
      </c>
      <c r="L41" s="6">
        <v>20.8</v>
      </c>
      <c r="M41" s="6" t="s">
        <v>912</v>
      </c>
      <c r="N41" s="6" t="s">
        <v>1034</v>
      </c>
    </row>
    <row r="42" spans="1:14" x14ac:dyDescent="0.3">
      <c r="A42" s="6">
        <v>9660002112</v>
      </c>
      <c r="B42" s="6">
        <v>5100</v>
      </c>
      <c r="C42" s="6" t="s">
        <v>1037</v>
      </c>
      <c r="E42" s="6" t="s">
        <v>1824</v>
      </c>
      <c r="F42" s="12">
        <v>40000</v>
      </c>
      <c r="G42" s="6">
        <v>40000</v>
      </c>
      <c r="J42" s="12">
        <f>SUM(G42:I42)-F42</f>
        <v>0</v>
      </c>
      <c r="K42" s="14">
        <v>5.2000000000000006E-4</v>
      </c>
      <c r="L42" s="6">
        <v>20.8</v>
      </c>
      <c r="M42" s="6" t="s">
        <v>912</v>
      </c>
      <c r="N42" s="6" t="s">
        <v>1038</v>
      </c>
    </row>
    <row r="43" spans="1:14" x14ac:dyDescent="0.3">
      <c r="A43" s="6">
        <v>9660002112</v>
      </c>
      <c r="B43" s="6">
        <v>5160</v>
      </c>
      <c r="C43" s="6" t="s">
        <v>1049</v>
      </c>
      <c r="E43" s="6" t="s">
        <v>1830</v>
      </c>
      <c r="F43" s="12">
        <v>20000</v>
      </c>
      <c r="G43" s="6">
        <v>20000</v>
      </c>
      <c r="J43" s="12">
        <f>SUM(G43:I43)-F43</f>
        <v>0</v>
      </c>
      <c r="K43" s="14">
        <v>5.5999999999999995E-4</v>
      </c>
      <c r="L43" s="6">
        <v>11.2</v>
      </c>
      <c r="M43" s="6" t="s">
        <v>912</v>
      </c>
      <c r="N43" s="6" t="s">
        <v>1050</v>
      </c>
    </row>
    <row r="44" spans="1:14" x14ac:dyDescent="0.3">
      <c r="A44" s="6">
        <v>9660002112</v>
      </c>
      <c r="B44" s="6">
        <v>5180</v>
      </c>
      <c r="C44" s="6" t="s">
        <v>1053</v>
      </c>
      <c r="E44" s="6" t="s">
        <v>1832</v>
      </c>
      <c r="F44" s="12">
        <v>780000</v>
      </c>
      <c r="G44" s="6">
        <v>780000</v>
      </c>
      <c r="J44" s="12">
        <f>SUM(G44:I44)-F44</f>
        <v>0</v>
      </c>
      <c r="K44" s="14">
        <v>5.0000000000000001E-4</v>
      </c>
      <c r="L44" s="6">
        <v>390</v>
      </c>
      <c r="M44" s="6" t="s">
        <v>912</v>
      </c>
      <c r="N44" s="6" t="s">
        <v>1054</v>
      </c>
    </row>
    <row r="45" spans="1:14" x14ac:dyDescent="0.3">
      <c r="A45" s="6">
        <v>9660002112</v>
      </c>
      <c r="B45" s="6">
        <v>5230</v>
      </c>
      <c r="C45" s="6" t="s">
        <v>1063</v>
      </c>
      <c r="E45" s="6" t="s">
        <v>1837</v>
      </c>
      <c r="F45" s="12">
        <v>100000</v>
      </c>
      <c r="G45" s="6">
        <v>100000</v>
      </c>
      <c r="J45" s="12">
        <f>SUM(G45:I45)-F45</f>
        <v>0</v>
      </c>
      <c r="K45" s="14">
        <v>5.2999999999999998E-4</v>
      </c>
      <c r="L45" s="6">
        <v>53</v>
      </c>
      <c r="M45" s="6" t="s">
        <v>912</v>
      </c>
      <c r="N45" s="6" t="s">
        <v>1064</v>
      </c>
    </row>
    <row r="46" spans="1:14" x14ac:dyDescent="0.3">
      <c r="A46" s="6">
        <v>9660002112</v>
      </c>
      <c r="B46" s="6">
        <v>5260</v>
      </c>
      <c r="C46" s="6" t="s">
        <v>1069</v>
      </c>
      <c r="E46" s="6" t="s">
        <v>1840</v>
      </c>
      <c r="F46" s="12">
        <v>480000</v>
      </c>
      <c r="G46" s="6">
        <v>480000</v>
      </c>
      <c r="J46" s="12">
        <f>SUM(G46:I46)-F46</f>
        <v>0</v>
      </c>
      <c r="K46" s="14">
        <v>5.9000000000000003E-4</v>
      </c>
      <c r="L46" s="6">
        <v>283.2</v>
      </c>
      <c r="M46" s="6" t="s">
        <v>912</v>
      </c>
      <c r="N46" s="6" t="s">
        <v>1070</v>
      </c>
    </row>
    <row r="47" spans="1:14" x14ac:dyDescent="0.3">
      <c r="A47" s="6">
        <v>9660002112</v>
      </c>
      <c r="B47" s="6">
        <v>5290</v>
      </c>
      <c r="C47" s="6" t="s">
        <v>1075</v>
      </c>
      <c r="E47" s="6" t="s">
        <v>1843</v>
      </c>
      <c r="F47" s="12">
        <v>120000</v>
      </c>
      <c r="G47" s="6">
        <v>120000</v>
      </c>
      <c r="J47" s="12">
        <f>SUM(G47:I47)-F47</f>
        <v>0</v>
      </c>
      <c r="K47" s="14">
        <v>4.7999999999999996E-4</v>
      </c>
      <c r="L47" s="6">
        <v>57.6</v>
      </c>
      <c r="M47" s="6" t="s">
        <v>912</v>
      </c>
      <c r="N47" s="6" t="s">
        <v>1076</v>
      </c>
    </row>
    <row r="48" spans="1:14" x14ac:dyDescent="0.3">
      <c r="A48" s="6">
        <v>9660002112</v>
      </c>
      <c r="B48" s="6">
        <v>5300</v>
      </c>
      <c r="C48" s="6" t="s">
        <v>1077</v>
      </c>
      <c r="E48" s="6" t="s">
        <v>1844</v>
      </c>
      <c r="F48" s="12">
        <v>680000</v>
      </c>
      <c r="G48" s="6">
        <v>680000</v>
      </c>
      <c r="J48" s="12">
        <f>SUM(G48:I48)-F48</f>
        <v>0</v>
      </c>
      <c r="K48" s="14">
        <v>4.8999999999999998E-4</v>
      </c>
      <c r="L48" s="6">
        <v>333.2</v>
      </c>
      <c r="M48" s="6" t="s">
        <v>912</v>
      </c>
      <c r="N48" s="6" t="s">
        <v>1078</v>
      </c>
    </row>
    <row r="49" spans="1:14" x14ac:dyDescent="0.3">
      <c r="A49" s="6">
        <v>9660002112</v>
      </c>
      <c r="B49" s="6">
        <v>5960</v>
      </c>
      <c r="C49" s="6" t="s">
        <v>1217</v>
      </c>
      <c r="E49" s="6" t="s">
        <v>1910</v>
      </c>
      <c r="F49" s="12">
        <v>140000</v>
      </c>
      <c r="G49" s="6">
        <v>140000</v>
      </c>
      <c r="J49" s="12">
        <f>SUM(G49:I49)-F49</f>
        <v>0</v>
      </c>
      <c r="K49" s="14">
        <v>2.4100000000000002E-3</v>
      </c>
      <c r="L49" s="6">
        <v>337.4</v>
      </c>
      <c r="M49" s="6" t="s">
        <v>1130</v>
      </c>
      <c r="N49" s="6" t="s">
        <v>1218</v>
      </c>
    </row>
    <row r="50" spans="1:14" x14ac:dyDescent="0.3">
      <c r="A50" s="6">
        <v>9660002112</v>
      </c>
      <c r="B50" s="6">
        <v>6320</v>
      </c>
      <c r="C50" s="6" t="s">
        <v>1290</v>
      </c>
      <c r="E50" s="6" t="s">
        <v>1945</v>
      </c>
      <c r="F50" s="12">
        <v>48000</v>
      </c>
      <c r="G50" s="6">
        <v>48000</v>
      </c>
      <c r="J50" s="12">
        <f>SUM(G50:I50)-F50</f>
        <v>0</v>
      </c>
      <c r="K50" s="14">
        <v>0.312</v>
      </c>
      <c r="L50" s="14">
        <v>14976</v>
      </c>
      <c r="M50" s="6" t="s">
        <v>1292</v>
      </c>
      <c r="N50" s="6" t="s">
        <v>1291</v>
      </c>
    </row>
    <row r="51" spans="1:14" x14ac:dyDescent="0.3">
      <c r="A51" s="6">
        <v>9660002112</v>
      </c>
      <c r="B51" s="6">
        <v>2750</v>
      </c>
      <c r="C51" s="6" t="s">
        <v>566</v>
      </c>
      <c r="E51" s="6" t="s">
        <v>1589</v>
      </c>
      <c r="F51" s="12">
        <v>1860000</v>
      </c>
      <c r="G51" s="6">
        <v>1860000</v>
      </c>
      <c r="J51" s="12">
        <f>SUM(G51:I51)-F51</f>
        <v>0</v>
      </c>
      <c r="K51" s="14">
        <v>2.0000000000000001E-4</v>
      </c>
      <c r="L51" s="6">
        <v>372</v>
      </c>
      <c r="M51" s="6" t="s">
        <v>399</v>
      </c>
      <c r="N51" s="6" t="s">
        <v>567</v>
      </c>
    </row>
    <row r="52" spans="1:14" x14ac:dyDescent="0.3">
      <c r="A52" s="6">
        <v>9660002112</v>
      </c>
      <c r="B52" s="6">
        <v>2820</v>
      </c>
      <c r="C52" s="6" t="s">
        <v>580</v>
      </c>
      <c r="E52" s="6" t="s">
        <v>1596</v>
      </c>
      <c r="F52" s="12">
        <v>20000</v>
      </c>
      <c r="I52" s="6">
        <v>20000</v>
      </c>
      <c r="J52" s="12">
        <f>SUM(G52:I52)-F52</f>
        <v>0</v>
      </c>
      <c r="K52" s="14">
        <v>1.8000000000000001E-4</v>
      </c>
      <c r="L52" s="6">
        <v>3.6</v>
      </c>
      <c r="M52" s="6" t="s">
        <v>399</v>
      </c>
      <c r="N52" s="6" t="s">
        <v>581</v>
      </c>
    </row>
    <row r="53" spans="1:14" x14ac:dyDescent="0.3">
      <c r="A53" s="6">
        <v>9660002112</v>
      </c>
      <c r="B53" s="6">
        <v>700</v>
      </c>
      <c r="C53" s="6" t="s">
        <v>148</v>
      </c>
      <c r="E53" s="6" t="s">
        <v>1385</v>
      </c>
      <c r="F53" s="12">
        <v>48000</v>
      </c>
      <c r="G53" s="6">
        <v>48000</v>
      </c>
      <c r="J53" s="12">
        <f>SUM(G53:I53)-F53</f>
        <v>0</v>
      </c>
      <c r="K53" s="14">
        <v>4.9010000000000005E-2</v>
      </c>
      <c r="L53" s="14">
        <v>2352.48</v>
      </c>
      <c r="M53" s="6" t="s">
        <v>70</v>
      </c>
      <c r="N53" s="6" t="s">
        <v>149</v>
      </c>
    </row>
    <row r="54" spans="1:14" x14ac:dyDescent="0.3">
      <c r="A54" s="6">
        <v>9660002112</v>
      </c>
      <c r="B54" s="6">
        <v>1440</v>
      </c>
      <c r="C54" s="6" t="s">
        <v>297</v>
      </c>
      <c r="E54" s="6" t="s">
        <v>1458</v>
      </c>
      <c r="F54" s="12">
        <v>303000</v>
      </c>
      <c r="G54" s="6">
        <v>303000</v>
      </c>
      <c r="J54" s="12">
        <f>SUM(G54:I54)-F54</f>
        <v>0</v>
      </c>
      <c r="K54" s="14">
        <v>5.5299999999999993E-3</v>
      </c>
      <c r="L54" s="14">
        <v>1675.59</v>
      </c>
      <c r="M54" s="6" t="s">
        <v>299</v>
      </c>
      <c r="N54" s="6" t="s">
        <v>298</v>
      </c>
    </row>
    <row r="55" spans="1:14" x14ac:dyDescent="0.3">
      <c r="A55" s="6">
        <v>9660002112</v>
      </c>
      <c r="B55" s="6">
        <v>1840</v>
      </c>
      <c r="C55" s="6" t="s">
        <v>382</v>
      </c>
      <c r="E55" s="6" t="s">
        <v>1498</v>
      </c>
      <c r="F55" s="12">
        <v>363000</v>
      </c>
      <c r="G55" s="6">
        <v>363000</v>
      </c>
      <c r="J55" s="12">
        <f>SUM(G55:I55)-F55</f>
        <v>0</v>
      </c>
      <c r="K55" s="14">
        <v>6.4999999999999997E-3</v>
      </c>
      <c r="L55" s="14">
        <v>2359.5</v>
      </c>
      <c r="M55" s="6" t="s">
        <v>384</v>
      </c>
      <c r="N55" s="6" t="s">
        <v>383</v>
      </c>
    </row>
    <row r="56" spans="1:14" x14ac:dyDescent="0.3">
      <c r="A56" s="6">
        <v>9660002112</v>
      </c>
      <c r="B56" s="6">
        <v>2050</v>
      </c>
      <c r="C56" s="6" t="s">
        <v>426</v>
      </c>
      <c r="E56" s="6" t="s">
        <v>1519</v>
      </c>
      <c r="F56" s="12">
        <v>50000</v>
      </c>
      <c r="G56" s="6">
        <v>50000</v>
      </c>
      <c r="J56" s="12">
        <f>SUM(G56:I56)-F56</f>
        <v>0</v>
      </c>
      <c r="K56" s="14">
        <v>1.8000000000000001E-4</v>
      </c>
      <c r="L56" s="6">
        <v>9</v>
      </c>
      <c r="M56" s="6" t="s">
        <v>399</v>
      </c>
      <c r="N56" s="6" t="s">
        <v>427</v>
      </c>
    </row>
    <row r="57" spans="1:14" x14ac:dyDescent="0.3">
      <c r="A57" s="6">
        <v>9660002112</v>
      </c>
      <c r="B57" s="6">
        <v>2170</v>
      </c>
      <c r="C57" s="6" t="s">
        <v>450</v>
      </c>
      <c r="E57" s="6" t="s">
        <v>1531</v>
      </c>
      <c r="F57" s="12">
        <v>112000</v>
      </c>
      <c r="G57" s="6">
        <v>112000</v>
      </c>
      <c r="J57" s="12">
        <f>SUM(G57:I57)-F57</f>
        <v>0</v>
      </c>
      <c r="K57" s="14">
        <v>1.0529999999999999E-2</v>
      </c>
      <c r="L57" s="14">
        <v>1179.3599999999999</v>
      </c>
      <c r="M57" s="6" t="s">
        <v>399</v>
      </c>
      <c r="N57" s="6" t="s">
        <v>451</v>
      </c>
    </row>
    <row r="58" spans="1:14" x14ac:dyDescent="0.3">
      <c r="A58" s="6">
        <v>9660002112</v>
      </c>
      <c r="B58" s="6">
        <v>2200</v>
      </c>
      <c r="C58" s="6" t="s">
        <v>456</v>
      </c>
      <c r="E58" s="6" t="s">
        <v>1534</v>
      </c>
      <c r="F58" s="12">
        <v>70000</v>
      </c>
      <c r="G58" s="6">
        <v>70000</v>
      </c>
      <c r="J58" s="12">
        <f>SUM(G58:I58)-F58</f>
        <v>0</v>
      </c>
      <c r="K58" s="14">
        <v>2.0000000000000001E-4</v>
      </c>
      <c r="L58" s="6">
        <v>14</v>
      </c>
      <c r="M58" s="6" t="s">
        <v>399</v>
      </c>
      <c r="N58" s="6" t="s">
        <v>457</v>
      </c>
    </row>
    <row r="59" spans="1:14" x14ac:dyDescent="0.3">
      <c r="A59" s="6">
        <v>9660002112</v>
      </c>
      <c r="B59" s="6">
        <v>2550</v>
      </c>
      <c r="C59" s="6" t="s">
        <v>526</v>
      </c>
      <c r="E59" s="6" t="s">
        <v>1569</v>
      </c>
      <c r="F59" s="12">
        <v>390000</v>
      </c>
      <c r="G59" s="6">
        <v>390000</v>
      </c>
      <c r="J59" s="12">
        <f>SUM(G59:I59)-F59</f>
        <v>0</v>
      </c>
      <c r="K59" s="14">
        <v>1.2699999999999999E-3</v>
      </c>
      <c r="L59" s="6">
        <v>495.3</v>
      </c>
      <c r="M59" s="6" t="s">
        <v>399</v>
      </c>
      <c r="N59" s="6" t="s">
        <v>527</v>
      </c>
    </row>
    <row r="60" spans="1:14" x14ac:dyDescent="0.3">
      <c r="A60" s="6">
        <v>9660002112</v>
      </c>
      <c r="B60" s="6">
        <v>2640</v>
      </c>
      <c r="C60" s="6" t="s">
        <v>544</v>
      </c>
      <c r="E60" s="6" t="s">
        <v>1578</v>
      </c>
      <c r="F60" s="12">
        <v>40000</v>
      </c>
      <c r="G60" s="6">
        <v>40000</v>
      </c>
      <c r="J60" s="12">
        <f>SUM(G60:I60)-F60</f>
        <v>0</v>
      </c>
      <c r="K60" s="14">
        <v>3.7999999999999997E-4</v>
      </c>
      <c r="L60" s="6">
        <v>15.2</v>
      </c>
      <c r="M60" s="6" t="s">
        <v>399</v>
      </c>
      <c r="N60" s="6" t="s">
        <v>545</v>
      </c>
    </row>
    <row r="61" spans="1:14" x14ac:dyDescent="0.3">
      <c r="A61" s="6">
        <v>9660002112</v>
      </c>
      <c r="B61" s="6">
        <v>2650</v>
      </c>
      <c r="C61" s="6" t="s">
        <v>546</v>
      </c>
      <c r="E61" s="6" t="s">
        <v>1579</v>
      </c>
      <c r="F61" s="12">
        <v>400000</v>
      </c>
      <c r="G61" s="6">
        <v>400000</v>
      </c>
      <c r="J61" s="12">
        <f>SUM(G61:I61)-F61</f>
        <v>0</v>
      </c>
      <c r="K61" s="14">
        <v>3.7999999999999997E-4</v>
      </c>
      <c r="L61" s="6">
        <v>152</v>
      </c>
      <c r="M61" s="6" t="s">
        <v>399</v>
      </c>
      <c r="N61" s="6" t="s">
        <v>547</v>
      </c>
    </row>
    <row r="62" spans="1:14" x14ac:dyDescent="0.3">
      <c r="A62" s="6">
        <v>9660002112</v>
      </c>
      <c r="B62" s="6">
        <v>2670</v>
      </c>
      <c r="C62" s="6" t="s">
        <v>550</v>
      </c>
      <c r="E62" s="6" t="s">
        <v>1581</v>
      </c>
      <c r="F62" s="12">
        <v>150000</v>
      </c>
      <c r="G62" s="6">
        <v>150000</v>
      </c>
      <c r="J62" s="12">
        <f>SUM(G62:I62)-F62</f>
        <v>0</v>
      </c>
      <c r="K62" s="14">
        <v>3.7999999999999997E-4</v>
      </c>
      <c r="L62" s="6">
        <v>57</v>
      </c>
      <c r="M62" s="6" t="s">
        <v>399</v>
      </c>
      <c r="N62" s="6" t="s">
        <v>551</v>
      </c>
    </row>
    <row r="63" spans="1:14" x14ac:dyDescent="0.3">
      <c r="A63" s="6">
        <v>9660002112</v>
      </c>
      <c r="B63" s="6">
        <v>2760</v>
      </c>
      <c r="C63" s="6" t="s">
        <v>568</v>
      </c>
      <c r="E63" s="6" t="s">
        <v>1590</v>
      </c>
      <c r="F63" s="12">
        <v>70000</v>
      </c>
      <c r="G63" s="6">
        <v>70000</v>
      </c>
      <c r="J63" s="12">
        <f>SUM(G63:I63)-F63</f>
        <v>0</v>
      </c>
      <c r="K63" s="14">
        <v>1.8999999999999998E-4</v>
      </c>
      <c r="L63" s="6">
        <v>13.3</v>
      </c>
      <c r="M63" s="6" t="s">
        <v>399</v>
      </c>
      <c r="N63" s="6" t="s">
        <v>569</v>
      </c>
    </row>
    <row r="64" spans="1:14" x14ac:dyDescent="0.3">
      <c r="A64" s="6">
        <v>9660002112</v>
      </c>
      <c r="B64" s="6">
        <v>2880</v>
      </c>
      <c r="C64" s="6" t="s">
        <v>592</v>
      </c>
      <c r="E64" s="6" t="s">
        <v>1602</v>
      </c>
      <c r="F64" s="12">
        <v>100000</v>
      </c>
      <c r="G64" s="6">
        <v>100000</v>
      </c>
      <c r="J64" s="12">
        <f>SUM(G64:I64)-F64</f>
        <v>0</v>
      </c>
      <c r="K64" s="14">
        <v>1.8999999999999998E-4</v>
      </c>
      <c r="L64" s="6">
        <v>19</v>
      </c>
      <c r="M64" s="6" t="s">
        <v>399</v>
      </c>
      <c r="N64" s="6" t="s">
        <v>593</v>
      </c>
    </row>
    <row r="65" spans="1:14" x14ac:dyDescent="0.3">
      <c r="A65" s="6">
        <v>9660002112</v>
      </c>
      <c r="B65" s="6">
        <v>3060</v>
      </c>
      <c r="C65" s="6" t="s">
        <v>628</v>
      </c>
      <c r="E65" s="6" t="s">
        <v>1620</v>
      </c>
      <c r="F65" s="12">
        <v>440000</v>
      </c>
      <c r="G65" s="6">
        <v>440000</v>
      </c>
      <c r="J65" s="12">
        <f>SUM(G65:I65)-F65</f>
        <v>0</v>
      </c>
      <c r="K65" s="14">
        <v>2.2000000000000001E-4</v>
      </c>
      <c r="L65" s="6">
        <v>96.8</v>
      </c>
      <c r="M65" s="6" t="s">
        <v>399</v>
      </c>
      <c r="N65" s="6" t="s">
        <v>629</v>
      </c>
    </row>
    <row r="66" spans="1:14" x14ac:dyDescent="0.3">
      <c r="A66" s="6">
        <v>9660002112</v>
      </c>
      <c r="B66" s="6">
        <v>3080</v>
      </c>
      <c r="C66" s="6" t="s">
        <v>632</v>
      </c>
      <c r="E66" s="6" t="s">
        <v>1622</v>
      </c>
      <c r="F66" s="12">
        <v>300000</v>
      </c>
      <c r="G66" s="6">
        <v>300000</v>
      </c>
      <c r="J66" s="12">
        <f>SUM(G66:I66)-F66</f>
        <v>0</v>
      </c>
      <c r="K66" s="14">
        <v>2.2000000000000001E-4</v>
      </c>
      <c r="L66" s="6">
        <v>66</v>
      </c>
      <c r="M66" s="6" t="s">
        <v>399</v>
      </c>
      <c r="N66" s="6" t="s">
        <v>633</v>
      </c>
    </row>
    <row r="67" spans="1:14" x14ac:dyDescent="0.3">
      <c r="A67" s="6">
        <v>9660002112</v>
      </c>
      <c r="B67" s="6">
        <v>3100</v>
      </c>
      <c r="C67" s="6" t="s">
        <v>636</v>
      </c>
      <c r="E67" s="6" t="s">
        <v>1624</v>
      </c>
      <c r="F67" s="12">
        <v>10000</v>
      </c>
      <c r="G67" s="6">
        <v>10000</v>
      </c>
      <c r="J67" s="12">
        <f>SUM(G67:I67)-F67</f>
        <v>0</v>
      </c>
      <c r="K67" s="14">
        <v>2.2000000000000001E-4</v>
      </c>
      <c r="L67" s="6">
        <v>2.2000000000000002</v>
      </c>
      <c r="M67" s="6" t="s">
        <v>399</v>
      </c>
      <c r="N67" s="6" t="s">
        <v>637</v>
      </c>
    </row>
    <row r="68" spans="1:14" x14ac:dyDescent="0.3">
      <c r="A68" s="6">
        <v>9660002112</v>
      </c>
      <c r="B68" s="6">
        <v>3200</v>
      </c>
      <c r="C68" s="6" t="s">
        <v>656</v>
      </c>
      <c r="E68" s="6" t="s">
        <v>1634</v>
      </c>
      <c r="F68" s="12">
        <v>40000</v>
      </c>
      <c r="G68" s="6">
        <v>40000</v>
      </c>
      <c r="J68" s="12">
        <f>SUM(G68:I68)-F68</f>
        <v>0</v>
      </c>
      <c r="K68" s="14">
        <v>2.1000000000000001E-4</v>
      </c>
      <c r="L68" s="6">
        <v>8.4</v>
      </c>
      <c r="M68" s="6" t="s">
        <v>399</v>
      </c>
      <c r="N68" s="6" t="s">
        <v>657</v>
      </c>
    </row>
    <row r="69" spans="1:14" x14ac:dyDescent="0.3">
      <c r="A69" s="6">
        <v>9660002112</v>
      </c>
      <c r="B69" s="6">
        <v>3240</v>
      </c>
      <c r="C69" s="6" t="s">
        <v>664</v>
      </c>
      <c r="E69" s="6" t="s">
        <v>1638</v>
      </c>
      <c r="F69" s="12">
        <v>120000</v>
      </c>
      <c r="G69" s="6">
        <v>120000</v>
      </c>
      <c r="J69" s="12">
        <f>SUM(G69:I69)-F69</f>
        <v>0</v>
      </c>
      <c r="K69" s="14">
        <v>2.2000000000000001E-4</v>
      </c>
      <c r="L69" s="6">
        <v>26.4</v>
      </c>
      <c r="M69" s="6" t="s">
        <v>399</v>
      </c>
      <c r="N69" s="6" t="s">
        <v>665</v>
      </c>
    </row>
    <row r="70" spans="1:14" x14ac:dyDescent="0.3">
      <c r="A70" s="6">
        <v>9660002112</v>
      </c>
      <c r="B70" s="6">
        <v>3290</v>
      </c>
      <c r="C70" s="6" t="s">
        <v>674</v>
      </c>
      <c r="E70" s="6" t="s">
        <v>1643</v>
      </c>
      <c r="F70" s="12">
        <v>10000</v>
      </c>
      <c r="G70" s="6">
        <v>10000</v>
      </c>
      <c r="J70" s="12">
        <f>SUM(G70:I70)-F70</f>
        <v>0</v>
      </c>
      <c r="K70" s="14">
        <v>2.7E-4</v>
      </c>
      <c r="L70" s="6">
        <v>2.7</v>
      </c>
      <c r="M70" s="6" t="s">
        <v>399</v>
      </c>
      <c r="N70" s="6" t="s">
        <v>675</v>
      </c>
    </row>
    <row r="71" spans="1:14" x14ac:dyDescent="0.3">
      <c r="A71" s="6">
        <v>9660002112</v>
      </c>
      <c r="B71" s="6">
        <v>3350</v>
      </c>
      <c r="C71" s="6" t="s">
        <v>686</v>
      </c>
      <c r="E71" s="6" t="s">
        <v>1649</v>
      </c>
      <c r="F71" s="12">
        <v>30000</v>
      </c>
      <c r="G71" s="6">
        <v>30000</v>
      </c>
      <c r="J71" s="12">
        <f>SUM(G71:I71)-F71</f>
        <v>0</v>
      </c>
      <c r="K71" s="14">
        <v>2.2000000000000001E-4</v>
      </c>
      <c r="L71" s="6">
        <v>6.6</v>
      </c>
      <c r="M71" s="6" t="s">
        <v>399</v>
      </c>
      <c r="N71" s="6" t="s">
        <v>687</v>
      </c>
    </row>
    <row r="72" spans="1:14" x14ac:dyDescent="0.3">
      <c r="A72" s="6">
        <v>9660002112</v>
      </c>
      <c r="B72" s="6">
        <v>3400</v>
      </c>
      <c r="C72" s="6" t="s">
        <v>696</v>
      </c>
      <c r="E72" s="6" t="s">
        <v>1654</v>
      </c>
      <c r="F72" s="12">
        <v>10000</v>
      </c>
      <c r="G72" s="6">
        <v>10000</v>
      </c>
      <c r="J72" s="12">
        <f>SUM(G72:I72)-F72</f>
        <v>0</v>
      </c>
      <c r="K72" s="14">
        <v>1.8999999999999998E-4</v>
      </c>
      <c r="L72" s="6">
        <v>1.9</v>
      </c>
      <c r="M72" s="6" t="s">
        <v>399</v>
      </c>
      <c r="N72" s="6" t="s">
        <v>697</v>
      </c>
    </row>
    <row r="73" spans="1:14" x14ac:dyDescent="0.3">
      <c r="A73" s="6">
        <v>9660002112</v>
      </c>
      <c r="B73" s="6">
        <v>3430</v>
      </c>
      <c r="C73" s="6" t="s">
        <v>702</v>
      </c>
      <c r="E73" s="6" t="s">
        <v>1657</v>
      </c>
      <c r="F73" s="12">
        <v>20000</v>
      </c>
      <c r="G73" s="6">
        <v>20000</v>
      </c>
      <c r="J73" s="12">
        <f>SUM(G73:I73)-F73</f>
        <v>0</v>
      </c>
      <c r="K73" s="14">
        <v>2.2000000000000001E-4</v>
      </c>
      <c r="L73" s="6">
        <v>4.4000000000000004</v>
      </c>
      <c r="M73" s="6" t="s">
        <v>399</v>
      </c>
      <c r="N73" s="6" t="s">
        <v>703</v>
      </c>
    </row>
    <row r="74" spans="1:14" x14ac:dyDescent="0.3">
      <c r="A74" s="6">
        <v>9660002112</v>
      </c>
      <c r="B74" s="6">
        <v>3630</v>
      </c>
      <c r="C74" s="6" t="s">
        <v>742</v>
      </c>
      <c r="E74" s="6" t="s">
        <v>1677</v>
      </c>
      <c r="F74" s="12">
        <v>20000</v>
      </c>
      <c r="G74" s="6">
        <v>20000</v>
      </c>
      <c r="J74" s="12">
        <f>SUM(G74:I74)-F74</f>
        <v>0</v>
      </c>
      <c r="K74" s="14">
        <v>2.2000000000000001E-4</v>
      </c>
      <c r="L74" s="6">
        <v>4.4000000000000004</v>
      </c>
      <c r="M74" s="6" t="s">
        <v>399</v>
      </c>
      <c r="N74" s="6" t="s">
        <v>743</v>
      </c>
    </row>
    <row r="75" spans="1:14" x14ac:dyDescent="0.3">
      <c r="A75" s="6">
        <v>9660002112</v>
      </c>
      <c r="B75" s="6">
        <v>3680</v>
      </c>
      <c r="C75" s="6" t="s">
        <v>752</v>
      </c>
      <c r="E75" s="6" t="s">
        <v>1682</v>
      </c>
      <c r="F75" s="12">
        <v>60000</v>
      </c>
      <c r="G75" s="6">
        <v>60000</v>
      </c>
      <c r="J75" s="12">
        <f>SUM(G75:I75)-F75</f>
        <v>0</v>
      </c>
      <c r="K75" s="14">
        <v>2.2000000000000001E-4</v>
      </c>
      <c r="L75" s="6">
        <v>13.2</v>
      </c>
      <c r="M75" s="6" t="s">
        <v>399</v>
      </c>
      <c r="N75" s="6" t="s">
        <v>753</v>
      </c>
    </row>
    <row r="76" spans="1:14" x14ac:dyDescent="0.3">
      <c r="A76" s="6">
        <v>9660002112</v>
      </c>
      <c r="B76" s="6">
        <v>3700</v>
      </c>
      <c r="C76" s="6" t="s">
        <v>756</v>
      </c>
      <c r="E76" s="6" t="s">
        <v>1684</v>
      </c>
      <c r="F76" s="12">
        <v>10000</v>
      </c>
      <c r="G76" s="6">
        <v>10000</v>
      </c>
      <c r="J76" s="12">
        <f>SUM(G76:I76)-F76</f>
        <v>0</v>
      </c>
      <c r="K76" s="14">
        <v>2.1000000000000001E-4</v>
      </c>
      <c r="L76" s="6">
        <v>2.1</v>
      </c>
      <c r="M76" s="6" t="s">
        <v>399</v>
      </c>
      <c r="N76" s="6" t="s">
        <v>757</v>
      </c>
    </row>
    <row r="77" spans="1:14" x14ac:dyDescent="0.3">
      <c r="A77" s="6">
        <v>9660002112</v>
      </c>
      <c r="B77" s="6">
        <v>3790</v>
      </c>
      <c r="C77" s="6" t="s">
        <v>774</v>
      </c>
      <c r="E77" s="6" t="s">
        <v>1693</v>
      </c>
      <c r="F77" s="12">
        <v>50000</v>
      </c>
      <c r="G77" s="6">
        <v>50000</v>
      </c>
      <c r="J77" s="12">
        <f>SUM(G77:I77)-F77</f>
        <v>0</v>
      </c>
      <c r="K77" s="14">
        <v>1.8000000000000001E-4</v>
      </c>
      <c r="L77" s="6">
        <v>9</v>
      </c>
      <c r="M77" s="6" t="s">
        <v>399</v>
      </c>
      <c r="N77" s="6" t="s">
        <v>775</v>
      </c>
    </row>
    <row r="78" spans="1:14" x14ac:dyDescent="0.3">
      <c r="A78" s="6">
        <v>9660002112</v>
      </c>
      <c r="B78" s="6">
        <v>3950</v>
      </c>
      <c r="C78" s="6" t="s">
        <v>806</v>
      </c>
      <c r="E78" s="6" t="s">
        <v>1709</v>
      </c>
      <c r="F78" s="12">
        <v>130000</v>
      </c>
      <c r="G78" s="6">
        <v>130000</v>
      </c>
      <c r="J78" s="12">
        <f>SUM(G78:I78)-F78</f>
        <v>0</v>
      </c>
      <c r="K78" s="14">
        <v>2.2000000000000001E-4</v>
      </c>
      <c r="L78" s="6">
        <v>28.6</v>
      </c>
      <c r="M78" s="6" t="s">
        <v>399</v>
      </c>
      <c r="N78" s="6" t="s">
        <v>807</v>
      </c>
    </row>
    <row r="79" spans="1:14" x14ac:dyDescent="0.3">
      <c r="A79" s="6">
        <v>9660002112</v>
      </c>
      <c r="B79" s="6">
        <v>4000</v>
      </c>
      <c r="C79" s="6" t="s">
        <v>816</v>
      </c>
      <c r="E79" s="6" t="s">
        <v>1714</v>
      </c>
      <c r="F79" s="12">
        <v>10000</v>
      </c>
      <c r="G79" s="6">
        <v>10000</v>
      </c>
      <c r="J79" s="12">
        <f>SUM(G79:I79)-F79</f>
        <v>0</v>
      </c>
      <c r="K79" s="14">
        <v>2.1000000000000001E-4</v>
      </c>
      <c r="L79" s="6">
        <v>2.1</v>
      </c>
      <c r="M79" s="6" t="s">
        <v>399</v>
      </c>
      <c r="N79" s="6" t="s">
        <v>817</v>
      </c>
    </row>
    <row r="80" spans="1:14" x14ac:dyDescent="0.3">
      <c r="A80" s="6">
        <v>9660002112</v>
      </c>
      <c r="B80" s="6">
        <v>4030</v>
      </c>
      <c r="C80" s="6" t="s">
        <v>822</v>
      </c>
      <c r="E80" s="6" t="s">
        <v>1717</v>
      </c>
      <c r="F80" s="12">
        <v>170000</v>
      </c>
      <c r="G80" s="6">
        <v>170000</v>
      </c>
      <c r="J80" s="12">
        <f>SUM(G80:I80)-F80</f>
        <v>0</v>
      </c>
      <c r="K80" s="14">
        <v>2.2000000000000001E-4</v>
      </c>
      <c r="L80" s="6">
        <v>37.4</v>
      </c>
      <c r="M80" s="6" t="s">
        <v>399</v>
      </c>
      <c r="N80" s="6" t="s">
        <v>823</v>
      </c>
    </row>
    <row r="81" spans="1:14" x14ac:dyDescent="0.3">
      <c r="A81" s="6">
        <v>9660002112</v>
      </c>
      <c r="B81" s="6">
        <v>4150</v>
      </c>
      <c r="C81" s="6" t="s">
        <v>846</v>
      </c>
      <c r="E81" s="6" t="s">
        <v>1729</v>
      </c>
      <c r="F81" s="12">
        <v>20000</v>
      </c>
      <c r="G81" s="6">
        <v>20000</v>
      </c>
      <c r="J81" s="12">
        <f>SUM(G81:I81)-F81</f>
        <v>0</v>
      </c>
      <c r="K81" s="14">
        <v>1.8999999999999998E-4</v>
      </c>
      <c r="L81" s="6">
        <v>3.8</v>
      </c>
      <c r="M81" s="6" t="s">
        <v>399</v>
      </c>
      <c r="N81" s="6" t="s">
        <v>847</v>
      </c>
    </row>
    <row r="82" spans="1:14" x14ac:dyDescent="0.3">
      <c r="A82" s="6">
        <v>9660002112</v>
      </c>
      <c r="B82" s="6">
        <v>4500</v>
      </c>
      <c r="C82" s="6" t="s">
        <v>917</v>
      </c>
      <c r="E82" s="6" t="s">
        <v>1764</v>
      </c>
      <c r="F82" s="12">
        <v>88000</v>
      </c>
      <c r="G82" s="6">
        <v>88000</v>
      </c>
      <c r="J82" s="12">
        <f>SUM(G82:I82)-F82</f>
        <v>0</v>
      </c>
      <c r="K82" s="14">
        <v>3.5000000000000001E-3</v>
      </c>
      <c r="L82" s="6">
        <v>308</v>
      </c>
      <c r="M82" s="6" t="s">
        <v>912</v>
      </c>
      <c r="N82" s="6" t="s">
        <v>918</v>
      </c>
    </row>
    <row r="83" spans="1:14" x14ac:dyDescent="0.3">
      <c r="A83" s="6">
        <v>9660002112</v>
      </c>
      <c r="B83" s="6">
        <v>4510</v>
      </c>
      <c r="C83" s="6" t="s">
        <v>919</v>
      </c>
      <c r="E83" s="6" t="s">
        <v>1765</v>
      </c>
      <c r="F83" s="12">
        <v>64000</v>
      </c>
      <c r="G83" s="6">
        <v>64000</v>
      </c>
      <c r="J83" s="12">
        <f>SUM(G83:I83)-F83</f>
        <v>0</v>
      </c>
      <c r="K83" s="14">
        <v>2.8E-3</v>
      </c>
      <c r="L83" s="6">
        <v>179.2</v>
      </c>
      <c r="M83" s="6" t="s">
        <v>912</v>
      </c>
      <c r="N83" s="6" t="s">
        <v>920</v>
      </c>
    </row>
    <row r="84" spans="1:14" x14ac:dyDescent="0.3">
      <c r="A84" s="6">
        <v>9660002112</v>
      </c>
      <c r="B84" s="6">
        <v>4560</v>
      </c>
      <c r="C84" s="6" t="s">
        <v>929</v>
      </c>
      <c r="E84" s="6" t="s">
        <v>1770</v>
      </c>
      <c r="F84" s="12">
        <v>2100000</v>
      </c>
      <c r="G84" s="6">
        <v>2100000</v>
      </c>
      <c r="J84" s="12">
        <f>SUM(G84:I84)-F84</f>
        <v>0</v>
      </c>
      <c r="K84" s="14">
        <v>8.0999999999999996E-4</v>
      </c>
      <c r="L84" s="14">
        <v>1701</v>
      </c>
      <c r="M84" s="6" t="s">
        <v>912</v>
      </c>
      <c r="N84" s="6" t="s">
        <v>930</v>
      </c>
    </row>
    <row r="85" spans="1:14" x14ac:dyDescent="0.3">
      <c r="A85" s="6">
        <v>9660002112</v>
      </c>
      <c r="B85" s="6">
        <v>5050</v>
      </c>
      <c r="C85" s="6" t="s">
        <v>1027</v>
      </c>
      <c r="E85" s="6" t="s">
        <v>1819</v>
      </c>
      <c r="F85" s="12">
        <v>50000</v>
      </c>
      <c r="G85" s="6">
        <v>50000</v>
      </c>
      <c r="J85" s="12">
        <f>SUM(G85:I85)-F85</f>
        <v>0</v>
      </c>
      <c r="K85" s="14">
        <v>4.4000000000000002E-4</v>
      </c>
      <c r="L85" s="6">
        <v>22</v>
      </c>
      <c r="M85" s="6" t="s">
        <v>912</v>
      </c>
      <c r="N85" s="6" t="s">
        <v>1028</v>
      </c>
    </row>
    <row r="86" spans="1:14" x14ac:dyDescent="0.3">
      <c r="A86" s="6">
        <v>9660002112</v>
      </c>
      <c r="B86" s="6">
        <v>5090</v>
      </c>
      <c r="C86" s="6" t="s">
        <v>1035</v>
      </c>
      <c r="E86" s="6" t="s">
        <v>1823</v>
      </c>
      <c r="F86" s="12">
        <v>20000</v>
      </c>
      <c r="G86" s="6">
        <v>20000</v>
      </c>
      <c r="J86" s="12">
        <f>SUM(G86:I86)-F86</f>
        <v>0</v>
      </c>
      <c r="K86" s="14">
        <v>7.9000000000000001E-4</v>
      </c>
      <c r="L86" s="6">
        <v>15.8</v>
      </c>
      <c r="M86" s="6" t="s">
        <v>912</v>
      </c>
      <c r="N86" s="6" t="s">
        <v>1036</v>
      </c>
    </row>
    <row r="87" spans="1:14" x14ac:dyDescent="0.3">
      <c r="A87" s="6">
        <v>9660002112</v>
      </c>
      <c r="B87" s="6">
        <v>5140</v>
      </c>
      <c r="C87" s="6" t="s">
        <v>1045</v>
      </c>
      <c r="E87" s="6" t="s">
        <v>1828</v>
      </c>
      <c r="F87" s="12">
        <v>50000</v>
      </c>
      <c r="G87" s="6">
        <v>50000</v>
      </c>
      <c r="J87" s="12">
        <f>SUM(G87:I87)-F87</f>
        <v>0</v>
      </c>
      <c r="K87" s="14">
        <v>5.2000000000000006E-4</v>
      </c>
      <c r="L87" s="6">
        <v>26</v>
      </c>
      <c r="M87" s="6" t="s">
        <v>912</v>
      </c>
      <c r="N87" s="6" t="s">
        <v>1046</v>
      </c>
    </row>
    <row r="88" spans="1:14" x14ac:dyDescent="0.3">
      <c r="A88" s="6">
        <v>9660002112</v>
      </c>
      <c r="B88" s="6">
        <v>5190</v>
      </c>
      <c r="C88" s="6" t="s">
        <v>1055</v>
      </c>
      <c r="E88" s="6" t="s">
        <v>1833</v>
      </c>
      <c r="F88" s="12">
        <v>120000</v>
      </c>
      <c r="G88" s="6">
        <v>120000</v>
      </c>
      <c r="J88" s="12">
        <f>SUM(G88:I88)-F88</f>
        <v>0</v>
      </c>
      <c r="K88" s="14">
        <v>4.8999999999999998E-4</v>
      </c>
      <c r="L88" s="6">
        <v>58.8</v>
      </c>
      <c r="M88" s="6" t="s">
        <v>912</v>
      </c>
      <c r="N88" s="6" t="s">
        <v>1056</v>
      </c>
    </row>
    <row r="89" spans="1:14" x14ac:dyDescent="0.3">
      <c r="A89" s="6">
        <v>9660002112</v>
      </c>
      <c r="B89" s="6">
        <v>5220</v>
      </c>
      <c r="C89" s="6" t="s">
        <v>1061</v>
      </c>
      <c r="E89" s="6" t="s">
        <v>1836</v>
      </c>
      <c r="F89" s="12">
        <v>920000</v>
      </c>
      <c r="G89" s="6">
        <v>920000</v>
      </c>
      <c r="J89" s="12">
        <f>SUM(G89:I89)-F89</f>
        <v>0</v>
      </c>
      <c r="K89" s="14">
        <v>5.2000000000000006E-4</v>
      </c>
      <c r="L89" s="6">
        <v>478.4</v>
      </c>
      <c r="M89" s="6" t="s">
        <v>912</v>
      </c>
      <c r="N89" s="6" t="s">
        <v>1062</v>
      </c>
    </row>
    <row r="90" spans="1:14" x14ac:dyDescent="0.3">
      <c r="A90" s="6">
        <v>9660002112</v>
      </c>
      <c r="B90" s="6">
        <v>5270</v>
      </c>
      <c r="C90" s="6" t="s">
        <v>1071</v>
      </c>
      <c r="E90" s="6" t="s">
        <v>1841</v>
      </c>
      <c r="F90" s="12">
        <v>40000</v>
      </c>
      <c r="G90" s="6">
        <v>40000</v>
      </c>
      <c r="J90" s="12">
        <f>SUM(G90:I90)-F90</f>
        <v>0</v>
      </c>
      <c r="K90" s="14">
        <v>4.4000000000000002E-4</v>
      </c>
      <c r="L90" s="6">
        <v>17.600000000000001</v>
      </c>
      <c r="M90" s="6" t="s">
        <v>912</v>
      </c>
      <c r="N90" s="6" t="s">
        <v>1072</v>
      </c>
    </row>
    <row r="91" spans="1:14" x14ac:dyDescent="0.3">
      <c r="A91" s="6">
        <v>9660002112</v>
      </c>
      <c r="B91" s="6">
        <v>5320</v>
      </c>
      <c r="C91" s="6" t="s">
        <v>1081</v>
      </c>
      <c r="E91" s="6" t="s">
        <v>1846</v>
      </c>
      <c r="F91" s="12">
        <v>130000</v>
      </c>
      <c r="G91" s="6">
        <v>130000</v>
      </c>
      <c r="J91" s="12">
        <f>SUM(G91:I91)-F91</f>
        <v>0</v>
      </c>
      <c r="K91" s="14">
        <v>1.1000000000000001E-3</v>
      </c>
      <c r="L91" s="6">
        <v>143</v>
      </c>
      <c r="M91" s="6" t="s">
        <v>912</v>
      </c>
      <c r="N91" s="6" t="s">
        <v>1082</v>
      </c>
    </row>
    <row r="92" spans="1:14" x14ac:dyDescent="0.3">
      <c r="A92" s="6">
        <v>9660002112</v>
      </c>
      <c r="B92" s="6">
        <v>5330</v>
      </c>
      <c r="C92" s="6" t="s">
        <v>1083</v>
      </c>
      <c r="E92" s="6" t="s">
        <v>1847</v>
      </c>
      <c r="F92" s="12">
        <v>20000</v>
      </c>
      <c r="G92" s="6">
        <v>20000</v>
      </c>
      <c r="J92" s="12">
        <f>SUM(G92:I92)-F92</f>
        <v>0</v>
      </c>
      <c r="K92" s="14">
        <v>8.4000000000000003E-4</v>
      </c>
      <c r="L92" s="6">
        <v>16.8</v>
      </c>
      <c r="M92" s="6" t="s">
        <v>912</v>
      </c>
      <c r="N92" s="6" t="s">
        <v>1084</v>
      </c>
    </row>
    <row r="93" spans="1:14" x14ac:dyDescent="0.3">
      <c r="A93" s="6">
        <v>9660002112</v>
      </c>
      <c r="B93" s="6">
        <v>5350</v>
      </c>
      <c r="C93" s="6" t="s">
        <v>1087</v>
      </c>
      <c r="E93" s="6" t="s">
        <v>1849</v>
      </c>
      <c r="F93" s="12">
        <v>40000</v>
      </c>
      <c r="G93" s="6">
        <v>40000</v>
      </c>
      <c r="J93" s="12">
        <f>SUM(G93:I93)-F93</f>
        <v>0</v>
      </c>
      <c r="K93" s="14">
        <v>1.06E-3</v>
      </c>
      <c r="L93" s="6">
        <v>42.4</v>
      </c>
      <c r="M93" s="6" t="s">
        <v>912</v>
      </c>
      <c r="N93" s="6" t="s">
        <v>1088</v>
      </c>
    </row>
    <row r="94" spans="1:14" x14ac:dyDescent="0.3">
      <c r="A94" s="6">
        <v>9660002112</v>
      </c>
      <c r="B94" s="6">
        <v>3090</v>
      </c>
      <c r="C94" s="6" t="s">
        <v>634</v>
      </c>
      <c r="E94" s="6" t="s">
        <v>1623</v>
      </c>
      <c r="F94" s="12">
        <v>20000</v>
      </c>
      <c r="G94" s="6">
        <v>20000</v>
      </c>
      <c r="J94" s="12">
        <f>SUM(G94:I94)-F94</f>
        <v>0</v>
      </c>
      <c r="K94" s="14">
        <v>1.6799999999999999E-4</v>
      </c>
      <c r="L94" s="6">
        <v>3.36</v>
      </c>
      <c r="M94" s="6" t="s">
        <v>399</v>
      </c>
      <c r="N94" s="6" t="s">
        <v>635</v>
      </c>
    </row>
    <row r="95" spans="1:14" x14ac:dyDescent="0.3">
      <c r="A95" s="6">
        <v>9660002112</v>
      </c>
      <c r="B95" s="6">
        <v>3390</v>
      </c>
      <c r="C95" s="6" t="s">
        <v>694</v>
      </c>
      <c r="E95" s="6" t="s">
        <v>1653</v>
      </c>
      <c r="F95" s="12">
        <v>100000</v>
      </c>
      <c r="G95" s="6">
        <v>100000</v>
      </c>
      <c r="J95" s="12">
        <f>SUM(G95:I95)-F95</f>
        <v>0</v>
      </c>
      <c r="K95" s="14">
        <v>2.1000000000000001E-4</v>
      </c>
      <c r="L95" s="6">
        <v>21</v>
      </c>
      <c r="M95" s="6" t="s">
        <v>399</v>
      </c>
      <c r="N95" s="6" t="s">
        <v>695</v>
      </c>
    </row>
    <row r="96" spans="1:14" x14ac:dyDescent="0.3">
      <c r="A96" s="6">
        <v>9660002112</v>
      </c>
      <c r="B96" s="6">
        <v>3560</v>
      </c>
      <c r="C96" s="6" t="s">
        <v>728</v>
      </c>
      <c r="E96" s="6" t="s">
        <v>1670</v>
      </c>
      <c r="F96" s="12">
        <v>30000</v>
      </c>
      <c r="G96" s="6">
        <v>30000</v>
      </c>
      <c r="J96" s="12">
        <f>SUM(G96:I96)-F96</f>
        <v>0</v>
      </c>
      <c r="K96" s="14">
        <v>1.6799999999999999E-4</v>
      </c>
      <c r="L96" s="6">
        <v>5.04</v>
      </c>
      <c r="M96" s="6" t="s">
        <v>399</v>
      </c>
      <c r="N96" s="6" t="s">
        <v>729</v>
      </c>
    </row>
    <row r="97" spans="1:15" x14ac:dyDescent="0.3">
      <c r="A97" s="6">
        <v>9660002112</v>
      </c>
      <c r="B97" s="6">
        <v>3750</v>
      </c>
      <c r="C97" s="6" t="s">
        <v>766</v>
      </c>
      <c r="E97" s="6" t="s">
        <v>1689</v>
      </c>
      <c r="F97" s="12">
        <v>20000</v>
      </c>
      <c r="G97" s="6">
        <v>20000</v>
      </c>
      <c r="J97" s="12">
        <f>SUM(G97:I97)-F97</f>
        <v>0</v>
      </c>
      <c r="K97" s="14">
        <v>2.1000000000000001E-4</v>
      </c>
      <c r="L97" s="6">
        <v>4.2</v>
      </c>
      <c r="M97" s="6" t="s">
        <v>399</v>
      </c>
      <c r="N97" s="6" t="s">
        <v>767</v>
      </c>
    </row>
    <row r="98" spans="1:15" x14ac:dyDescent="0.3">
      <c r="A98" s="6">
        <v>9660002112</v>
      </c>
      <c r="B98" s="6">
        <v>5120</v>
      </c>
      <c r="C98" s="6" t="s">
        <v>1041</v>
      </c>
      <c r="E98" s="6" t="s">
        <v>1826</v>
      </c>
      <c r="F98" s="12">
        <v>90000</v>
      </c>
      <c r="G98" s="6">
        <v>90000</v>
      </c>
      <c r="J98" s="12">
        <f>SUM(G98:I98)-F98</f>
        <v>0</v>
      </c>
      <c r="K98" s="14">
        <v>5.2000000000000006E-4</v>
      </c>
      <c r="L98" s="6">
        <v>46.8</v>
      </c>
      <c r="M98" s="6" t="s">
        <v>912</v>
      </c>
      <c r="N98" s="6" t="s">
        <v>1042</v>
      </c>
    </row>
    <row r="99" spans="1:15" x14ac:dyDescent="0.3">
      <c r="A99" s="6">
        <v>9660002112</v>
      </c>
      <c r="B99" s="6">
        <v>3890</v>
      </c>
      <c r="C99" s="6" t="s">
        <v>794</v>
      </c>
      <c r="E99" s="6" t="s">
        <v>1703</v>
      </c>
      <c r="F99" s="12">
        <v>10000</v>
      </c>
      <c r="G99" s="6">
        <v>10000</v>
      </c>
      <c r="J99" s="12">
        <f>SUM(G99:I99)-F99</f>
        <v>0</v>
      </c>
      <c r="K99" s="14">
        <v>1.8000000000000001E-4</v>
      </c>
      <c r="L99" s="6">
        <v>1.8</v>
      </c>
      <c r="M99" s="6" t="s">
        <v>399</v>
      </c>
      <c r="N99" s="6" t="s">
        <v>795</v>
      </c>
    </row>
    <row r="100" spans="1:15" x14ac:dyDescent="0.3">
      <c r="A100" s="6">
        <v>9660002112</v>
      </c>
      <c r="B100" s="6">
        <v>2030</v>
      </c>
      <c r="C100" s="6" t="s">
        <v>422</v>
      </c>
      <c r="E100" s="6" t="s">
        <v>1517</v>
      </c>
      <c r="F100" s="12">
        <v>30000</v>
      </c>
      <c r="G100" s="6">
        <v>30000</v>
      </c>
      <c r="J100" s="12">
        <f>SUM(G100:I100)-F100</f>
        <v>0</v>
      </c>
      <c r="K100" s="14">
        <v>2.2000000000000001E-4</v>
      </c>
      <c r="L100" s="6">
        <v>6.6</v>
      </c>
      <c r="M100" s="6" t="s">
        <v>399</v>
      </c>
      <c r="N100" s="6" t="s">
        <v>423</v>
      </c>
    </row>
    <row r="101" spans="1:15" x14ac:dyDescent="0.3">
      <c r="A101" s="6">
        <v>9660002112</v>
      </c>
      <c r="B101" s="6">
        <v>2090</v>
      </c>
      <c r="C101" s="6" t="s">
        <v>434</v>
      </c>
      <c r="E101" s="6" t="s">
        <v>1523</v>
      </c>
      <c r="F101" s="12">
        <v>90000</v>
      </c>
      <c r="G101" s="6">
        <v>90000</v>
      </c>
      <c r="J101" s="12">
        <f>SUM(G101:I101)-F101</f>
        <v>0</v>
      </c>
      <c r="K101" s="14">
        <v>2.1000000000000001E-4</v>
      </c>
      <c r="L101" s="6">
        <v>18.899999999999999</v>
      </c>
      <c r="M101" s="6" t="s">
        <v>399</v>
      </c>
      <c r="N101" s="6" t="s">
        <v>435</v>
      </c>
    </row>
    <row r="102" spans="1:15" x14ac:dyDescent="0.3">
      <c r="A102" s="6">
        <v>9660002112</v>
      </c>
      <c r="B102" s="6">
        <v>2660</v>
      </c>
      <c r="C102" s="6" t="s">
        <v>548</v>
      </c>
      <c r="E102" s="6" t="s">
        <v>1580</v>
      </c>
      <c r="F102" s="12">
        <v>20000</v>
      </c>
      <c r="G102" s="6">
        <v>20000</v>
      </c>
      <c r="J102" s="12">
        <f>SUM(G102:I102)-F102</f>
        <v>0</v>
      </c>
      <c r="K102" s="14">
        <v>3.7999999999999997E-4</v>
      </c>
      <c r="L102" s="6">
        <v>7.6</v>
      </c>
      <c r="M102" s="6" t="s">
        <v>399</v>
      </c>
      <c r="N102" s="6" t="s">
        <v>549</v>
      </c>
    </row>
    <row r="103" spans="1:15" x14ac:dyDescent="0.3">
      <c r="A103" s="6">
        <v>9660002112</v>
      </c>
      <c r="B103" s="6">
        <v>2710</v>
      </c>
      <c r="C103" s="6" t="s">
        <v>558</v>
      </c>
      <c r="E103" s="6" t="s">
        <v>1585</v>
      </c>
      <c r="F103" s="12">
        <v>125000</v>
      </c>
      <c r="G103" s="6">
        <v>125000</v>
      </c>
      <c r="J103" s="12">
        <f>SUM(G103:I103)-F103</f>
        <v>0</v>
      </c>
      <c r="K103" s="14">
        <v>4.4000000000000002E-4</v>
      </c>
      <c r="L103" s="6">
        <v>55</v>
      </c>
      <c r="M103" s="6" t="s">
        <v>399</v>
      </c>
      <c r="N103" s="6" t="s">
        <v>559</v>
      </c>
    </row>
    <row r="104" spans="1:15" x14ac:dyDescent="0.3">
      <c r="A104" s="6">
        <v>9660002112</v>
      </c>
      <c r="B104" s="6">
        <v>3380</v>
      </c>
      <c r="C104" s="6" t="s">
        <v>692</v>
      </c>
      <c r="E104" s="6" t="s">
        <v>1652</v>
      </c>
      <c r="F104" s="12">
        <v>110000</v>
      </c>
      <c r="G104" s="6">
        <v>110000</v>
      </c>
      <c r="J104" s="12">
        <f>SUM(G104:I104)-F104</f>
        <v>0</v>
      </c>
      <c r="K104" s="14">
        <v>2.9999999999999997E-4</v>
      </c>
      <c r="L104" s="6">
        <v>33</v>
      </c>
      <c r="M104" s="6" t="s">
        <v>399</v>
      </c>
      <c r="N104" s="6" t="s">
        <v>693</v>
      </c>
    </row>
    <row r="105" spans="1:15" x14ac:dyDescent="0.3">
      <c r="A105" s="6">
        <v>9660002112</v>
      </c>
      <c r="B105" s="6">
        <v>3410</v>
      </c>
      <c r="C105" s="6" t="s">
        <v>698</v>
      </c>
      <c r="E105" s="6" t="s">
        <v>1655</v>
      </c>
      <c r="F105" s="12">
        <v>20000</v>
      </c>
      <c r="G105" s="6">
        <v>20000</v>
      </c>
      <c r="J105" s="12">
        <f>SUM(G105:I105)-F105</f>
        <v>0</v>
      </c>
      <c r="K105" s="14">
        <v>2.2000000000000001E-4</v>
      </c>
      <c r="L105" s="6">
        <v>4.4000000000000004</v>
      </c>
      <c r="M105" s="6" t="s">
        <v>399</v>
      </c>
      <c r="N105" s="6" t="s">
        <v>699</v>
      </c>
    </row>
    <row r="106" spans="1:15" x14ac:dyDescent="0.3">
      <c r="A106" s="6">
        <v>9660002112</v>
      </c>
      <c r="B106" s="6">
        <v>4280</v>
      </c>
      <c r="C106" s="6" t="s">
        <v>872</v>
      </c>
      <c r="E106" s="6" t="s">
        <v>1742</v>
      </c>
      <c r="F106" s="12">
        <v>20000</v>
      </c>
      <c r="G106" s="6">
        <v>20000</v>
      </c>
      <c r="J106" s="12">
        <f>SUM(G106:I106)-F106</f>
        <v>0</v>
      </c>
      <c r="K106" s="14">
        <v>2.2999999999999998E-4</v>
      </c>
      <c r="L106" s="6">
        <v>4.5999999999999996</v>
      </c>
      <c r="M106" s="6" t="s">
        <v>399</v>
      </c>
      <c r="N106" s="6" t="s">
        <v>873</v>
      </c>
    </row>
    <row r="107" spans="1:15" x14ac:dyDescent="0.3">
      <c r="A107" s="6">
        <v>9660002112</v>
      </c>
      <c r="B107" s="6">
        <v>720</v>
      </c>
      <c r="C107" s="6" t="s">
        <v>152</v>
      </c>
      <c r="E107" s="6" t="s">
        <v>1387</v>
      </c>
      <c r="F107" s="12">
        <v>57000</v>
      </c>
      <c r="G107" s="6">
        <v>57000</v>
      </c>
      <c r="J107" s="12">
        <f>SUM(G107:I107)-F107</f>
        <v>0</v>
      </c>
      <c r="K107" s="14">
        <v>3.7380000000000004E-2</v>
      </c>
      <c r="L107" s="14">
        <v>2130.66</v>
      </c>
      <c r="M107" s="6" t="s">
        <v>70</v>
      </c>
      <c r="N107" s="6" t="s">
        <v>153</v>
      </c>
    </row>
    <row r="108" spans="1:15" x14ac:dyDescent="0.3">
      <c r="A108" s="6">
        <v>9660002112</v>
      </c>
      <c r="B108" s="6">
        <v>750</v>
      </c>
      <c r="C108" s="6" t="s">
        <v>158</v>
      </c>
      <c r="E108" s="6" t="s">
        <v>1390</v>
      </c>
      <c r="F108" s="12">
        <v>51000</v>
      </c>
      <c r="G108" s="6">
        <v>51000</v>
      </c>
      <c r="J108" s="12">
        <f>SUM(G108:I108)-F108</f>
        <v>0</v>
      </c>
      <c r="K108" s="14">
        <v>2.6100000000000002E-2</v>
      </c>
      <c r="L108" s="14">
        <v>1331.1</v>
      </c>
      <c r="M108" s="6" t="s">
        <v>70</v>
      </c>
      <c r="N108" s="6" t="s">
        <v>159</v>
      </c>
    </row>
    <row r="109" spans="1:15" x14ac:dyDescent="0.3">
      <c r="A109" s="6">
        <v>9660002112</v>
      </c>
      <c r="B109" s="6">
        <v>100</v>
      </c>
      <c r="C109" s="6" t="s">
        <v>26</v>
      </c>
      <c r="E109" s="6" t="s">
        <v>1335</v>
      </c>
      <c r="F109" s="12">
        <v>16618</v>
      </c>
      <c r="G109" s="6">
        <v>9080</v>
      </c>
      <c r="H109" s="6">
        <v>7538</v>
      </c>
      <c r="I109" s="6">
        <v>480</v>
      </c>
      <c r="J109" s="12"/>
      <c r="K109" s="14">
        <v>0.01</v>
      </c>
      <c r="L109" s="6">
        <v>173.31</v>
      </c>
      <c r="M109" s="6" t="s">
        <v>9</v>
      </c>
      <c r="N109" s="6" t="s">
        <v>27</v>
      </c>
      <c r="O109" s="13" t="s">
        <v>1994</v>
      </c>
    </row>
    <row r="110" spans="1:15" x14ac:dyDescent="0.3">
      <c r="A110" s="6">
        <v>9660002112</v>
      </c>
      <c r="B110" s="6">
        <v>1970</v>
      </c>
      <c r="C110" s="6" t="s">
        <v>410</v>
      </c>
      <c r="E110" s="6" t="s">
        <v>1511</v>
      </c>
      <c r="F110" s="12">
        <v>180000</v>
      </c>
      <c r="G110" s="6">
        <v>180000</v>
      </c>
      <c r="J110" s="12">
        <f>SUM(G110:I110)-F110</f>
        <v>0</v>
      </c>
      <c r="K110" s="14">
        <v>3.1E-4</v>
      </c>
      <c r="L110" s="6">
        <v>55.8</v>
      </c>
      <c r="M110" s="6" t="s">
        <v>399</v>
      </c>
      <c r="N110" s="6" t="s">
        <v>411</v>
      </c>
    </row>
    <row r="111" spans="1:15" x14ac:dyDescent="0.3">
      <c r="A111" s="6">
        <v>9660002112</v>
      </c>
      <c r="B111" s="6">
        <v>2230</v>
      </c>
      <c r="C111" s="6" t="s">
        <v>462</v>
      </c>
      <c r="E111" s="6" t="s">
        <v>1537</v>
      </c>
      <c r="F111" s="12">
        <v>40000</v>
      </c>
      <c r="G111" s="6">
        <v>40000</v>
      </c>
      <c r="J111" s="12">
        <f>SUM(G111:I111)-F111</f>
        <v>0</v>
      </c>
      <c r="K111" s="14">
        <v>3.1E-4</v>
      </c>
      <c r="L111" s="6">
        <v>12.4</v>
      </c>
      <c r="M111" s="6" t="s">
        <v>399</v>
      </c>
      <c r="N111" s="6" t="s">
        <v>463</v>
      </c>
    </row>
    <row r="112" spans="1:15" x14ac:dyDescent="0.3">
      <c r="A112" s="6">
        <v>9660002112</v>
      </c>
      <c r="B112" s="6">
        <v>1710</v>
      </c>
      <c r="C112" s="6" t="s">
        <v>353</v>
      </c>
      <c r="E112" s="6" t="s">
        <v>1485</v>
      </c>
      <c r="F112" s="12">
        <v>147000</v>
      </c>
      <c r="G112" s="6">
        <v>147000</v>
      </c>
      <c r="J112" s="12">
        <f>SUM(G112:I112)-F112</f>
        <v>0</v>
      </c>
      <c r="K112" s="14">
        <v>1.456E-2</v>
      </c>
      <c r="L112" s="14">
        <v>2140.3200000000002</v>
      </c>
      <c r="M112" s="6" t="s">
        <v>70</v>
      </c>
      <c r="N112" s="6" t="s">
        <v>354</v>
      </c>
    </row>
    <row r="113" spans="1:15" x14ac:dyDescent="0.3">
      <c r="A113" s="6">
        <v>9660002112</v>
      </c>
      <c r="B113" s="6">
        <v>3070</v>
      </c>
      <c r="C113" s="6" t="s">
        <v>630</v>
      </c>
      <c r="E113" s="6" t="s">
        <v>1621</v>
      </c>
      <c r="F113" s="12">
        <v>210000</v>
      </c>
      <c r="G113" s="6">
        <v>210000</v>
      </c>
      <c r="J113" s="12">
        <f>SUM(G113:I113)-F113</f>
        <v>0</v>
      </c>
      <c r="K113" s="14">
        <v>2.2000000000000001E-4</v>
      </c>
      <c r="L113" s="6">
        <v>46.2</v>
      </c>
      <c r="M113" s="6" t="s">
        <v>399</v>
      </c>
      <c r="N113" s="6" t="s">
        <v>631</v>
      </c>
    </row>
    <row r="114" spans="1:15" x14ac:dyDescent="0.3">
      <c r="A114" s="6">
        <v>9660002112</v>
      </c>
      <c r="B114" s="6">
        <v>3260</v>
      </c>
      <c r="C114" s="6" t="s">
        <v>668</v>
      </c>
      <c r="E114" s="6" t="s">
        <v>1640</v>
      </c>
      <c r="F114" s="12">
        <v>10000</v>
      </c>
      <c r="G114" s="6">
        <v>10000</v>
      </c>
      <c r="J114" s="12">
        <f>SUM(G114:I114)-F114</f>
        <v>0</v>
      </c>
      <c r="K114" s="14">
        <v>2.7E-4</v>
      </c>
      <c r="L114" s="6">
        <v>2.7</v>
      </c>
      <c r="M114" s="6" t="s">
        <v>399</v>
      </c>
      <c r="N114" s="6" t="s">
        <v>669</v>
      </c>
    </row>
    <row r="115" spans="1:15" x14ac:dyDescent="0.3">
      <c r="A115" s="6">
        <v>9660002112</v>
      </c>
      <c r="B115" s="6">
        <v>3440</v>
      </c>
      <c r="C115" s="6" t="s">
        <v>704</v>
      </c>
      <c r="E115" s="6" t="s">
        <v>1658</v>
      </c>
      <c r="F115" s="12">
        <v>70000</v>
      </c>
      <c r="G115" s="6">
        <v>70000</v>
      </c>
      <c r="J115" s="12">
        <f>SUM(G115:I115)-F115</f>
        <v>0</v>
      </c>
      <c r="K115" s="14">
        <v>2.1000000000000001E-4</v>
      </c>
      <c r="L115" s="6">
        <v>14.7</v>
      </c>
      <c r="M115" s="6" t="s">
        <v>399</v>
      </c>
      <c r="N115" s="6" t="s">
        <v>705</v>
      </c>
    </row>
    <row r="116" spans="1:15" x14ac:dyDescent="0.3">
      <c r="A116" s="6">
        <v>9660002112</v>
      </c>
      <c r="B116" s="6">
        <v>3460</v>
      </c>
      <c r="C116" s="6" t="s">
        <v>708</v>
      </c>
      <c r="E116" s="6" t="s">
        <v>1660</v>
      </c>
      <c r="F116" s="12">
        <v>10000</v>
      </c>
      <c r="G116" s="6">
        <v>10000</v>
      </c>
      <c r="J116" s="12">
        <f>SUM(G116:I116)-F116</f>
        <v>0</v>
      </c>
      <c r="K116" s="14">
        <v>2.2999999999999998E-4</v>
      </c>
      <c r="L116" s="6">
        <v>2.2999999999999998</v>
      </c>
      <c r="M116" s="6" t="s">
        <v>399</v>
      </c>
      <c r="N116" s="6" t="s">
        <v>709</v>
      </c>
    </row>
    <row r="117" spans="1:15" x14ac:dyDescent="0.3">
      <c r="A117" s="6">
        <v>9660002112</v>
      </c>
      <c r="B117" s="6">
        <v>3530</v>
      </c>
      <c r="C117" s="6" t="s">
        <v>722</v>
      </c>
      <c r="E117" s="6" t="s">
        <v>1667</v>
      </c>
      <c r="F117" s="12">
        <v>10000</v>
      </c>
      <c r="G117" s="6">
        <v>10000</v>
      </c>
      <c r="J117" s="12">
        <f>SUM(G117:I117)-F117</f>
        <v>0</v>
      </c>
      <c r="K117" s="14">
        <v>2.1000000000000001E-4</v>
      </c>
      <c r="L117" s="6">
        <v>2.1</v>
      </c>
      <c r="M117" s="6" t="s">
        <v>399</v>
      </c>
      <c r="N117" s="6" t="s">
        <v>723</v>
      </c>
    </row>
    <row r="118" spans="1:15" x14ac:dyDescent="0.3">
      <c r="A118" s="6">
        <v>9660002112</v>
      </c>
      <c r="B118" s="6">
        <v>3840</v>
      </c>
      <c r="C118" s="6" t="s">
        <v>784</v>
      </c>
      <c r="E118" s="6" t="s">
        <v>1698</v>
      </c>
      <c r="F118" s="12">
        <v>80000</v>
      </c>
      <c r="G118" s="6">
        <v>80000</v>
      </c>
      <c r="J118" s="12">
        <f>SUM(G118:I118)-F118</f>
        <v>0</v>
      </c>
      <c r="K118" s="14">
        <v>2.2000000000000001E-4</v>
      </c>
      <c r="L118" s="6">
        <v>17.600000000000001</v>
      </c>
      <c r="M118" s="6" t="s">
        <v>399</v>
      </c>
      <c r="N118" s="6" t="s">
        <v>785</v>
      </c>
    </row>
    <row r="119" spans="1:15" x14ac:dyDescent="0.3">
      <c r="A119" s="6">
        <v>9660002112</v>
      </c>
      <c r="B119" s="6">
        <v>4240</v>
      </c>
      <c r="C119" s="6" t="s">
        <v>864</v>
      </c>
      <c r="E119" s="6" t="s">
        <v>1738</v>
      </c>
      <c r="F119" s="12">
        <v>10000</v>
      </c>
      <c r="G119" s="6">
        <v>10000</v>
      </c>
      <c r="J119" s="12">
        <f>SUM(G119:I119)-F119</f>
        <v>0</v>
      </c>
      <c r="K119" s="14">
        <v>2.2000000000000001E-4</v>
      </c>
      <c r="L119" s="6">
        <v>2.2000000000000002</v>
      </c>
      <c r="M119" s="6" t="s">
        <v>399</v>
      </c>
      <c r="N119" s="6" t="s">
        <v>865</v>
      </c>
    </row>
    <row r="120" spans="1:15" x14ac:dyDescent="0.3">
      <c r="A120" s="6">
        <v>9660002112</v>
      </c>
      <c r="B120" s="6">
        <v>5200</v>
      </c>
      <c r="C120" s="6" t="s">
        <v>1057</v>
      </c>
      <c r="E120" s="6" t="s">
        <v>1834</v>
      </c>
      <c r="F120" s="12">
        <v>10000</v>
      </c>
      <c r="G120" s="6">
        <v>10000</v>
      </c>
      <c r="J120" s="12">
        <f>SUM(G120:I120)-F120</f>
        <v>0</v>
      </c>
      <c r="K120" s="14">
        <v>4.4000000000000002E-4</v>
      </c>
      <c r="L120" s="6">
        <v>4.4000000000000004</v>
      </c>
      <c r="M120" s="6" t="s">
        <v>912</v>
      </c>
      <c r="N120" s="6" t="s">
        <v>1058</v>
      </c>
    </row>
    <row r="121" spans="1:15" x14ac:dyDescent="0.3">
      <c r="A121" s="6">
        <v>9660002112</v>
      </c>
      <c r="B121" s="6">
        <v>5410</v>
      </c>
      <c r="C121" s="6" t="s">
        <v>1099</v>
      </c>
      <c r="E121" s="6" t="s">
        <v>1855</v>
      </c>
      <c r="F121" s="12">
        <v>6000</v>
      </c>
      <c r="G121" s="6">
        <v>6000</v>
      </c>
      <c r="J121" s="12">
        <f>SUM(G121:I121)-F121</f>
        <v>0</v>
      </c>
      <c r="K121" s="14">
        <v>2.6639999999999997E-2</v>
      </c>
      <c r="L121" s="6">
        <v>159.84</v>
      </c>
      <c r="M121" s="6" t="s">
        <v>1101</v>
      </c>
      <c r="N121" s="6" t="s">
        <v>1100</v>
      </c>
    </row>
    <row r="122" spans="1:15" x14ac:dyDescent="0.3">
      <c r="A122" s="6">
        <v>9660002112</v>
      </c>
      <c r="B122" s="6">
        <v>90</v>
      </c>
      <c r="C122" s="6" t="s">
        <v>24</v>
      </c>
      <c r="E122" s="6" t="s">
        <v>1334</v>
      </c>
      <c r="F122" s="12">
        <v>16618</v>
      </c>
      <c r="G122" s="6">
        <v>9080</v>
      </c>
      <c r="H122" s="6">
        <v>6538</v>
      </c>
      <c r="I122" s="6">
        <v>480</v>
      </c>
      <c r="J122" s="12"/>
      <c r="K122" s="14">
        <v>0.01</v>
      </c>
      <c r="L122" s="6">
        <v>167.85</v>
      </c>
      <c r="M122" s="6" t="s">
        <v>9</v>
      </c>
      <c r="N122" s="6" t="s">
        <v>25</v>
      </c>
      <c r="O122" s="13" t="s">
        <v>1994</v>
      </c>
    </row>
    <row r="123" spans="1:15" x14ac:dyDescent="0.3">
      <c r="A123" s="6">
        <v>9660002112</v>
      </c>
      <c r="B123" s="6">
        <v>3370</v>
      </c>
      <c r="C123" s="6" t="s">
        <v>690</v>
      </c>
      <c r="E123" s="6" t="s">
        <v>1651</v>
      </c>
      <c r="F123" s="12">
        <v>260000</v>
      </c>
      <c r="G123" s="6">
        <v>260000</v>
      </c>
      <c r="J123" s="12">
        <f>SUM(G123:I123)-F123</f>
        <v>0</v>
      </c>
      <c r="K123" s="14">
        <v>2.2000000000000001E-4</v>
      </c>
      <c r="L123" s="6">
        <v>57.2</v>
      </c>
      <c r="M123" s="6" t="s">
        <v>399</v>
      </c>
      <c r="N123" s="6" t="s">
        <v>691</v>
      </c>
    </row>
    <row r="124" spans="1:15" x14ac:dyDescent="0.3">
      <c r="A124" s="6">
        <v>9660002112</v>
      </c>
      <c r="B124" s="6">
        <v>3230</v>
      </c>
      <c r="C124" s="6" t="s">
        <v>662</v>
      </c>
      <c r="E124" s="6" t="s">
        <v>1637</v>
      </c>
      <c r="F124" s="12">
        <v>40000</v>
      </c>
      <c r="G124" s="6">
        <v>40000</v>
      </c>
      <c r="J124" s="12">
        <f>SUM(G124:I124)-F124</f>
        <v>0</v>
      </c>
      <c r="K124" s="14">
        <v>2.2000000000000001E-4</v>
      </c>
      <c r="L124" s="6">
        <v>8.8000000000000007</v>
      </c>
      <c r="M124" s="6" t="s">
        <v>399</v>
      </c>
      <c r="N124" s="6" t="s">
        <v>663</v>
      </c>
    </row>
    <row r="125" spans="1:15" x14ac:dyDescent="0.3">
      <c r="A125" s="6">
        <v>9660002112</v>
      </c>
      <c r="B125" s="6">
        <v>3280</v>
      </c>
      <c r="C125" s="6" t="s">
        <v>672</v>
      </c>
      <c r="E125" s="6" t="s">
        <v>1642</v>
      </c>
      <c r="F125" s="12">
        <v>10000</v>
      </c>
      <c r="G125" s="6">
        <v>10000</v>
      </c>
      <c r="J125" s="12">
        <f>SUM(G125:I125)-F125</f>
        <v>0</v>
      </c>
      <c r="K125" s="14">
        <v>2.2000000000000001E-4</v>
      </c>
      <c r="L125" s="6">
        <v>2.2000000000000002</v>
      </c>
      <c r="M125" s="6" t="s">
        <v>399</v>
      </c>
      <c r="N125" s="6" t="s">
        <v>673</v>
      </c>
    </row>
    <row r="126" spans="1:15" x14ac:dyDescent="0.3">
      <c r="A126" s="6">
        <v>9660002112</v>
      </c>
      <c r="B126" s="6">
        <v>3820</v>
      </c>
      <c r="C126" s="6" t="s">
        <v>780</v>
      </c>
      <c r="E126" s="6" t="s">
        <v>1696</v>
      </c>
      <c r="F126" s="12">
        <v>270000</v>
      </c>
      <c r="G126" s="6">
        <v>270000</v>
      </c>
      <c r="J126" s="12">
        <f>SUM(G126:I126)-F126</f>
        <v>0</v>
      </c>
      <c r="K126" s="14">
        <v>2.2000000000000001E-4</v>
      </c>
      <c r="L126" s="6">
        <v>59.4</v>
      </c>
      <c r="M126" s="6" t="s">
        <v>399</v>
      </c>
      <c r="N126" s="6" t="s">
        <v>781</v>
      </c>
    </row>
    <row r="127" spans="1:15" x14ac:dyDescent="0.3">
      <c r="A127" s="6">
        <v>9660002112</v>
      </c>
      <c r="B127" s="6">
        <v>3910</v>
      </c>
      <c r="C127" s="6" t="s">
        <v>798</v>
      </c>
      <c r="E127" s="6" t="s">
        <v>1705</v>
      </c>
      <c r="F127" s="12">
        <v>70000</v>
      </c>
      <c r="G127" s="6">
        <v>70000</v>
      </c>
      <c r="J127" s="12">
        <f>SUM(G127:I127)-F127</f>
        <v>0</v>
      </c>
      <c r="K127" s="14">
        <v>3.1E-4</v>
      </c>
      <c r="L127" s="6">
        <v>21.7</v>
      </c>
      <c r="M127" s="6" t="s">
        <v>399</v>
      </c>
      <c r="N127" s="6" t="s">
        <v>799</v>
      </c>
    </row>
    <row r="128" spans="1:15" x14ac:dyDescent="0.3">
      <c r="A128" s="6">
        <v>9660002112</v>
      </c>
      <c r="B128" s="6">
        <v>3930</v>
      </c>
      <c r="C128" s="6" t="s">
        <v>802</v>
      </c>
      <c r="E128" s="6" t="s">
        <v>1707</v>
      </c>
      <c r="F128" s="12">
        <v>10000</v>
      </c>
      <c r="G128" s="6">
        <v>10000</v>
      </c>
      <c r="J128" s="12">
        <f>SUM(G128:I128)-F128</f>
        <v>0</v>
      </c>
      <c r="K128" s="14">
        <v>2.2999999999999998E-4</v>
      </c>
      <c r="L128" s="6">
        <v>2.2999999999999998</v>
      </c>
      <c r="M128" s="6" t="s">
        <v>399</v>
      </c>
      <c r="N128" s="6" t="s">
        <v>803</v>
      </c>
    </row>
    <row r="129" spans="1:14" x14ac:dyDescent="0.3">
      <c r="A129" s="6">
        <v>9660002112</v>
      </c>
      <c r="B129" s="6">
        <v>4620</v>
      </c>
      <c r="C129" s="6" t="s">
        <v>941</v>
      </c>
      <c r="E129" s="6" t="s">
        <v>1776</v>
      </c>
      <c r="F129" s="12">
        <v>66000</v>
      </c>
      <c r="G129" s="6">
        <v>66000</v>
      </c>
      <c r="J129" s="12">
        <f>SUM(G129:I129)-F129</f>
        <v>0</v>
      </c>
      <c r="K129" s="14">
        <v>1.8720000000000001E-2</v>
      </c>
      <c r="L129" s="14">
        <v>1235.52</v>
      </c>
      <c r="M129" s="6" t="s">
        <v>912</v>
      </c>
      <c r="N129" s="6" t="s">
        <v>942</v>
      </c>
    </row>
    <row r="130" spans="1:14" x14ac:dyDescent="0.3">
      <c r="A130" s="6">
        <v>9660002112</v>
      </c>
      <c r="B130" s="6">
        <v>5370</v>
      </c>
      <c r="C130" s="6" t="s">
        <v>1091</v>
      </c>
      <c r="E130" s="6" t="s">
        <v>1851</v>
      </c>
      <c r="F130" s="12">
        <v>100000</v>
      </c>
      <c r="G130" s="6">
        <v>100000</v>
      </c>
      <c r="J130" s="12">
        <f>SUM(G130:I130)-F130</f>
        <v>0</v>
      </c>
      <c r="K130" s="14">
        <v>2.7799999999999999E-3</v>
      </c>
      <c r="L130" s="6">
        <v>278</v>
      </c>
      <c r="M130" s="6" t="s">
        <v>912</v>
      </c>
      <c r="N130" s="6" t="s">
        <v>1092</v>
      </c>
    </row>
    <row r="131" spans="1:14" x14ac:dyDescent="0.3">
      <c r="A131" s="6">
        <v>9660002112</v>
      </c>
      <c r="B131" s="6">
        <v>5430</v>
      </c>
      <c r="C131" s="6" t="s">
        <v>1104</v>
      </c>
      <c r="E131" s="6" t="s">
        <v>1857</v>
      </c>
      <c r="F131" s="12">
        <v>3500</v>
      </c>
      <c r="G131" s="6">
        <v>3500</v>
      </c>
      <c r="J131" s="12">
        <f>SUM(G131:I131)-F131</f>
        <v>0</v>
      </c>
      <c r="K131" s="14">
        <v>0.12155000000000001</v>
      </c>
      <c r="L131" s="6">
        <v>425.43</v>
      </c>
      <c r="M131" s="6" t="s">
        <v>912</v>
      </c>
      <c r="N131" s="6" t="s">
        <v>1105</v>
      </c>
    </row>
    <row r="132" spans="1:14" x14ac:dyDescent="0.3">
      <c r="A132" s="6">
        <v>9660002112</v>
      </c>
      <c r="B132" s="6">
        <v>4630</v>
      </c>
      <c r="C132" s="6" t="s">
        <v>943</v>
      </c>
      <c r="E132" s="6" t="s">
        <v>1777</v>
      </c>
      <c r="F132" s="12">
        <v>170000</v>
      </c>
      <c r="I132" s="6">
        <v>170000</v>
      </c>
      <c r="J132" s="12">
        <f>SUM(G132:I132)-F132</f>
        <v>0</v>
      </c>
      <c r="K132" s="14">
        <v>1.4300000000000001E-3</v>
      </c>
      <c r="L132" s="6">
        <v>243.1</v>
      </c>
      <c r="M132" s="6" t="s">
        <v>912</v>
      </c>
      <c r="N132" s="6" t="s">
        <v>944</v>
      </c>
    </row>
    <row r="133" spans="1:14" x14ac:dyDescent="0.3">
      <c r="A133" s="6">
        <v>9660002112</v>
      </c>
      <c r="B133" s="6">
        <v>1940</v>
      </c>
      <c r="C133" s="6" t="s">
        <v>404</v>
      </c>
      <c r="E133" s="6" t="s">
        <v>1508</v>
      </c>
      <c r="F133" s="12">
        <v>40000</v>
      </c>
      <c r="G133" s="6">
        <v>40000</v>
      </c>
      <c r="J133" s="12">
        <f>SUM(G133:I133)-F133</f>
        <v>0</v>
      </c>
      <c r="K133" s="14">
        <v>2.7E-4</v>
      </c>
      <c r="L133" s="6">
        <v>10.8</v>
      </c>
      <c r="M133" s="6" t="s">
        <v>399</v>
      </c>
      <c r="N133" s="6" t="s">
        <v>405</v>
      </c>
    </row>
    <row r="134" spans="1:14" x14ac:dyDescent="0.3">
      <c r="A134" s="6">
        <v>9660002112</v>
      </c>
      <c r="B134" s="6">
        <v>2680</v>
      </c>
      <c r="C134" s="6" t="s">
        <v>552</v>
      </c>
      <c r="E134" s="6" t="s">
        <v>1582</v>
      </c>
      <c r="F134" s="12">
        <v>55000</v>
      </c>
      <c r="G134" s="6">
        <v>55000</v>
      </c>
      <c r="J134" s="12">
        <f>SUM(G134:I134)-F134</f>
        <v>0</v>
      </c>
      <c r="K134" s="14">
        <v>4.4000000000000002E-4</v>
      </c>
      <c r="L134" s="6">
        <v>24.2</v>
      </c>
      <c r="M134" s="6" t="s">
        <v>399</v>
      </c>
      <c r="N134" s="6" t="s">
        <v>553</v>
      </c>
    </row>
    <row r="135" spans="1:14" x14ac:dyDescent="0.3">
      <c r="A135" s="6">
        <v>9660002112</v>
      </c>
      <c r="B135" s="6">
        <v>2810</v>
      </c>
      <c r="C135" s="6" t="s">
        <v>578</v>
      </c>
      <c r="E135" s="6" t="s">
        <v>1595</v>
      </c>
      <c r="F135" s="12">
        <v>50000</v>
      </c>
      <c r="G135" s="6">
        <v>50000</v>
      </c>
      <c r="J135" s="12">
        <f>SUM(G135:I135)-F135</f>
        <v>0</v>
      </c>
      <c r="K135" s="14">
        <v>2.2000000000000001E-4</v>
      </c>
      <c r="L135" s="6">
        <v>11</v>
      </c>
      <c r="M135" s="6" t="s">
        <v>399</v>
      </c>
      <c r="N135" s="6" t="s">
        <v>579</v>
      </c>
    </row>
    <row r="136" spans="1:14" x14ac:dyDescent="0.3">
      <c r="A136" s="6">
        <v>9660002112</v>
      </c>
      <c r="B136" s="6">
        <v>2830</v>
      </c>
      <c r="C136" s="6" t="s">
        <v>582</v>
      </c>
      <c r="E136" s="6" t="s">
        <v>1597</v>
      </c>
      <c r="F136" s="12">
        <v>150000</v>
      </c>
      <c r="G136" s="6">
        <v>150000</v>
      </c>
      <c r="J136" s="12">
        <f>SUM(G136:I136)-F136</f>
        <v>0</v>
      </c>
      <c r="K136" s="14">
        <v>2.7E-4</v>
      </c>
      <c r="L136" s="6">
        <v>40.5</v>
      </c>
      <c r="M136" s="6" t="s">
        <v>399</v>
      </c>
      <c r="N136" s="6" t="s">
        <v>583</v>
      </c>
    </row>
    <row r="137" spans="1:14" x14ac:dyDescent="0.3">
      <c r="A137" s="6">
        <v>9660002112</v>
      </c>
      <c r="B137" s="6">
        <v>2950</v>
      </c>
      <c r="C137" s="6" t="s">
        <v>606</v>
      </c>
      <c r="E137" s="6" t="s">
        <v>1609</v>
      </c>
      <c r="F137" s="12">
        <v>40000</v>
      </c>
      <c r="G137" s="6">
        <v>40000</v>
      </c>
      <c r="J137" s="12">
        <f>SUM(G137:I137)-F137</f>
        <v>0</v>
      </c>
      <c r="K137" s="14">
        <v>1.8000000000000001E-4</v>
      </c>
      <c r="L137" s="6">
        <v>7.2</v>
      </c>
      <c r="M137" s="6" t="s">
        <v>399</v>
      </c>
      <c r="N137" s="6" t="s">
        <v>607</v>
      </c>
    </row>
    <row r="138" spans="1:14" x14ac:dyDescent="0.3">
      <c r="A138" s="6">
        <v>9660002112</v>
      </c>
      <c r="B138" s="6">
        <v>3160</v>
      </c>
      <c r="C138" s="6" t="s">
        <v>648</v>
      </c>
      <c r="E138" s="6" t="s">
        <v>1630</v>
      </c>
      <c r="F138" s="12">
        <v>60000</v>
      </c>
      <c r="G138" s="6">
        <v>60000</v>
      </c>
      <c r="J138" s="12">
        <f>SUM(G138:I138)-F138</f>
        <v>0</v>
      </c>
      <c r="K138" s="14">
        <v>2.2000000000000001E-4</v>
      </c>
      <c r="L138" s="6">
        <v>13.2</v>
      </c>
      <c r="M138" s="6" t="s">
        <v>399</v>
      </c>
      <c r="N138" s="6" t="s">
        <v>649</v>
      </c>
    </row>
    <row r="139" spans="1:14" x14ac:dyDescent="0.3">
      <c r="A139" s="6">
        <v>9660002112</v>
      </c>
      <c r="B139" s="6">
        <v>3340</v>
      </c>
      <c r="C139" s="6" t="s">
        <v>684</v>
      </c>
      <c r="E139" s="6" t="s">
        <v>1648</v>
      </c>
      <c r="F139" s="12">
        <v>110000</v>
      </c>
      <c r="G139" s="6">
        <v>110000</v>
      </c>
      <c r="J139" s="12">
        <f>SUM(G139:I139)-F139</f>
        <v>0</v>
      </c>
      <c r="K139" s="14">
        <v>3.1E-4</v>
      </c>
      <c r="L139" s="6">
        <v>34.1</v>
      </c>
      <c r="M139" s="6" t="s">
        <v>399</v>
      </c>
      <c r="N139" s="6" t="s">
        <v>685</v>
      </c>
    </row>
    <row r="140" spans="1:14" x14ac:dyDescent="0.3">
      <c r="A140" s="6">
        <v>9660002112</v>
      </c>
      <c r="B140" s="6">
        <v>3600</v>
      </c>
      <c r="C140" s="6" t="s">
        <v>736</v>
      </c>
      <c r="E140" s="6" t="s">
        <v>1674</v>
      </c>
      <c r="F140" s="12">
        <v>70000</v>
      </c>
      <c r="G140" s="6">
        <v>70000</v>
      </c>
      <c r="J140" s="12">
        <f>SUM(G140:I140)-F140</f>
        <v>0</v>
      </c>
      <c r="K140" s="14">
        <v>1.8999999999999998E-4</v>
      </c>
      <c r="L140" s="6">
        <v>13.3</v>
      </c>
      <c r="M140" s="6" t="s">
        <v>399</v>
      </c>
      <c r="N140" s="6" t="s">
        <v>737</v>
      </c>
    </row>
    <row r="141" spans="1:14" x14ac:dyDescent="0.3">
      <c r="A141" s="6">
        <v>9660002112</v>
      </c>
      <c r="B141" s="6">
        <v>3650</v>
      </c>
      <c r="C141" s="6" t="s">
        <v>746</v>
      </c>
      <c r="E141" s="6" t="s">
        <v>1679</v>
      </c>
      <c r="F141" s="12">
        <v>90000</v>
      </c>
      <c r="G141" s="6">
        <v>90000</v>
      </c>
      <c r="J141" s="12">
        <f>SUM(G141:I141)-F141</f>
        <v>0</v>
      </c>
      <c r="K141" s="14">
        <v>1.8999999999999998E-4</v>
      </c>
      <c r="L141" s="6">
        <v>17.100000000000001</v>
      </c>
      <c r="M141" s="6" t="s">
        <v>399</v>
      </c>
      <c r="N141" s="6" t="s">
        <v>747</v>
      </c>
    </row>
    <row r="142" spans="1:14" x14ac:dyDescent="0.3">
      <c r="A142" s="6">
        <v>9660002112</v>
      </c>
      <c r="B142" s="6">
        <v>3770</v>
      </c>
      <c r="C142" s="6" t="s">
        <v>770</v>
      </c>
      <c r="E142" s="6" t="s">
        <v>1691</v>
      </c>
      <c r="F142" s="12">
        <v>20000</v>
      </c>
      <c r="G142" s="6">
        <v>20000</v>
      </c>
      <c r="J142" s="12">
        <f>SUM(G142:I142)-F142</f>
        <v>0</v>
      </c>
      <c r="K142" s="14">
        <v>2.1000000000000001E-4</v>
      </c>
      <c r="L142" s="6">
        <v>4.2</v>
      </c>
      <c r="M142" s="6" t="s">
        <v>399</v>
      </c>
      <c r="N142" s="6" t="s">
        <v>771</v>
      </c>
    </row>
    <row r="143" spans="1:14" x14ac:dyDescent="0.3">
      <c r="A143" s="6">
        <v>9660002112</v>
      </c>
      <c r="B143" s="6">
        <v>4020</v>
      </c>
      <c r="C143" s="6" t="s">
        <v>820</v>
      </c>
      <c r="E143" s="6" t="s">
        <v>1716</v>
      </c>
      <c r="F143" s="12">
        <v>50000</v>
      </c>
      <c r="G143" s="6">
        <v>50000</v>
      </c>
      <c r="J143" s="12">
        <f>SUM(G143:I143)-F143</f>
        <v>0</v>
      </c>
      <c r="K143" s="14">
        <v>2.1000000000000001E-4</v>
      </c>
      <c r="L143" s="6">
        <v>10.5</v>
      </c>
      <c r="M143" s="6" t="s">
        <v>399</v>
      </c>
      <c r="N143" s="6" t="s">
        <v>821</v>
      </c>
    </row>
    <row r="144" spans="1:14" x14ac:dyDescent="0.3">
      <c r="A144" s="6">
        <v>9660002112</v>
      </c>
      <c r="B144" s="6">
        <v>4130</v>
      </c>
      <c r="C144" s="6" t="s">
        <v>842</v>
      </c>
      <c r="E144" s="6" t="s">
        <v>1727</v>
      </c>
      <c r="F144" s="12">
        <v>10000</v>
      </c>
      <c r="G144" s="6">
        <v>10000</v>
      </c>
      <c r="J144" s="12">
        <f>SUM(G144:I144)-F144</f>
        <v>0</v>
      </c>
      <c r="K144" s="14">
        <v>1.8999999999999998E-4</v>
      </c>
      <c r="L144" s="6">
        <v>1.9</v>
      </c>
      <c r="M144" s="6" t="s">
        <v>399</v>
      </c>
      <c r="N144" s="6" t="s">
        <v>843</v>
      </c>
    </row>
    <row r="145" spans="1:14" x14ac:dyDescent="0.3">
      <c r="A145" s="6">
        <v>9660002112</v>
      </c>
      <c r="B145" s="6">
        <v>4590</v>
      </c>
      <c r="C145" s="6" t="s">
        <v>935</v>
      </c>
      <c r="E145" s="6" t="s">
        <v>1773</v>
      </c>
      <c r="F145" s="12">
        <v>5472000</v>
      </c>
      <c r="G145" s="6">
        <v>5472000</v>
      </c>
      <c r="J145" s="12">
        <f>SUM(G145:I145)-F145</f>
        <v>0</v>
      </c>
      <c r="K145" s="14">
        <v>5.8700000000000002E-3</v>
      </c>
      <c r="L145" s="14">
        <v>32120.639999999999</v>
      </c>
      <c r="M145" s="6" t="s">
        <v>912</v>
      </c>
      <c r="N145" s="6" t="s">
        <v>936</v>
      </c>
    </row>
    <row r="146" spans="1:14" x14ac:dyDescent="0.3">
      <c r="A146" s="6">
        <v>9660002112</v>
      </c>
      <c r="B146" s="6">
        <v>4690</v>
      </c>
      <c r="C146" s="6" t="s">
        <v>955</v>
      </c>
      <c r="E146" s="6" t="s">
        <v>1783</v>
      </c>
      <c r="F146" s="12">
        <v>1450000</v>
      </c>
      <c r="G146" s="6">
        <v>1450000</v>
      </c>
      <c r="J146" s="12">
        <f>SUM(G146:I146)-F146</f>
        <v>0</v>
      </c>
      <c r="K146" s="14">
        <v>2.3E-3</v>
      </c>
      <c r="L146" s="14">
        <v>3335</v>
      </c>
      <c r="M146" s="6" t="s">
        <v>912</v>
      </c>
      <c r="N146" s="6" t="s">
        <v>956</v>
      </c>
    </row>
    <row r="147" spans="1:14" x14ac:dyDescent="0.3">
      <c r="A147" s="6">
        <v>9660002112</v>
      </c>
      <c r="B147" s="6">
        <v>5280</v>
      </c>
      <c r="C147" s="6" t="s">
        <v>1073</v>
      </c>
      <c r="E147" s="6" t="s">
        <v>1842</v>
      </c>
      <c r="F147" s="12">
        <v>40000</v>
      </c>
      <c r="G147" s="6">
        <v>40000</v>
      </c>
      <c r="J147" s="12">
        <f>SUM(G147:I147)-F147</f>
        <v>0</v>
      </c>
      <c r="K147" s="14">
        <v>4.7999999999999996E-4</v>
      </c>
      <c r="L147" s="6">
        <v>19.2</v>
      </c>
      <c r="M147" s="6" t="s">
        <v>912</v>
      </c>
      <c r="N147" s="6" t="s">
        <v>1074</v>
      </c>
    </row>
    <row r="148" spans="1:14" x14ac:dyDescent="0.3">
      <c r="A148" s="6">
        <v>9660002112</v>
      </c>
      <c r="B148" s="6">
        <v>5590</v>
      </c>
      <c r="C148" s="6" t="s">
        <v>1137</v>
      </c>
      <c r="E148" s="6" t="s">
        <v>1873</v>
      </c>
      <c r="F148" s="12">
        <v>14000</v>
      </c>
      <c r="G148" s="6">
        <v>14000</v>
      </c>
      <c r="J148" s="12">
        <f>SUM(G148:I148)-F148</f>
        <v>0</v>
      </c>
      <c r="K148" s="14">
        <v>4.3680000000000004E-2</v>
      </c>
      <c r="L148" s="6">
        <v>611.52</v>
      </c>
      <c r="M148" s="6" t="s">
        <v>1130</v>
      </c>
      <c r="N148" s="6" t="s">
        <v>1138</v>
      </c>
    </row>
    <row r="149" spans="1:14" x14ac:dyDescent="0.3">
      <c r="A149" s="6">
        <v>9660002112</v>
      </c>
      <c r="B149" s="6">
        <v>5600</v>
      </c>
      <c r="C149" s="6" t="s">
        <v>1139</v>
      </c>
      <c r="E149" s="6" t="s">
        <v>1874</v>
      </c>
      <c r="F149" s="12">
        <v>3500</v>
      </c>
      <c r="G149" s="6">
        <v>3500</v>
      </c>
      <c r="J149" s="12">
        <f>SUM(G149:I149)-F149</f>
        <v>0</v>
      </c>
      <c r="K149" s="14">
        <v>2.145E-2</v>
      </c>
      <c r="L149" s="6">
        <v>75.08</v>
      </c>
      <c r="M149" s="6" t="s">
        <v>1130</v>
      </c>
      <c r="N149" s="6" t="s">
        <v>1140</v>
      </c>
    </row>
    <row r="150" spans="1:14" x14ac:dyDescent="0.3">
      <c r="A150" s="6">
        <v>9660002112</v>
      </c>
      <c r="B150" s="6">
        <v>5660</v>
      </c>
      <c r="C150" s="6" t="s">
        <v>1152</v>
      </c>
      <c r="E150" s="6" t="s">
        <v>1880</v>
      </c>
      <c r="F150" s="12">
        <v>1000</v>
      </c>
      <c r="G150" s="6">
        <v>1000</v>
      </c>
      <c r="J150" s="12">
        <f>SUM(G150:I150)-F150</f>
        <v>0</v>
      </c>
      <c r="K150" s="14">
        <v>0.10440000000000001</v>
      </c>
      <c r="L150" s="6">
        <v>104.4</v>
      </c>
      <c r="M150" s="6" t="s">
        <v>1130</v>
      </c>
      <c r="N150" s="6" t="s">
        <v>1153</v>
      </c>
    </row>
    <row r="151" spans="1:14" x14ac:dyDescent="0.3">
      <c r="A151" s="6">
        <v>9660002112</v>
      </c>
      <c r="B151" s="6">
        <v>5910</v>
      </c>
      <c r="C151" s="6" t="s">
        <v>1206</v>
      </c>
      <c r="E151" s="6" t="s">
        <v>1905</v>
      </c>
      <c r="F151" s="12">
        <v>250000</v>
      </c>
      <c r="G151" s="6">
        <v>250000</v>
      </c>
      <c r="J151" s="12">
        <f>SUM(G151:I151)-F151</f>
        <v>0</v>
      </c>
      <c r="K151" s="14">
        <v>3.5000000000000001E-3</v>
      </c>
      <c r="L151" s="6">
        <v>875</v>
      </c>
      <c r="M151" s="6" t="s">
        <v>1205</v>
      </c>
      <c r="N151" s="6" t="s">
        <v>1207</v>
      </c>
    </row>
    <row r="152" spans="1:14" x14ac:dyDescent="0.3">
      <c r="A152" s="6">
        <v>9660002112</v>
      </c>
      <c r="B152" s="6">
        <v>5950</v>
      </c>
      <c r="C152" s="6" t="s">
        <v>1215</v>
      </c>
      <c r="E152" s="6" t="s">
        <v>1909</v>
      </c>
      <c r="F152" s="12">
        <v>232000</v>
      </c>
      <c r="G152" s="6">
        <v>232000</v>
      </c>
      <c r="J152" s="12">
        <f>SUM(G152:I152)-F152</f>
        <v>0</v>
      </c>
      <c r="K152" s="14">
        <v>1.25E-3</v>
      </c>
      <c r="L152" s="6">
        <v>290</v>
      </c>
      <c r="M152" s="6" t="s">
        <v>1214</v>
      </c>
      <c r="N152" s="6" t="s">
        <v>1216</v>
      </c>
    </row>
    <row r="153" spans="1:14" x14ac:dyDescent="0.3">
      <c r="A153" s="6">
        <v>9660002112</v>
      </c>
      <c r="B153" s="6">
        <v>290</v>
      </c>
      <c r="C153" s="6" t="s">
        <v>60</v>
      </c>
      <c r="E153" s="6" t="s">
        <v>1349</v>
      </c>
      <c r="F153" s="6">
        <v>900</v>
      </c>
      <c r="I153" s="6">
        <v>900</v>
      </c>
      <c r="J153" s="12">
        <f>SUM(G153:I153)-F153</f>
        <v>0</v>
      </c>
      <c r="K153" s="14">
        <v>0.51219999999999999</v>
      </c>
      <c r="L153" s="6">
        <v>460.98</v>
      </c>
      <c r="M153" s="6" t="s">
        <v>61</v>
      </c>
      <c r="N153" s="6" t="s">
        <v>44</v>
      </c>
    </row>
    <row r="154" spans="1:14" x14ac:dyDescent="0.3">
      <c r="A154" s="6">
        <v>9660002112</v>
      </c>
      <c r="B154" s="6">
        <v>1860</v>
      </c>
      <c r="C154" s="6" t="s">
        <v>387</v>
      </c>
      <c r="E154" s="6" t="s">
        <v>1500</v>
      </c>
      <c r="F154" s="12">
        <v>42000</v>
      </c>
      <c r="G154" s="6">
        <v>42000</v>
      </c>
      <c r="J154" s="12">
        <f>SUM(G154:I154)-F154</f>
        <v>0</v>
      </c>
      <c r="K154" s="14">
        <v>5.9199999999999999E-3</v>
      </c>
      <c r="L154" s="6">
        <v>248.64</v>
      </c>
      <c r="M154" s="6" t="s">
        <v>384</v>
      </c>
      <c r="N154" s="6" t="s">
        <v>388</v>
      </c>
    </row>
    <row r="155" spans="1:14" x14ac:dyDescent="0.3">
      <c r="A155" s="6">
        <v>9660002112</v>
      </c>
      <c r="B155" s="6">
        <v>4140</v>
      </c>
      <c r="C155" s="6" t="s">
        <v>844</v>
      </c>
      <c r="E155" s="6" t="s">
        <v>1728</v>
      </c>
      <c r="F155" s="12">
        <v>270000</v>
      </c>
      <c r="G155" s="6">
        <v>270000</v>
      </c>
      <c r="J155" s="12">
        <f>SUM(G155:I155)-F155</f>
        <v>0</v>
      </c>
      <c r="K155" s="14">
        <v>2.1000000000000001E-4</v>
      </c>
      <c r="L155" s="6">
        <v>56.7</v>
      </c>
      <c r="M155" s="6" t="s">
        <v>399</v>
      </c>
      <c r="N155" s="6" t="s">
        <v>845</v>
      </c>
    </row>
    <row r="156" spans="1:14" x14ac:dyDescent="0.3">
      <c r="A156" s="6">
        <v>9660002112</v>
      </c>
      <c r="B156" s="6">
        <v>3020</v>
      </c>
      <c r="C156" s="6" t="s">
        <v>620</v>
      </c>
      <c r="E156" s="6" t="s">
        <v>1616</v>
      </c>
      <c r="F156" s="12">
        <v>150000</v>
      </c>
      <c r="G156" s="6">
        <v>150000</v>
      </c>
      <c r="J156" s="12">
        <f>SUM(G156:I156)-F156</f>
        <v>0</v>
      </c>
      <c r="K156" s="14">
        <v>1.8999999999999998E-4</v>
      </c>
      <c r="L156" s="6">
        <v>28.5</v>
      </c>
      <c r="M156" s="6" t="s">
        <v>399</v>
      </c>
      <c r="N156" s="6" t="s">
        <v>621</v>
      </c>
    </row>
    <row r="157" spans="1:14" x14ac:dyDescent="0.3">
      <c r="A157" s="6">
        <v>9660002112</v>
      </c>
      <c r="B157" s="6">
        <v>5900</v>
      </c>
      <c r="C157" s="6" t="s">
        <v>1203</v>
      </c>
      <c r="E157" s="6" t="s">
        <v>1904</v>
      </c>
      <c r="F157" s="12">
        <v>160000</v>
      </c>
      <c r="G157" s="6">
        <v>160000</v>
      </c>
      <c r="J157" s="12">
        <f>SUM(G157:I157)-F157</f>
        <v>0</v>
      </c>
      <c r="K157" s="14">
        <v>4.0200000000000001E-3</v>
      </c>
      <c r="L157" s="6">
        <v>643.20000000000005</v>
      </c>
      <c r="M157" s="6" t="s">
        <v>1205</v>
      </c>
      <c r="N157" s="6" t="s">
        <v>1204</v>
      </c>
    </row>
    <row r="158" spans="1:14" x14ac:dyDescent="0.3">
      <c r="A158" s="6">
        <v>9660002112</v>
      </c>
      <c r="B158" s="6">
        <v>1490</v>
      </c>
      <c r="C158" s="6" t="s">
        <v>309</v>
      </c>
      <c r="E158" s="6" t="s">
        <v>1463</v>
      </c>
      <c r="F158" s="12">
        <v>63000</v>
      </c>
      <c r="G158" s="6">
        <v>63000</v>
      </c>
      <c r="J158" s="12">
        <f>SUM(G158:I158)-F158</f>
        <v>0</v>
      </c>
      <c r="K158" s="14">
        <v>6.3299999999999997E-3</v>
      </c>
      <c r="L158" s="6">
        <v>398.79</v>
      </c>
      <c r="M158" s="6" t="s">
        <v>299</v>
      </c>
      <c r="N158" s="6" t="s">
        <v>310</v>
      </c>
    </row>
    <row r="159" spans="1:14" x14ac:dyDescent="0.3">
      <c r="A159" s="6">
        <v>9660002112</v>
      </c>
      <c r="B159" s="6">
        <v>780</v>
      </c>
      <c r="C159" s="6" t="s">
        <v>164</v>
      </c>
      <c r="E159" s="6" t="s">
        <v>1393</v>
      </c>
      <c r="F159" s="12">
        <v>492000</v>
      </c>
      <c r="G159" s="6">
        <v>492000</v>
      </c>
      <c r="J159" s="12">
        <f>SUM(G159:I159)-F159</f>
        <v>0</v>
      </c>
      <c r="K159" s="14">
        <v>4.1439999999999998E-2</v>
      </c>
      <c r="L159" s="14">
        <v>20388.48</v>
      </c>
      <c r="M159" s="6" t="s">
        <v>70</v>
      </c>
      <c r="N159" s="6" t="s">
        <v>165</v>
      </c>
    </row>
    <row r="160" spans="1:14" x14ac:dyDescent="0.3">
      <c r="A160" s="6">
        <v>9660002112</v>
      </c>
      <c r="B160" s="6">
        <v>840</v>
      </c>
      <c r="C160" s="6" t="s">
        <v>176</v>
      </c>
      <c r="E160" s="6" t="s">
        <v>1399</v>
      </c>
      <c r="F160" s="12">
        <v>186000</v>
      </c>
      <c r="G160" s="6">
        <v>186000</v>
      </c>
      <c r="J160" s="12">
        <f>SUM(G160:I160)-F160</f>
        <v>0</v>
      </c>
      <c r="K160" s="14">
        <v>8.4540000000000004E-2</v>
      </c>
      <c r="L160" s="14">
        <v>15724.44</v>
      </c>
      <c r="M160" s="6" t="s">
        <v>70</v>
      </c>
      <c r="N160" s="6" t="s">
        <v>177</v>
      </c>
    </row>
    <row r="161" spans="1:14" x14ac:dyDescent="0.3">
      <c r="A161" s="6">
        <v>9660002112</v>
      </c>
      <c r="B161" s="6">
        <v>1720</v>
      </c>
      <c r="C161" s="6" t="s">
        <v>355</v>
      </c>
      <c r="E161" s="6" t="s">
        <v>1486</v>
      </c>
      <c r="F161" s="12">
        <v>258000</v>
      </c>
      <c r="G161" s="6">
        <v>258000</v>
      </c>
      <c r="J161" s="12">
        <f>SUM(G161:I161)-F161</f>
        <v>0</v>
      </c>
      <c r="K161" s="14">
        <v>2.002E-2</v>
      </c>
      <c r="L161" s="14">
        <v>5165.16</v>
      </c>
      <c r="M161" s="6" t="s">
        <v>70</v>
      </c>
      <c r="N161" s="6" t="s">
        <v>356</v>
      </c>
    </row>
    <row r="162" spans="1:14" x14ac:dyDescent="0.3">
      <c r="A162" s="6">
        <v>9660002112</v>
      </c>
      <c r="B162" s="6">
        <v>5490</v>
      </c>
      <c r="C162" s="6" t="s">
        <v>1116</v>
      </c>
      <c r="E162" s="6" t="s">
        <v>1863</v>
      </c>
      <c r="F162" s="12">
        <v>207500</v>
      </c>
      <c r="H162" s="6">
        <v>210000</v>
      </c>
      <c r="J162" s="12">
        <f>SUM(G162:I162)-F162</f>
        <v>2500</v>
      </c>
      <c r="K162" s="14">
        <v>7.8390000000000001E-2</v>
      </c>
      <c r="L162" s="14">
        <v>16265.93</v>
      </c>
      <c r="M162" s="6" t="s">
        <v>912</v>
      </c>
      <c r="N162" s="6" t="s">
        <v>1117</v>
      </c>
    </row>
    <row r="163" spans="1:14" x14ac:dyDescent="0.3">
      <c r="A163" s="6">
        <v>9660002112</v>
      </c>
      <c r="B163" s="6">
        <v>5560</v>
      </c>
      <c r="C163" s="6" t="s">
        <v>1131</v>
      </c>
      <c r="E163" s="6" t="s">
        <v>1870</v>
      </c>
      <c r="F163" s="12">
        <v>20000</v>
      </c>
      <c r="G163" s="6">
        <v>20000</v>
      </c>
      <c r="J163" s="12">
        <f>SUM(G163:I163)-F163</f>
        <v>0</v>
      </c>
      <c r="K163" s="14">
        <v>1.7680000000000001E-2</v>
      </c>
      <c r="L163" s="6">
        <v>353.6</v>
      </c>
      <c r="M163" s="6" t="s">
        <v>1130</v>
      </c>
      <c r="N163" s="6" t="s">
        <v>1132</v>
      </c>
    </row>
    <row r="164" spans="1:14" x14ac:dyDescent="0.3">
      <c r="A164" s="6">
        <v>9660002112</v>
      </c>
      <c r="B164" s="6">
        <v>2940</v>
      </c>
      <c r="C164" s="6" t="s">
        <v>604</v>
      </c>
      <c r="E164" s="6" t="s">
        <v>1608</v>
      </c>
      <c r="F164" s="12">
        <v>60000</v>
      </c>
      <c r="G164" s="6">
        <v>60000</v>
      </c>
      <c r="J164" s="12">
        <f>SUM(G164:I164)-F164</f>
        <v>0</v>
      </c>
      <c r="K164" s="14">
        <v>1.8000000000000001E-4</v>
      </c>
      <c r="L164" s="6">
        <v>10.8</v>
      </c>
      <c r="M164" s="6" t="s">
        <v>399</v>
      </c>
      <c r="N164" s="6" t="s">
        <v>605</v>
      </c>
    </row>
    <row r="165" spans="1:14" x14ac:dyDescent="0.3">
      <c r="A165" s="6">
        <v>9660002112</v>
      </c>
      <c r="B165" s="6">
        <v>1790</v>
      </c>
      <c r="C165" s="6" t="s">
        <v>372</v>
      </c>
      <c r="E165" s="6" t="s">
        <v>1493</v>
      </c>
      <c r="F165" s="12">
        <v>3000</v>
      </c>
      <c r="G165" s="6">
        <v>3000</v>
      </c>
      <c r="J165" s="12">
        <f>SUM(G165:I165)-F165</f>
        <v>0</v>
      </c>
      <c r="K165" s="14">
        <v>5.7499999999999999E-3</v>
      </c>
      <c r="L165" s="6">
        <v>17.25</v>
      </c>
      <c r="M165" s="6" t="s">
        <v>359</v>
      </c>
      <c r="N165" s="6" t="s">
        <v>373</v>
      </c>
    </row>
    <row r="166" spans="1:14" x14ac:dyDescent="0.3">
      <c r="A166" s="6">
        <v>9660002112</v>
      </c>
      <c r="B166" s="6">
        <v>6010</v>
      </c>
      <c r="C166" s="6" t="s">
        <v>1227</v>
      </c>
      <c r="E166" s="6" t="s">
        <v>1914</v>
      </c>
      <c r="F166" s="12">
        <v>110000</v>
      </c>
      <c r="G166" s="6">
        <v>110000</v>
      </c>
      <c r="J166" s="12">
        <f>SUM(G166:I166)-F166</f>
        <v>0</v>
      </c>
      <c r="K166" s="14">
        <v>1.0400000000000001E-3</v>
      </c>
      <c r="L166" s="6">
        <v>114.4</v>
      </c>
      <c r="M166" s="6" t="s">
        <v>1130</v>
      </c>
      <c r="N166" s="6" t="s">
        <v>1228</v>
      </c>
    </row>
    <row r="167" spans="1:14" x14ac:dyDescent="0.3">
      <c r="A167" s="6">
        <v>9660002112</v>
      </c>
      <c r="B167" s="6">
        <v>890</v>
      </c>
      <c r="C167" s="6" t="s">
        <v>186</v>
      </c>
      <c r="E167" s="6" t="s">
        <v>1404</v>
      </c>
      <c r="F167" s="12">
        <v>5000</v>
      </c>
      <c r="G167" s="6">
        <v>5000</v>
      </c>
      <c r="J167" s="12">
        <f>SUM(G167:I167)-F167</f>
        <v>0</v>
      </c>
      <c r="K167" s="14">
        <v>0.15820000000000001</v>
      </c>
      <c r="L167" s="6">
        <v>791</v>
      </c>
      <c r="M167" s="6" t="s">
        <v>70</v>
      </c>
      <c r="N167" s="6" t="s">
        <v>187</v>
      </c>
    </row>
    <row r="168" spans="1:14" x14ac:dyDescent="0.3">
      <c r="A168" s="6">
        <v>9660002112</v>
      </c>
      <c r="B168" s="6">
        <v>2150</v>
      </c>
      <c r="C168" s="6" t="s">
        <v>446</v>
      </c>
      <c r="E168" s="6" t="s">
        <v>1529</v>
      </c>
      <c r="F168" s="12">
        <v>40000</v>
      </c>
      <c r="G168" s="6">
        <v>40000</v>
      </c>
      <c r="J168" s="12">
        <f>SUM(G168:I168)-F168</f>
        <v>0</v>
      </c>
      <c r="K168" s="14">
        <v>2.2000000000000001E-4</v>
      </c>
      <c r="L168" s="6">
        <v>8.8000000000000007</v>
      </c>
      <c r="M168" s="6" t="s">
        <v>399</v>
      </c>
      <c r="N168" s="6" t="s">
        <v>447</v>
      </c>
    </row>
    <row r="169" spans="1:14" x14ac:dyDescent="0.3">
      <c r="A169" s="6">
        <v>9660002112</v>
      </c>
      <c r="B169" s="6">
        <v>4230</v>
      </c>
      <c r="C169" s="6" t="s">
        <v>862</v>
      </c>
      <c r="E169" s="6" t="s">
        <v>1737</v>
      </c>
      <c r="F169" s="12">
        <v>50000</v>
      </c>
      <c r="G169" s="6">
        <v>50000</v>
      </c>
      <c r="J169" s="12">
        <f>SUM(G169:I169)-F169</f>
        <v>0</v>
      </c>
      <c r="K169" s="14">
        <v>2.1000000000000001E-4</v>
      </c>
      <c r="L169" s="6">
        <v>10.5</v>
      </c>
      <c r="M169" s="6" t="s">
        <v>399</v>
      </c>
      <c r="N169" s="6" t="s">
        <v>863</v>
      </c>
    </row>
    <row r="170" spans="1:14" x14ac:dyDescent="0.3">
      <c r="A170" s="6">
        <v>9660002112</v>
      </c>
      <c r="B170" s="6">
        <v>5670</v>
      </c>
      <c r="C170" s="6" t="s">
        <v>1154</v>
      </c>
      <c r="E170" s="6" t="s">
        <v>1881</v>
      </c>
      <c r="F170" s="12">
        <v>89000</v>
      </c>
      <c r="G170" s="6">
        <v>89000</v>
      </c>
      <c r="J170" s="12">
        <f>SUM(G170:I170)-F170</f>
        <v>0</v>
      </c>
      <c r="K170" s="14">
        <v>4.1079999999999998E-2</v>
      </c>
      <c r="L170" s="14">
        <v>3656.12</v>
      </c>
      <c r="M170" s="6" t="s">
        <v>1130</v>
      </c>
      <c r="N170" s="6" t="s">
        <v>1155</v>
      </c>
    </row>
    <row r="171" spans="1:14" x14ac:dyDescent="0.3">
      <c r="A171" s="6">
        <v>9660002112</v>
      </c>
      <c r="B171" s="6">
        <v>3570</v>
      </c>
      <c r="C171" s="6" t="s">
        <v>730</v>
      </c>
      <c r="E171" s="6" t="s">
        <v>1671</v>
      </c>
      <c r="F171" s="12">
        <v>20000</v>
      </c>
      <c r="G171" s="6">
        <v>20000</v>
      </c>
      <c r="J171" s="12">
        <f>SUM(G171:I171)-F171</f>
        <v>0</v>
      </c>
      <c r="K171" s="14">
        <v>2.1000000000000001E-4</v>
      </c>
      <c r="L171" s="6">
        <v>4.2</v>
      </c>
      <c r="M171" s="6" t="s">
        <v>399</v>
      </c>
      <c r="N171" s="6" t="s">
        <v>731</v>
      </c>
    </row>
    <row r="172" spans="1:14" x14ac:dyDescent="0.3">
      <c r="A172" s="6">
        <v>9660002112</v>
      </c>
      <c r="B172" s="6">
        <v>6370</v>
      </c>
      <c r="C172" s="6" t="s">
        <v>1302</v>
      </c>
      <c r="E172" s="6" t="s">
        <v>1950</v>
      </c>
      <c r="F172" s="12">
        <v>41400</v>
      </c>
      <c r="G172" s="6">
        <v>41400</v>
      </c>
      <c r="J172" s="12">
        <f>SUM(G172:I172)-F172</f>
        <v>0</v>
      </c>
      <c r="K172" s="14">
        <v>5.3560000000000003E-2</v>
      </c>
      <c r="L172" s="14">
        <v>2217.38</v>
      </c>
      <c r="M172" s="6" t="s">
        <v>80</v>
      </c>
      <c r="N172" s="6" t="s">
        <v>1303</v>
      </c>
    </row>
    <row r="173" spans="1:14" x14ac:dyDescent="0.3">
      <c r="A173" s="6">
        <v>9660002112</v>
      </c>
      <c r="B173" s="6">
        <v>1450</v>
      </c>
      <c r="C173" s="6" t="s">
        <v>300</v>
      </c>
      <c r="E173" s="6" t="s">
        <v>1459</v>
      </c>
      <c r="F173" s="12">
        <v>222000</v>
      </c>
      <c r="G173" s="6">
        <v>222000</v>
      </c>
      <c r="J173" s="12">
        <f>SUM(G173:I173)-F173</f>
        <v>0</v>
      </c>
      <c r="K173" s="14">
        <v>8.8400000000000006E-3</v>
      </c>
      <c r="L173" s="14">
        <v>1962.48</v>
      </c>
      <c r="M173" s="6" t="s">
        <v>299</v>
      </c>
      <c r="N173" s="6" t="s">
        <v>301</v>
      </c>
    </row>
    <row r="174" spans="1:14" x14ac:dyDescent="0.3">
      <c r="A174" s="6">
        <v>9660002112</v>
      </c>
      <c r="B174" s="6">
        <v>1510</v>
      </c>
      <c r="C174" s="6" t="s">
        <v>313</v>
      </c>
      <c r="E174" s="6" t="s">
        <v>1465</v>
      </c>
      <c r="F174" s="12">
        <v>144000</v>
      </c>
      <c r="G174" s="6">
        <v>144000</v>
      </c>
      <c r="J174" s="12">
        <f>SUM(G174:I174)-F174</f>
        <v>0</v>
      </c>
      <c r="K174" s="14">
        <v>2.034E-2</v>
      </c>
      <c r="L174" s="14">
        <v>2928.96</v>
      </c>
      <c r="M174" s="6" t="s">
        <v>299</v>
      </c>
      <c r="N174" s="6" t="s">
        <v>314</v>
      </c>
    </row>
    <row r="175" spans="1:14" x14ac:dyDescent="0.3">
      <c r="A175" s="6">
        <v>9660002112</v>
      </c>
      <c r="B175" s="6">
        <v>2910</v>
      </c>
      <c r="C175" s="6" t="s">
        <v>598</v>
      </c>
      <c r="E175" s="6" t="s">
        <v>1605</v>
      </c>
      <c r="F175" s="12">
        <v>100000</v>
      </c>
      <c r="G175" s="6">
        <v>100000</v>
      </c>
      <c r="J175" s="12">
        <f>SUM(G175:I175)-F175</f>
        <v>0</v>
      </c>
      <c r="K175" s="14">
        <v>2.3999999999999998E-4</v>
      </c>
      <c r="L175" s="6">
        <v>24</v>
      </c>
      <c r="M175" s="6" t="s">
        <v>399</v>
      </c>
      <c r="N175" s="6" t="s">
        <v>599</v>
      </c>
    </row>
    <row r="176" spans="1:14" x14ac:dyDescent="0.3">
      <c r="A176" s="6">
        <v>9660002112</v>
      </c>
      <c r="B176" s="6">
        <v>3000</v>
      </c>
      <c r="C176" s="6" t="s">
        <v>616</v>
      </c>
      <c r="E176" s="6" t="s">
        <v>1614</v>
      </c>
      <c r="F176" s="12">
        <v>130000</v>
      </c>
      <c r="G176" s="6">
        <v>130000</v>
      </c>
      <c r="J176" s="12">
        <f>SUM(G176:I176)-F176</f>
        <v>0</v>
      </c>
      <c r="K176" s="14">
        <v>1.8000000000000001E-4</v>
      </c>
      <c r="L176" s="6">
        <v>23.4</v>
      </c>
      <c r="M176" s="6" t="s">
        <v>399</v>
      </c>
      <c r="N176" s="6" t="s">
        <v>617</v>
      </c>
    </row>
    <row r="177" spans="1:15" x14ac:dyDescent="0.3">
      <c r="A177" s="6">
        <v>9660002112</v>
      </c>
      <c r="B177" s="6">
        <v>3180</v>
      </c>
      <c r="C177" s="6" t="s">
        <v>652</v>
      </c>
      <c r="E177" s="6" t="s">
        <v>1632</v>
      </c>
      <c r="F177" s="12">
        <v>170000</v>
      </c>
      <c r="G177" s="6">
        <v>170000</v>
      </c>
      <c r="J177" s="12">
        <f>SUM(G177:I177)-F177</f>
        <v>0</v>
      </c>
      <c r="K177" s="14">
        <v>2.1000000000000001E-4</v>
      </c>
      <c r="L177" s="6">
        <v>35.700000000000003</v>
      </c>
      <c r="M177" s="6" t="s">
        <v>399</v>
      </c>
      <c r="N177" s="6" t="s">
        <v>653</v>
      </c>
    </row>
    <row r="178" spans="1:15" x14ac:dyDescent="0.3">
      <c r="A178" s="6">
        <v>9660002112</v>
      </c>
      <c r="B178" s="6">
        <v>6000</v>
      </c>
      <c r="C178" s="6" t="s">
        <v>1225</v>
      </c>
      <c r="E178" s="6" t="s">
        <v>1913</v>
      </c>
      <c r="F178" s="12">
        <v>4000</v>
      </c>
      <c r="G178" s="6">
        <v>4000</v>
      </c>
      <c r="J178" s="12">
        <f>SUM(G178:I178)-F178</f>
        <v>0</v>
      </c>
      <c r="K178" s="14">
        <v>1.5499999999999999E-3</v>
      </c>
      <c r="L178" s="6">
        <v>6.2</v>
      </c>
      <c r="M178" s="6" t="s">
        <v>1143</v>
      </c>
      <c r="N178" s="6" t="s">
        <v>1226</v>
      </c>
    </row>
    <row r="179" spans="1:15" x14ac:dyDescent="0.3">
      <c r="A179" s="6">
        <v>9660002112</v>
      </c>
      <c r="B179" s="6">
        <v>810</v>
      </c>
      <c r="C179" s="6" t="s">
        <v>170</v>
      </c>
      <c r="E179" s="6" t="s">
        <v>1396</v>
      </c>
      <c r="F179" s="12">
        <v>18000</v>
      </c>
      <c r="G179" s="6">
        <v>18000</v>
      </c>
      <c r="J179" s="12">
        <f>SUM(G179:I179)-F179</f>
        <v>0</v>
      </c>
      <c r="K179" s="14">
        <v>7.3499999999999996E-2</v>
      </c>
      <c r="L179" s="14">
        <v>1323</v>
      </c>
      <c r="M179" s="6" t="s">
        <v>70</v>
      </c>
      <c r="N179" s="6" t="s">
        <v>171</v>
      </c>
    </row>
    <row r="180" spans="1:15" x14ac:dyDescent="0.3">
      <c r="A180" s="6">
        <v>9660002112</v>
      </c>
      <c r="B180" s="6">
        <v>910</v>
      </c>
      <c r="C180" s="6" t="s">
        <v>190</v>
      </c>
      <c r="E180" s="6" t="s">
        <v>1406</v>
      </c>
      <c r="F180" s="12">
        <v>10000</v>
      </c>
      <c r="G180" s="6">
        <v>10000</v>
      </c>
      <c r="J180" s="12">
        <f>SUM(G180:I180)-F180</f>
        <v>0</v>
      </c>
      <c r="K180" s="14">
        <v>0.1885</v>
      </c>
      <c r="L180" s="14">
        <v>1885</v>
      </c>
      <c r="M180" s="6" t="s">
        <v>70</v>
      </c>
      <c r="N180" s="6" t="s">
        <v>191</v>
      </c>
    </row>
    <row r="181" spans="1:15" x14ac:dyDescent="0.3">
      <c r="A181" s="6">
        <v>9660002112</v>
      </c>
      <c r="B181" s="6">
        <v>930</v>
      </c>
      <c r="C181" s="6" t="s">
        <v>194</v>
      </c>
      <c r="E181" s="6" t="s">
        <v>1408</v>
      </c>
      <c r="F181" s="12">
        <v>60000</v>
      </c>
      <c r="I181" s="6">
        <v>60000</v>
      </c>
      <c r="J181" s="12">
        <f>SUM(G181:I181)-F181</f>
        <v>0</v>
      </c>
      <c r="K181" s="14">
        <v>0.14949999999999999</v>
      </c>
      <c r="L181" s="14">
        <v>8970</v>
      </c>
      <c r="M181" s="6" t="s">
        <v>70</v>
      </c>
      <c r="N181" s="6" t="s">
        <v>195</v>
      </c>
    </row>
    <row r="182" spans="1:15" x14ac:dyDescent="0.3">
      <c r="A182" s="6">
        <v>9660002112</v>
      </c>
      <c r="B182" s="6">
        <v>3210</v>
      </c>
      <c r="C182" s="6" t="s">
        <v>658</v>
      </c>
      <c r="E182" s="6" t="s">
        <v>1635</v>
      </c>
      <c r="F182" s="12">
        <v>90000</v>
      </c>
      <c r="G182" s="6">
        <v>90000</v>
      </c>
      <c r="J182" s="12">
        <f>SUM(G182:I182)-F182</f>
        <v>0</v>
      </c>
      <c r="K182" s="14">
        <v>2.1000000000000001E-4</v>
      </c>
      <c r="L182" s="6">
        <v>18.899999999999999</v>
      </c>
      <c r="M182" s="6" t="s">
        <v>399</v>
      </c>
      <c r="N182" s="6" t="s">
        <v>659</v>
      </c>
    </row>
    <row r="183" spans="1:15" x14ac:dyDescent="0.3">
      <c r="A183" s="6">
        <v>9660002112</v>
      </c>
      <c r="B183" s="6">
        <v>40</v>
      </c>
      <c r="C183" s="6" t="s">
        <v>14</v>
      </c>
      <c r="E183" s="6" t="s">
        <v>1329</v>
      </c>
      <c r="F183" s="6">
        <v>480</v>
      </c>
      <c r="I183" s="6">
        <v>480</v>
      </c>
      <c r="J183" s="12"/>
      <c r="K183" s="14">
        <v>0.01</v>
      </c>
      <c r="L183" s="6">
        <v>5</v>
      </c>
      <c r="M183" s="6" t="s">
        <v>9</v>
      </c>
      <c r="N183" s="6" t="s">
        <v>15</v>
      </c>
      <c r="O183" s="13" t="s">
        <v>1994</v>
      </c>
    </row>
    <row r="184" spans="1:15" x14ac:dyDescent="0.3">
      <c r="A184" s="6">
        <v>9660002112</v>
      </c>
      <c r="B184" s="6">
        <v>3760</v>
      </c>
      <c r="C184" s="6" t="s">
        <v>768</v>
      </c>
      <c r="E184" s="6" t="s">
        <v>1690</v>
      </c>
      <c r="F184" s="12">
        <v>20000</v>
      </c>
      <c r="G184" s="6">
        <v>20000</v>
      </c>
      <c r="J184" s="12">
        <f>SUM(G184:I184)-F184</f>
        <v>0</v>
      </c>
      <c r="K184" s="14">
        <v>2.1000000000000001E-4</v>
      </c>
      <c r="L184" s="6">
        <v>4.2</v>
      </c>
      <c r="M184" s="6" t="s">
        <v>399</v>
      </c>
      <c r="N184" s="6" t="s">
        <v>769</v>
      </c>
    </row>
    <row r="185" spans="1:15" x14ac:dyDescent="0.3">
      <c r="A185" s="6">
        <v>9660002112</v>
      </c>
      <c r="B185" s="6">
        <v>3970</v>
      </c>
      <c r="C185" s="6" t="s">
        <v>810</v>
      </c>
      <c r="E185" s="6" t="s">
        <v>1711</v>
      </c>
      <c r="F185" s="12">
        <v>30000</v>
      </c>
      <c r="G185" s="6">
        <v>30000</v>
      </c>
      <c r="J185" s="12">
        <f>SUM(G185:I185)-F185</f>
        <v>0</v>
      </c>
      <c r="K185" s="14">
        <v>2.2000000000000001E-4</v>
      </c>
      <c r="L185" s="6">
        <v>6.6</v>
      </c>
      <c r="M185" s="6" t="s">
        <v>399</v>
      </c>
      <c r="N185" s="6" t="s">
        <v>811</v>
      </c>
    </row>
    <row r="186" spans="1:15" x14ac:dyDescent="0.3">
      <c r="A186" s="6">
        <v>9660002112</v>
      </c>
      <c r="B186" s="6">
        <v>3990</v>
      </c>
      <c r="C186" s="6" t="s">
        <v>814</v>
      </c>
      <c r="E186" s="6" t="s">
        <v>1713</v>
      </c>
      <c r="F186" s="12">
        <v>10000</v>
      </c>
      <c r="G186" s="6">
        <v>10000</v>
      </c>
      <c r="J186" s="12">
        <f>SUM(G186:I186)-F186</f>
        <v>0</v>
      </c>
      <c r="K186" s="14">
        <v>2.1000000000000001E-4</v>
      </c>
      <c r="L186" s="6">
        <v>2.1</v>
      </c>
      <c r="M186" s="6" t="s">
        <v>399</v>
      </c>
      <c r="N186" s="6" t="s">
        <v>815</v>
      </c>
    </row>
    <row r="187" spans="1:15" x14ac:dyDescent="0.3">
      <c r="A187" s="6">
        <v>9660002112</v>
      </c>
      <c r="B187" s="6">
        <v>4210</v>
      </c>
      <c r="C187" s="6" t="s">
        <v>858</v>
      </c>
      <c r="E187" s="6" t="s">
        <v>1735</v>
      </c>
      <c r="F187" s="12">
        <v>80000</v>
      </c>
      <c r="G187" s="6">
        <v>80000</v>
      </c>
      <c r="J187" s="12">
        <f>SUM(G187:I187)-F187</f>
        <v>0</v>
      </c>
      <c r="K187" s="14">
        <v>3.1E-4</v>
      </c>
      <c r="L187" s="6">
        <v>24.8</v>
      </c>
      <c r="M187" s="6" t="s">
        <v>399</v>
      </c>
      <c r="N187" s="6" t="s">
        <v>859</v>
      </c>
    </row>
    <row r="188" spans="1:15" x14ac:dyDescent="0.3">
      <c r="A188" s="6">
        <v>9660002112</v>
      </c>
      <c r="B188" s="6">
        <v>4750</v>
      </c>
      <c r="C188" s="6" t="s">
        <v>967</v>
      </c>
      <c r="E188" s="6" t="s">
        <v>1789</v>
      </c>
      <c r="F188" s="12">
        <v>6885000</v>
      </c>
      <c r="G188" s="6">
        <v>6885000</v>
      </c>
      <c r="J188" s="12">
        <f>SUM(G188:I188)-F188</f>
        <v>0</v>
      </c>
      <c r="K188" s="14">
        <v>1.23E-3</v>
      </c>
      <c r="L188" s="14">
        <v>8468.5499999999993</v>
      </c>
      <c r="M188" s="6" t="s">
        <v>912</v>
      </c>
      <c r="N188" s="6" t="s">
        <v>968</v>
      </c>
    </row>
    <row r="189" spans="1:15" x14ac:dyDescent="0.3">
      <c r="A189" s="6">
        <v>9660002112</v>
      </c>
      <c r="B189" s="6">
        <v>5570</v>
      </c>
      <c r="C189" s="6" t="s">
        <v>1133</v>
      </c>
      <c r="E189" s="6" t="s">
        <v>1871</v>
      </c>
      <c r="F189" s="12">
        <v>50000</v>
      </c>
      <c r="G189" s="6">
        <v>50000</v>
      </c>
      <c r="J189" s="12">
        <f>SUM(G189:I189)-F189</f>
        <v>0</v>
      </c>
      <c r="K189" s="14">
        <v>4.3680000000000004E-2</v>
      </c>
      <c r="L189" s="14">
        <v>2184</v>
      </c>
      <c r="M189" s="6" t="s">
        <v>1130</v>
      </c>
      <c r="N189" s="6" t="s">
        <v>1134</v>
      </c>
    </row>
    <row r="190" spans="1:15" x14ac:dyDescent="0.3">
      <c r="A190" s="6">
        <v>9660002112</v>
      </c>
      <c r="B190" s="6">
        <v>5920</v>
      </c>
      <c r="C190" s="6" t="s">
        <v>1208</v>
      </c>
      <c r="E190" s="6" t="s">
        <v>1906</v>
      </c>
      <c r="F190" s="12">
        <v>10000</v>
      </c>
      <c r="G190" s="6">
        <v>10000</v>
      </c>
      <c r="J190" s="12">
        <f>SUM(G190:I190)-F190</f>
        <v>0</v>
      </c>
      <c r="K190" s="14">
        <v>7.8499999999999993E-3</v>
      </c>
      <c r="L190" s="6">
        <v>78.5</v>
      </c>
      <c r="M190" s="6" t="s">
        <v>1205</v>
      </c>
      <c r="N190" s="6" t="s">
        <v>1209</v>
      </c>
    </row>
    <row r="191" spans="1:15" x14ac:dyDescent="0.3">
      <c r="A191" s="6">
        <v>9660002112</v>
      </c>
      <c r="B191" s="6">
        <v>6220</v>
      </c>
      <c r="C191" s="6" t="s">
        <v>1270</v>
      </c>
      <c r="E191" s="6" t="s">
        <v>1935</v>
      </c>
      <c r="F191" s="12">
        <v>1500</v>
      </c>
      <c r="G191" s="6">
        <v>1500</v>
      </c>
      <c r="J191" s="12">
        <f>SUM(G191:I191)-F191</f>
        <v>0</v>
      </c>
      <c r="K191" s="14">
        <v>1.6119999999999999E-2</v>
      </c>
      <c r="L191" s="6">
        <v>24.18</v>
      </c>
      <c r="M191" s="6" t="s">
        <v>80</v>
      </c>
      <c r="N191" s="6" t="s">
        <v>1271</v>
      </c>
    </row>
    <row r="192" spans="1:15" x14ac:dyDescent="0.3">
      <c r="A192" s="6">
        <v>9660002112</v>
      </c>
      <c r="B192" s="6">
        <v>830</v>
      </c>
      <c r="C192" s="6" t="s">
        <v>174</v>
      </c>
      <c r="E192" s="6" t="s">
        <v>1398</v>
      </c>
      <c r="F192" s="12">
        <v>3000</v>
      </c>
      <c r="G192" s="6">
        <v>3000</v>
      </c>
      <c r="J192" s="12">
        <f>SUM(G192:I192)-F192</f>
        <v>0</v>
      </c>
      <c r="K192" s="14">
        <v>7.0800000000000002E-2</v>
      </c>
      <c r="L192" s="6">
        <v>212.4</v>
      </c>
      <c r="M192" s="6" t="s">
        <v>70</v>
      </c>
      <c r="N192" s="6" t="s">
        <v>175</v>
      </c>
    </row>
    <row r="193" spans="1:14" x14ac:dyDescent="0.3">
      <c r="A193" s="6">
        <v>9660002112</v>
      </c>
      <c r="B193" s="6">
        <v>850</v>
      </c>
      <c r="C193" s="6" t="s">
        <v>178</v>
      </c>
      <c r="E193" s="6" t="s">
        <v>1400</v>
      </c>
      <c r="F193" s="12">
        <v>18000</v>
      </c>
      <c r="G193" s="6">
        <v>18000</v>
      </c>
      <c r="J193" s="12">
        <f>SUM(G193:I193)-F193</f>
        <v>0</v>
      </c>
      <c r="K193" s="14">
        <v>6.7599999999999993E-2</v>
      </c>
      <c r="L193" s="14">
        <v>1216.8</v>
      </c>
      <c r="M193" s="6" t="s">
        <v>70</v>
      </c>
      <c r="N193" s="6" t="s">
        <v>179</v>
      </c>
    </row>
    <row r="194" spans="1:14" x14ac:dyDescent="0.3">
      <c r="A194" s="6">
        <v>9660002112</v>
      </c>
      <c r="B194" s="6">
        <v>2040</v>
      </c>
      <c r="C194" s="6" t="s">
        <v>424</v>
      </c>
      <c r="E194" s="6" t="s">
        <v>1518</v>
      </c>
      <c r="F194" s="12">
        <v>40000</v>
      </c>
      <c r="G194" s="6">
        <v>40000</v>
      </c>
      <c r="J194" s="12">
        <f>SUM(G194:I194)-F194</f>
        <v>0</v>
      </c>
      <c r="K194" s="14">
        <v>2.2000000000000001E-4</v>
      </c>
      <c r="L194" s="6">
        <v>8.8000000000000007</v>
      </c>
      <c r="M194" s="6" t="s">
        <v>399</v>
      </c>
      <c r="N194" s="6" t="s">
        <v>425</v>
      </c>
    </row>
    <row r="195" spans="1:14" x14ac:dyDescent="0.3">
      <c r="A195" s="6">
        <v>9660002112</v>
      </c>
      <c r="B195" s="6">
        <v>2300</v>
      </c>
      <c r="C195" s="6" t="s">
        <v>476</v>
      </c>
      <c r="E195" s="6" t="s">
        <v>1544</v>
      </c>
      <c r="F195" s="12">
        <v>50000</v>
      </c>
      <c r="G195" s="6">
        <v>50000</v>
      </c>
      <c r="J195" s="12">
        <f>SUM(G195:I195)-F195</f>
        <v>0</v>
      </c>
      <c r="K195" s="14">
        <v>2.7E-4</v>
      </c>
      <c r="L195" s="6">
        <v>13.5</v>
      </c>
      <c r="M195" s="6" t="s">
        <v>399</v>
      </c>
      <c r="N195" s="6" t="s">
        <v>477</v>
      </c>
    </row>
    <row r="196" spans="1:14" x14ac:dyDescent="0.3">
      <c r="A196" s="6">
        <v>9660002112</v>
      </c>
      <c r="B196" s="6">
        <v>3120</v>
      </c>
      <c r="C196" s="6" t="s">
        <v>640</v>
      </c>
      <c r="E196" s="6" t="s">
        <v>1626</v>
      </c>
      <c r="F196" s="12">
        <v>10000</v>
      </c>
      <c r="G196" s="6">
        <v>10000</v>
      </c>
      <c r="J196" s="12">
        <f>SUM(G196:I196)-F196</f>
        <v>0</v>
      </c>
      <c r="K196" s="14">
        <v>2.2999999999999998E-4</v>
      </c>
      <c r="L196" s="6">
        <v>2.2999999999999998</v>
      </c>
      <c r="M196" s="6" t="s">
        <v>399</v>
      </c>
      <c r="N196" s="6" t="s">
        <v>641</v>
      </c>
    </row>
    <row r="197" spans="1:14" x14ac:dyDescent="0.3">
      <c r="A197" s="6">
        <v>9660002112</v>
      </c>
      <c r="B197" s="6">
        <v>3250</v>
      </c>
      <c r="C197" s="6" t="s">
        <v>666</v>
      </c>
      <c r="E197" s="6" t="s">
        <v>1639</v>
      </c>
      <c r="F197" s="12">
        <v>90000</v>
      </c>
      <c r="G197" s="6">
        <v>90000</v>
      </c>
      <c r="J197" s="12">
        <f>SUM(G197:I197)-F197</f>
        <v>0</v>
      </c>
      <c r="K197" s="14">
        <v>1.8000000000000001E-4</v>
      </c>
      <c r="L197" s="6">
        <v>16.2</v>
      </c>
      <c r="M197" s="6" t="s">
        <v>399</v>
      </c>
      <c r="N197" s="6" t="s">
        <v>667</v>
      </c>
    </row>
    <row r="198" spans="1:14" x14ac:dyDescent="0.3">
      <c r="A198" s="6">
        <v>9660002112</v>
      </c>
      <c r="B198" s="6">
        <v>3550</v>
      </c>
      <c r="C198" s="6" t="s">
        <v>726</v>
      </c>
      <c r="E198" s="6" t="s">
        <v>1669</v>
      </c>
      <c r="F198" s="12">
        <v>10000</v>
      </c>
      <c r="G198" s="6">
        <v>10000</v>
      </c>
      <c r="J198" s="12">
        <f>SUM(G198:I198)-F198</f>
        <v>0</v>
      </c>
      <c r="K198" s="14">
        <v>1.8999999999999998E-4</v>
      </c>
      <c r="L198" s="6">
        <v>1.9</v>
      </c>
      <c r="M198" s="6" t="s">
        <v>399</v>
      </c>
      <c r="N198" s="6" t="s">
        <v>727</v>
      </c>
    </row>
    <row r="199" spans="1:14" x14ac:dyDescent="0.3">
      <c r="A199" s="6">
        <v>9660002112</v>
      </c>
      <c r="B199" s="6">
        <v>3580</v>
      </c>
      <c r="C199" s="6" t="s">
        <v>732</v>
      </c>
      <c r="E199" s="6" t="s">
        <v>1672</v>
      </c>
      <c r="F199" s="12">
        <v>20000</v>
      </c>
      <c r="G199" s="6">
        <v>20000</v>
      </c>
      <c r="J199" s="12">
        <f>SUM(G199:I199)-F199</f>
        <v>0</v>
      </c>
      <c r="K199" s="14">
        <v>2.1000000000000001E-4</v>
      </c>
      <c r="L199" s="6">
        <v>4.2</v>
      </c>
      <c r="M199" s="6" t="s">
        <v>399</v>
      </c>
      <c r="N199" s="6" t="s">
        <v>733</v>
      </c>
    </row>
    <row r="200" spans="1:14" x14ac:dyDescent="0.3">
      <c r="A200" s="6">
        <v>9660002112</v>
      </c>
      <c r="B200" s="6">
        <v>4070</v>
      </c>
      <c r="C200" s="6" t="s">
        <v>830</v>
      </c>
      <c r="E200" s="6" t="s">
        <v>1721</v>
      </c>
      <c r="F200" s="12">
        <v>20000</v>
      </c>
      <c r="G200" s="6">
        <v>20000</v>
      </c>
      <c r="J200" s="12">
        <f>SUM(G200:I200)-F200</f>
        <v>0</v>
      </c>
      <c r="K200" s="14">
        <v>2.2000000000000001E-4</v>
      </c>
      <c r="L200" s="6">
        <v>4.4000000000000004</v>
      </c>
      <c r="M200" s="6" t="s">
        <v>399</v>
      </c>
      <c r="N200" s="6" t="s">
        <v>831</v>
      </c>
    </row>
    <row r="201" spans="1:14" x14ac:dyDescent="0.3">
      <c r="A201" s="6">
        <v>9660002112</v>
      </c>
      <c r="B201" s="6">
        <v>4270</v>
      </c>
      <c r="C201" s="6" t="s">
        <v>870</v>
      </c>
      <c r="E201" s="6" t="s">
        <v>1741</v>
      </c>
      <c r="F201" s="12">
        <v>10000</v>
      </c>
      <c r="G201" s="6">
        <v>10000</v>
      </c>
      <c r="J201" s="12">
        <f>SUM(G201:I201)-F201</f>
        <v>0</v>
      </c>
      <c r="K201" s="14">
        <v>1.8999999999999998E-4</v>
      </c>
      <c r="L201" s="6">
        <v>1.9</v>
      </c>
      <c r="M201" s="6" t="s">
        <v>399</v>
      </c>
      <c r="N201" s="6" t="s">
        <v>871</v>
      </c>
    </row>
    <row r="202" spans="1:14" x14ac:dyDescent="0.3">
      <c r="A202" s="6">
        <v>9660002112</v>
      </c>
      <c r="B202" s="6">
        <v>4800</v>
      </c>
      <c r="C202" s="6" t="s">
        <v>977</v>
      </c>
      <c r="E202" s="6" t="s">
        <v>1794</v>
      </c>
      <c r="F202" s="12">
        <v>50000</v>
      </c>
      <c r="G202" s="6">
        <v>50000</v>
      </c>
      <c r="J202" s="12">
        <f>SUM(G202:I202)-F202</f>
        <v>0</v>
      </c>
      <c r="K202" s="14">
        <v>6.3200000000000001E-3</v>
      </c>
      <c r="L202" s="6">
        <v>316</v>
      </c>
      <c r="M202" s="6" t="s">
        <v>912</v>
      </c>
      <c r="N202" s="6" t="s">
        <v>978</v>
      </c>
    </row>
    <row r="203" spans="1:14" x14ac:dyDescent="0.3">
      <c r="A203" s="6">
        <v>9660002112</v>
      </c>
      <c r="B203" s="6">
        <v>5690</v>
      </c>
      <c r="C203" s="6" t="s">
        <v>1158</v>
      </c>
      <c r="E203" s="6" t="s">
        <v>1883</v>
      </c>
      <c r="F203" s="12">
        <v>16000</v>
      </c>
      <c r="G203" s="6">
        <v>16000</v>
      </c>
      <c r="J203" s="12">
        <f>SUM(G203:I203)-F203</f>
        <v>0</v>
      </c>
      <c r="K203" s="14">
        <v>7.8E-2</v>
      </c>
      <c r="L203" s="14">
        <v>1248</v>
      </c>
      <c r="M203" s="6" t="s">
        <v>1143</v>
      </c>
      <c r="N203" s="6" t="s">
        <v>1159</v>
      </c>
    </row>
    <row r="204" spans="1:14" x14ac:dyDescent="0.3">
      <c r="A204" s="6">
        <v>9660002112</v>
      </c>
      <c r="B204" s="6">
        <v>5700</v>
      </c>
      <c r="C204" s="6" t="s">
        <v>1160</v>
      </c>
      <c r="E204" s="6" t="s">
        <v>1884</v>
      </c>
      <c r="F204" s="12">
        <v>4000</v>
      </c>
      <c r="G204" s="6">
        <v>4000</v>
      </c>
      <c r="J204" s="12">
        <f>SUM(G204:I204)-F204</f>
        <v>0</v>
      </c>
      <c r="K204" s="14">
        <v>7.4999999999999997E-2</v>
      </c>
      <c r="L204" s="6">
        <v>300</v>
      </c>
      <c r="M204" s="6" t="s">
        <v>1130</v>
      </c>
      <c r="N204" s="6" t="s">
        <v>1161</v>
      </c>
    </row>
    <row r="205" spans="1:14" x14ac:dyDescent="0.3">
      <c r="A205" s="6">
        <v>9660002112</v>
      </c>
      <c r="B205" s="6">
        <v>4100</v>
      </c>
      <c r="C205" s="6" t="s">
        <v>836</v>
      </c>
      <c r="E205" s="6" t="s">
        <v>1724</v>
      </c>
      <c r="F205" s="12">
        <v>20000</v>
      </c>
      <c r="G205" s="6">
        <v>20000</v>
      </c>
      <c r="J205" s="12">
        <f>SUM(G205:I205)-F205</f>
        <v>0</v>
      </c>
      <c r="K205" s="14">
        <v>2.2000000000000001E-4</v>
      </c>
      <c r="L205" s="6">
        <v>4.4000000000000004</v>
      </c>
      <c r="M205" s="6" t="s">
        <v>399</v>
      </c>
      <c r="N205" s="6" t="s">
        <v>837</v>
      </c>
    </row>
    <row r="206" spans="1:14" x14ac:dyDescent="0.3">
      <c r="A206" s="6">
        <v>9660002112</v>
      </c>
      <c r="B206" s="6">
        <v>5630</v>
      </c>
      <c r="C206" s="6" t="s">
        <v>1146</v>
      </c>
      <c r="E206" s="6" t="s">
        <v>1877</v>
      </c>
      <c r="F206" s="12">
        <v>63000</v>
      </c>
      <c r="G206" s="6">
        <v>63000</v>
      </c>
      <c r="J206" s="12">
        <f>SUM(G206:I206)-F206</f>
        <v>0</v>
      </c>
      <c r="K206" s="14">
        <v>5.4729999999999994E-2</v>
      </c>
      <c r="L206" s="14">
        <v>3447.99</v>
      </c>
      <c r="M206" s="6" t="s">
        <v>1130</v>
      </c>
      <c r="N206" s="6" t="s">
        <v>1147</v>
      </c>
    </row>
    <row r="207" spans="1:14" x14ac:dyDescent="0.3">
      <c r="A207" s="6">
        <v>9660002112</v>
      </c>
      <c r="B207" s="6">
        <v>5420</v>
      </c>
      <c r="C207" s="6" t="s">
        <v>1102</v>
      </c>
      <c r="E207" s="6" t="s">
        <v>1856</v>
      </c>
      <c r="F207" s="12">
        <v>159000</v>
      </c>
      <c r="G207" s="6">
        <v>159000</v>
      </c>
      <c r="J207" s="12">
        <f>SUM(G207:I207)-F207</f>
        <v>0</v>
      </c>
      <c r="K207" s="14">
        <v>3.388E-2</v>
      </c>
      <c r="L207" s="14">
        <v>5386.92</v>
      </c>
      <c r="M207" s="6" t="s">
        <v>912</v>
      </c>
      <c r="N207" s="6" t="s">
        <v>1103</v>
      </c>
    </row>
    <row r="208" spans="1:14" x14ac:dyDescent="0.3">
      <c r="A208" s="6">
        <v>9660002112</v>
      </c>
      <c r="B208" s="6">
        <v>1560</v>
      </c>
      <c r="C208" s="6" t="s">
        <v>323</v>
      </c>
      <c r="E208" s="6" t="s">
        <v>1470</v>
      </c>
      <c r="F208" s="12">
        <v>63000</v>
      </c>
      <c r="G208" s="6">
        <v>63000</v>
      </c>
      <c r="J208" s="12">
        <f>SUM(G208:I208)-F208</f>
        <v>0</v>
      </c>
      <c r="K208" s="14">
        <v>9.4900000000000002E-3</v>
      </c>
      <c r="L208" s="6">
        <v>597.87</v>
      </c>
      <c r="M208" s="6" t="s">
        <v>299</v>
      </c>
      <c r="N208" s="6" t="s">
        <v>324</v>
      </c>
    </row>
    <row r="209" spans="1:14" x14ac:dyDescent="0.3">
      <c r="A209" s="6">
        <v>9660002112</v>
      </c>
      <c r="B209" s="6">
        <v>2620</v>
      </c>
      <c r="C209" s="6" t="s">
        <v>540</v>
      </c>
      <c r="E209" s="6" t="s">
        <v>1576</v>
      </c>
      <c r="F209" s="12">
        <v>45000</v>
      </c>
      <c r="G209" s="6">
        <v>45000</v>
      </c>
      <c r="J209" s="12">
        <f>SUM(G209:I209)-F209</f>
        <v>0</v>
      </c>
      <c r="K209" s="14">
        <v>1.2699999999999999E-3</v>
      </c>
      <c r="L209" s="6">
        <v>57.15</v>
      </c>
      <c r="M209" s="6" t="s">
        <v>399</v>
      </c>
      <c r="N209" s="6" t="s">
        <v>541</v>
      </c>
    </row>
    <row r="210" spans="1:14" x14ac:dyDescent="0.3">
      <c r="A210" s="6">
        <v>9660002112</v>
      </c>
      <c r="B210" s="6">
        <v>5640</v>
      </c>
      <c r="C210" s="6" t="s">
        <v>1148</v>
      </c>
      <c r="E210" s="6" t="s">
        <v>1878</v>
      </c>
      <c r="F210" s="12">
        <v>4000</v>
      </c>
      <c r="G210" s="6">
        <v>4000</v>
      </c>
      <c r="J210" s="12">
        <f>SUM(G210:I210)-F210</f>
        <v>0</v>
      </c>
      <c r="K210" s="14">
        <v>5.4729999999999994E-2</v>
      </c>
      <c r="L210" s="6">
        <v>218.92</v>
      </c>
      <c r="M210" s="6" t="s">
        <v>1143</v>
      </c>
      <c r="N210" s="6" t="s">
        <v>1149</v>
      </c>
    </row>
    <row r="211" spans="1:14" x14ac:dyDescent="0.3">
      <c r="A211" s="6">
        <v>9660002112</v>
      </c>
      <c r="B211" s="6">
        <v>820</v>
      </c>
      <c r="C211" s="6" t="s">
        <v>172</v>
      </c>
      <c r="E211" s="6" t="s">
        <v>1397</v>
      </c>
      <c r="F211" s="12">
        <v>5000</v>
      </c>
      <c r="G211" s="6">
        <v>5000</v>
      </c>
      <c r="J211" s="12">
        <f>SUM(G211:I211)-F211</f>
        <v>0</v>
      </c>
      <c r="K211" s="14">
        <v>0.24</v>
      </c>
      <c r="L211" s="14">
        <v>1200</v>
      </c>
      <c r="M211" s="6" t="s">
        <v>70</v>
      </c>
      <c r="N211" s="6" t="s">
        <v>173</v>
      </c>
    </row>
    <row r="212" spans="1:14" x14ac:dyDescent="0.3">
      <c r="A212" s="6">
        <v>9660002112</v>
      </c>
      <c r="B212" s="6">
        <v>1000</v>
      </c>
      <c r="C212" s="6" t="s">
        <v>208</v>
      </c>
      <c r="E212" s="6" t="s">
        <v>1415</v>
      </c>
      <c r="F212" s="12">
        <v>18000</v>
      </c>
      <c r="H212" s="6">
        <v>18000</v>
      </c>
      <c r="J212" s="12">
        <f>SUM(G212:I212)-F212</f>
        <v>0</v>
      </c>
      <c r="K212" s="14">
        <v>0.31524999999999997</v>
      </c>
      <c r="L212" s="14">
        <v>5674.5</v>
      </c>
      <c r="M212" s="6" t="s">
        <v>210</v>
      </c>
      <c r="N212" s="6" t="s">
        <v>209</v>
      </c>
    </row>
    <row r="213" spans="1:14" x14ac:dyDescent="0.3">
      <c r="A213" s="6">
        <v>9660002112</v>
      </c>
      <c r="B213" s="6">
        <v>1850</v>
      </c>
      <c r="C213" s="6" t="s">
        <v>385</v>
      </c>
      <c r="E213" s="6" t="s">
        <v>1499</v>
      </c>
      <c r="F213" s="12">
        <v>235000</v>
      </c>
      <c r="G213" s="6">
        <v>235000</v>
      </c>
      <c r="J213" s="12">
        <f>SUM(G213:I213)-F213</f>
        <v>0</v>
      </c>
      <c r="K213" s="14">
        <v>7.0200000000000002E-3</v>
      </c>
      <c r="L213" s="14">
        <v>1649.7</v>
      </c>
      <c r="M213" s="6" t="s">
        <v>384</v>
      </c>
      <c r="N213" s="6" t="s">
        <v>386</v>
      </c>
    </row>
    <row r="214" spans="1:14" x14ac:dyDescent="0.3">
      <c r="A214" s="6">
        <v>9660002112</v>
      </c>
      <c r="B214" s="6">
        <v>1930</v>
      </c>
      <c r="C214" s="6" t="s">
        <v>402</v>
      </c>
      <c r="E214" s="6" t="s">
        <v>1507</v>
      </c>
      <c r="F214" s="12">
        <v>20000</v>
      </c>
      <c r="G214" s="6">
        <v>20000</v>
      </c>
      <c r="J214" s="12">
        <f>SUM(G214:I214)-F214</f>
        <v>0</v>
      </c>
      <c r="K214" s="14">
        <v>2.2999999999999998E-4</v>
      </c>
      <c r="L214" s="6">
        <v>4.5999999999999996</v>
      </c>
      <c r="M214" s="6" t="s">
        <v>399</v>
      </c>
      <c r="N214" s="6" t="s">
        <v>403</v>
      </c>
    </row>
    <row r="215" spans="1:14" x14ac:dyDescent="0.3">
      <c r="A215" s="6">
        <v>9660002112</v>
      </c>
      <c r="B215" s="6">
        <v>2000</v>
      </c>
      <c r="C215" s="6" t="s">
        <v>416</v>
      </c>
      <c r="E215" s="6" t="s">
        <v>1514</v>
      </c>
      <c r="F215" s="12">
        <v>130000</v>
      </c>
      <c r="G215" s="6">
        <v>130000</v>
      </c>
      <c r="J215" s="12">
        <f>SUM(G215:I215)-F215</f>
        <v>0</v>
      </c>
      <c r="K215" s="14">
        <v>4.4000000000000002E-4</v>
      </c>
      <c r="L215" s="6">
        <v>57.2</v>
      </c>
      <c r="M215" s="6" t="s">
        <v>399</v>
      </c>
      <c r="N215" s="6" t="s">
        <v>417</v>
      </c>
    </row>
    <row r="216" spans="1:14" x14ac:dyDescent="0.3">
      <c r="A216" s="6">
        <v>9660002112</v>
      </c>
      <c r="B216" s="6">
        <v>2130</v>
      </c>
      <c r="C216" s="6" t="s">
        <v>442</v>
      </c>
      <c r="E216" s="6" t="s">
        <v>1527</v>
      </c>
      <c r="F216" s="12">
        <v>70000</v>
      </c>
      <c r="G216" s="6">
        <v>70000</v>
      </c>
      <c r="J216" s="12">
        <f>SUM(G216:I216)-F216</f>
        <v>0</v>
      </c>
      <c r="K216" s="14">
        <v>2.1000000000000001E-4</v>
      </c>
      <c r="L216" s="6">
        <v>14.7</v>
      </c>
      <c r="M216" s="6" t="s">
        <v>399</v>
      </c>
      <c r="N216" s="6" t="s">
        <v>443</v>
      </c>
    </row>
    <row r="217" spans="1:14" x14ac:dyDescent="0.3">
      <c r="A217" s="6">
        <v>9660002112</v>
      </c>
      <c r="B217" s="6">
        <v>2420</v>
      </c>
      <c r="C217" s="6" t="s">
        <v>500</v>
      </c>
      <c r="E217" s="6" t="s">
        <v>1556</v>
      </c>
      <c r="F217" s="12">
        <v>10000</v>
      </c>
      <c r="G217" s="6">
        <v>10000</v>
      </c>
      <c r="J217" s="12">
        <f>SUM(G217:I217)-F217</f>
        <v>0</v>
      </c>
      <c r="K217" s="14">
        <v>2.1000000000000001E-4</v>
      </c>
      <c r="L217" s="6">
        <v>2.1</v>
      </c>
      <c r="M217" s="6" t="s">
        <v>399</v>
      </c>
      <c r="N217" s="6" t="s">
        <v>501</v>
      </c>
    </row>
    <row r="218" spans="1:14" x14ac:dyDescent="0.3">
      <c r="A218" s="6">
        <v>9660002112</v>
      </c>
      <c r="B218" s="6">
        <v>2840</v>
      </c>
      <c r="C218" s="6" t="s">
        <v>584</v>
      </c>
      <c r="E218" s="6" t="s">
        <v>1598</v>
      </c>
      <c r="F218" s="12">
        <v>40000</v>
      </c>
      <c r="G218" s="6">
        <v>40000</v>
      </c>
      <c r="J218" s="12">
        <f>SUM(G218:I218)-F218</f>
        <v>0</v>
      </c>
      <c r="K218" s="14">
        <v>1.8000000000000001E-4</v>
      </c>
      <c r="L218" s="6">
        <v>7.2</v>
      </c>
      <c r="M218" s="6" t="s">
        <v>399</v>
      </c>
      <c r="N218" s="6" t="s">
        <v>585</v>
      </c>
    </row>
    <row r="219" spans="1:14" x14ac:dyDescent="0.3">
      <c r="A219" s="6">
        <v>9660002112</v>
      </c>
      <c r="B219" s="6">
        <v>2970</v>
      </c>
      <c r="C219" s="6" t="s">
        <v>610</v>
      </c>
      <c r="E219" s="6" t="s">
        <v>1611</v>
      </c>
      <c r="F219" s="12">
        <v>20000</v>
      </c>
      <c r="G219" s="6">
        <v>20000</v>
      </c>
      <c r="J219" s="12">
        <f>SUM(G219:I219)-F219</f>
        <v>0</v>
      </c>
      <c r="K219" s="14">
        <v>1.8000000000000001E-4</v>
      </c>
      <c r="L219" s="6">
        <v>3.6</v>
      </c>
      <c r="M219" s="6" t="s">
        <v>399</v>
      </c>
      <c r="N219" s="6" t="s">
        <v>611</v>
      </c>
    </row>
    <row r="220" spans="1:14" x14ac:dyDescent="0.3">
      <c r="A220" s="6">
        <v>9660002112</v>
      </c>
      <c r="B220" s="6">
        <v>3130</v>
      </c>
      <c r="C220" s="6" t="s">
        <v>642</v>
      </c>
      <c r="E220" s="6" t="s">
        <v>1627</v>
      </c>
      <c r="F220" s="12">
        <v>20000</v>
      </c>
      <c r="G220" s="6">
        <v>20000</v>
      </c>
      <c r="J220" s="12">
        <f>SUM(G220:I220)-F220</f>
        <v>0</v>
      </c>
      <c r="K220" s="14">
        <v>2.1000000000000001E-4</v>
      </c>
      <c r="L220" s="6">
        <v>4.2</v>
      </c>
      <c r="M220" s="6" t="s">
        <v>399</v>
      </c>
      <c r="N220" s="6" t="s">
        <v>643</v>
      </c>
    </row>
    <row r="221" spans="1:14" x14ac:dyDescent="0.3">
      <c r="A221" s="6">
        <v>9660002112</v>
      </c>
      <c r="B221" s="6">
        <v>3310</v>
      </c>
      <c r="C221" s="6" t="s">
        <v>678</v>
      </c>
      <c r="E221" s="6" t="s">
        <v>1645</v>
      </c>
      <c r="F221" s="12">
        <v>70000</v>
      </c>
      <c r="G221" s="6">
        <v>70000</v>
      </c>
      <c r="J221" s="12">
        <f>SUM(G221:I221)-F221</f>
        <v>0</v>
      </c>
      <c r="K221" s="14">
        <v>2.1000000000000001E-4</v>
      </c>
      <c r="L221" s="6">
        <v>14.7</v>
      </c>
      <c r="M221" s="6" t="s">
        <v>399</v>
      </c>
      <c r="N221" s="6" t="s">
        <v>679</v>
      </c>
    </row>
    <row r="222" spans="1:14" x14ac:dyDescent="0.3">
      <c r="A222" s="6">
        <v>9660002112</v>
      </c>
      <c r="B222" s="6">
        <v>3720</v>
      </c>
      <c r="C222" s="6" t="s">
        <v>760</v>
      </c>
      <c r="E222" s="6" t="s">
        <v>1686</v>
      </c>
      <c r="F222" s="12">
        <v>40000</v>
      </c>
      <c r="G222" s="6">
        <v>40000</v>
      </c>
      <c r="J222" s="12">
        <f>SUM(G222:I222)-F222</f>
        <v>0</v>
      </c>
      <c r="K222" s="14">
        <v>2.1000000000000001E-4</v>
      </c>
      <c r="L222" s="6">
        <v>8.4</v>
      </c>
      <c r="M222" s="6" t="s">
        <v>399</v>
      </c>
      <c r="N222" s="6" t="s">
        <v>761</v>
      </c>
    </row>
    <row r="223" spans="1:14" x14ac:dyDescent="0.3">
      <c r="A223" s="6">
        <v>9660002112</v>
      </c>
      <c r="B223" s="6">
        <v>3780</v>
      </c>
      <c r="C223" s="6" t="s">
        <v>772</v>
      </c>
      <c r="E223" s="6" t="s">
        <v>1692</v>
      </c>
      <c r="F223" s="12">
        <v>60000</v>
      </c>
      <c r="G223" s="6">
        <v>60000</v>
      </c>
      <c r="J223" s="12">
        <f>SUM(G223:I223)-F223</f>
        <v>0</v>
      </c>
      <c r="K223" s="14">
        <v>2.1000000000000001E-4</v>
      </c>
      <c r="L223" s="6">
        <v>12.6</v>
      </c>
      <c r="M223" s="6" t="s">
        <v>399</v>
      </c>
      <c r="N223" s="6" t="s">
        <v>773</v>
      </c>
    </row>
    <row r="224" spans="1:14" x14ac:dyDescent="0.3">
      <c r="A224" s="6">
        <v>9660002112</v>
      </c>
      <c r="B224" s="6">
        <v>4760</v>
      </c>
      <c r="C224" s="6" t="s">
        <v>969</v>
      </c>
      <c r="E224" s="6" t="s">
        <v>1790</v>
      </c>
      <c r="F224" s="12">
        <v>4070000</v>
      </c>
      <c r="H224" s="6">
        <v>4070000</v>
      </c>
      <c r="J224" s="12">
        <f>SUM(G224:I224)-F224</f>
        <v>0</v>
      </c>
      <c r="K224" s="14">
        <v>4.13E-3</v>
      </c>
      <c r="L224" s="14">
        <v>16809.099999999999</v>
      </c>
      <c r="M224" s="6" t="s">
        <v>912</v>
      </c>
      <c r="N224" s="6" t="s">
        <v>970</v>
      </c>
    </row>
    <row r="225" spans="1:14" x14ac:dyDescent="0.3">
      <c r="A225" s="6">
        <v>9660002112</v>
      </c>
      <c r="B225" s="6">
        <v>4850</v>
      </c>
      <c r="C225" s="6" t="s">
        <v>987</v>
      </c>
      <c r="E225" s="6" t="s">
        <v>1799</v>
      </c>
      <c r="F225" s="12">
        <v>810000</v>
      </c>
      <c r="G225" s="6">
        <v>810000</v>
      </c>
      <c r="J225" s="12">
        <f>SUM(G225:I225)-F225</f>
        <v>0</v>
      </c>
      <c r="K225" s="14">
        <v>1.0400000000000001E-3</v>
      </c>
      <c r="L225" s="6">
        <v>842.4</v>
      </c>
      <c r="M225" s="6" t="s">
        <v>912</v>
      </c>
      <c r="N225" s="6" t="s">
        <v>988</v>
      </c>
    </row>
    <row r="226" spans="1:14" x14ac:dyDescent="0.3">
      <c r="A226" s="6">
        <v>9660002112</v>
      </c>
      <c r="B226" s="6">
        <v>4890</v>
      </c>
      <c r="C226" s="6" t="s">
        <v>995</v>
      </c>
      <c r="E226" s="6" t="s">
        <v>1803</v>
      </c>
      <c r="F226" s="12">
        <v>180000</v>
      </c>
      <c r="G226" s="6">
        <v>180000</v>
      </c>
      <c r="J226" s="12">
        <f>SUM(G226:I226)-F226</f>
        <v>0</v>
      </c>
      <c r="K226" s="14">
        <v>2.6519999999999998E-2</v>
      </c>
      <c r="L226" s="14">
        <v>4773.6000000000004</v>
      </c>
      <c r="M226" s="6" t="s">
        <v>912</v>
      </c>
      <c r="N226" s="6" t="s">
        <v>996</v>
      </c>
    </row>
    <row r="227" spans="1:14" x14ac:dyDescent="0.3">
      <c r="A227" s="6">
        <v>9660002112</v>
      </c>
      <c r="B227" s="6">
        <v>5030</v>
      </c>
      <c r="C227" s="6" t="s">
        <v>1023</v>
      </c>
      <c r="E227" s="6" t="s">
        <v>1817</v>
      </c>
      <c r="F227" s="12">
        <v>68000</v>
      </c>
      <c r="G227" s="6">
        <v>68000</v>
      </c>
      <c r="J227" s="12">
        <f>SUM(G227:I227)-F227</f>
        <v>0</v>
      </c>
      <c r="K227" s="14">
        <v>2.9399999999999999E-3</v>
      </c>
      <c r="L227" s="6">
        <v>199.92</v>
      </c>
      <c r="M227" s="6" t="s">
        <v>912</v>
      </c>
      <c r="N227" s="6" t="s">
        <v>1024</v>
      </c>
    </row>
    <row r="228" spans="1:14" x14ac:dyDescent="0.3">
      <c r="A228" s="6">
        <v>9660002112</v>
      </c>
      <c r="B228" s="6">
        <v>5040</v>
      </c>
      <c r="C228" s="6" t="s">
        <v>1025</v>
      </c>
      <c r="E228" s="6" t="s">
        <v>1818</v>
      </c>
      <c r="F228" s="12">
        <v>128000</v>
      </c>
      <c r="G228" s="6">
        <v>128000</v>
      </c>
      <c r="J228" s="12">
        <f>SUM(G228:I228)-F228</f>
        <v>0</v>
      </c>
      <c r="K228" s="14">
        <v>1.9599999999999999E-3</v>
      </c>
      <c r="L228" s="6">
        <v>250.88</v>
      </c>
      <c r="M228" s="6" t="s">
        <v>912</v>
      </c>
      <c r="N228" s="6" t="s">
        <v>1026</v>
      </c>
    </row>
    <row r="229" spans="1:14" x14ac:dyDescent="0.3">
      <c r="A229" s="6">
        <v>9660002112</v>
      </c>
      <c r="B229" s="6">
        <v>5150</v>
      </c>
      <c r="C229" s="6" t="s">
        <v>1047</v>
      </c>
      <c r="E229" s="6" t="s">
        <v>1829</v>
      </c>
      <c r="F229" s="12">
        <v>30000</v>
      </c>
      <c r="G229" s="6">
        <v>30000</v>
      </c>
      <c r="J229" s="12">
        <f>SUM(G229:I229)-F229</f>
        <v>0</v>
      </c>
      <c r="K229" s="14">
        <v>1.25E-3</v>
      </c>
      <c r="L229" s="6">
        <v>37.5</v>
      </c>
      <c r="M229" s="6" t="s">
        <v>912</v>
      </c>
      <c r="N229" s="6" t="s">
        <v>1048</v>
      </c>
    </row>
    <row r="230" spans="1:14" x14ac:dyDescent="0.3">
      <c r="A230" s="6">
        <v>9660002112</v>
      </c>
      <c r="B230" s="6">
        <v>5250</v>
      </c>
      <c r="C230" s="6" t="s">
        <v>1067</v>
      </c>
      <c r="E230" s="6" t="s">
        <v>1839</v>
      </c>
      <c r="F230" s="12">
        <v>20000</v>
      </c>
      <c r="G230" s="6">
        <v>20000</v>
      </c>
      <c r="J230" s="12">
        <f>SUM(G230:I230)-F230</f>
        <v>0</v>
      </c>
      <c r="K230" s="14">
        <v>5.5999999999999995E-4</v>
      </c>
      <c r="L230" s="6">
        <v>11.2</v>
      </c>
      <c r="M230" s="6" t="s">
        <v>912</v>
      </c>
      <c r="N230" s="6" t="s">
        <v>1068</v>
      </c>
    </row>
    <row r="231" spans="1:14" x14ac:dyDescent="0.3">
      <c r="A231" s="6">
        <v>9660002112</v>
      </c>
      <c r="B231" s="6">
        <v>5480</v>
      </c>
      <c r="C231" s="6" t="s">
        <v>1114</v>
      </c>
      <c r="E231" s="6" t="s">
        <v>1862</v>
      </c>
      <c r="F231" s="12">
        <v>4000</v>
      </c>
      <c r="I231" s="6">
        <v>330000</v>
      </c>
      <c r="J231" s="12">
        <f>SUM(G231:I231)-F231</f>
        <v>326000</v>
      </c>
      <c r="K231" s="14">
        <v>0.10161000000000001</v>
      </c>
      <c r="L231" s="6">
        <v>406.44</v>
      </c>
      <c r="M231" s="6" t="s">
        <v>912</v>
      </c>
      <c r="N231" s="6" t="s">
        <v>1115</v>
      </c>
    </row>
    <row r="232" spans="1:14" x14ac:dyDescent="0.3">
      <c r="A232" s="6">
        <v>9660002112</v>
      </c>
      <c r="B232" s="6">
        <v>6400</v>
      </c>
      <c r="C232" s="6" t="s">
        <v>1308</v>
      </c>
      <c r="E232" s="6" t="s">
        <v>1953</v>
      </c>
      <c r="F232" s="12">
        <v>35100</v>
      </c>
      <c r="G232" s="6">
        <v>35100</v>
      </c>
      <c r="J232" s="12">
        <f>SUM(G232:I232)-F232</f>
        <v>0</v>
      </c>
      <c r="K232" s="14">
        <v>5.3560000000000003E-2</v>
      </c>
      <c r="L232" s="14">
        <v>1879.96</v>
      </c>
      <c r="M232" s="6" t="s">
        <v>89</v>
      </c>
      <c r="N232" s="6" t="s">
        <v>1309</v>
      </c>
    </row>
    <row r="233" spans="1:14" x14ac:dyDescent="0.3">
      <c r="A233" s="6">
        <v>9660002112</v>
      </c>
      <c r="B233" s="6">
        <v>5340</v>
      </c>
      <c r="C233" s="6" t="s">
        <v>1085</v>
      </c>
      <c r="E233" s="6" t="s">
        <v>1848</v>
      </c>
      <c r="F233" s="12">
        <v>10000</v>
      </c>
      <c r="G233" s="6">
        <v>10000</v>
      </c>
      <c r="J233" s="12">
        <f>SUM(G233:I233)-F233</f>
        <v>0</v>
      </c>
      <c r="K233" s="14">
        <v>7.3999999999999999E-4</v>
      </c>
      <c r="L233" s="6">
        <v>7.4</v>
      </c>
      <c r="M233" s="6" t="s">
        <v>912</v>
      </c>
      <c r="N233" s="6" t="s">
        <v>1086</v>
      </c>
    </row>
    <row r="234" spans="1:14" x14ac:dyDescent="0.3">
      <c r="A234" s="6">
        <v>9660002112</v>
      </c>
      <c r="B234" s="6">
        <v>6390</v>
      </c>
      <c r="C234" s="6" t="s">
        <v>1306</v>
      </c>
      <c r="E234" s="6" t="s">
        <v>1952</v>
      </c>
      <c r="F234" s="12">
        <v>36000</v>
      </c>
      <c r="H234" s="6">
        <v>36000</v>
      </c>
      <c r="J234" s="12">
        <f>SUM(G234:I234)-F234</f>
        <v>0</v>
      </c>
      <c r="K234" s="14">
        <v>0.2132</v>
      </c>
      <c r="L234" s="14">
        <v>7675.2</v>
      </c>
      <c r="M234" s="6" t="s">
        <v>89</v>
      </c>
      <c r="N234" s="6" t="s">
        <v>1307</v>
      </c>
    </row>
    <row r="235" spans="1:14" x14ac:dyDescent="0.3">
      <c r="A235" s="6">
        <v>9660002112</v>
      </c>
      <c r="B235" s="6">
        <v>1530</v>
      </c>
      <c r="C235" s="6" t="s">
        <v>317</v>
      </c>
      <c r="E235" s="6" t="s">
        <v>1467</v>
      </c>
      <c r="F235" s="12">
        <v>6000</v>
      </c>
      <c r="G235" s="6">
        <v>6000</v>
      </c>
      <c r="J235" s="12">
        <f>SUM(G235:I235)-F235</f>
        <v>0</v>
      </c>
      <c r="K235" s="14">
        <v>0.39240000000000003</v>
      </c>
      <c r="L235" s="14">
        <v>2354.4</v>
      </c>
      <c r="M235" s="6" t="s">
        <v>308</v>
      </c>
      <c r="N235" s="6" t="s">
        <v>318</v>
      </c>
    </row>
    <row r="236" spans="1:14" x14ac:dyDescent="0.3">
      <c r="A236" s="6">
        <v>9660002112</v>
      </c>
      <c r="B236" s="6">
        <v>900</v>
      </c>
      <c r="C236" s="6" t="s">
        <v>188</v>
      </c>
      <c r="E236" s="6" t="s">
        <v>1405</v>
      </c>
      <c r="F236" s="12">
        <v>60000</v>
      </c>
      <c r="G236" s="6">
        <v>60000</v>
      </c>
      <c r="J236" s="12">
        <f>SUM(G236:I236)-F236</f>
        <v>0</v>
      </c>
      <c r="K236" s="14">
        <v>0.14222000000000001</v>
      </c>
      <c r="L236" s="14">
        <v>8533.2000000000007</v>
      </c>
      <c r="M236" s="6" t="s">
        <v>70</v>
      </c>
      <c r="N236" s="6" t="s">
        <v>189</v>
      </c>
    </row>
    <row r="237" spans="1:14" x14ac:dyDescent="0.3">
      <c r="A237" s="6">
        <v>9660002112</v>
      </c>
      <c r="B237" s="6">
        <v>470</v>
      </c>
      <c r="C237" s="6" t="s">
        <v>98</v>
      </c>
      <c r="E237" s="6" t="s">
        <v>1362</v>
      </c>
      <c r="F237" s="12">
        <v>2400</v>
      </c>
      <c r="G237" s="6">
        <v>2400</v>
      </c>
      <c r="J237" s="12">
        <f>SUM(G237:I237)-F237</f>
        <v>0</v>
      </c>
      <c r="K237" s="14">
        <v>0.12</v>
      </c>
      <c r="L237" s="6">
        <v>288</v>
      </c>
      <c r="M237" s="6" t="s">
        <v>80</v>
      </c>
      <c r="N237" s="6" t="s">
        <v>99</v>
      </c>
    </row>
    <row r="238" spans="1:14" x14ac:dyDescent="0.3">
      <c r="A238" s="6">
        <v>9660002112</v>
      </c>
      <c r="B238" s="6">
        <v>640</v>
      </c>
      <c r="C238" s="6" t="s">
        <v>134</v>
      </c>
      <c r="E238" s="6" t="s">
        <v>1379</v>
      </c>
      <c r="F238" s="12">
        <v>43500</v>
      </c>
      <c r="G238" s="6">
        <v>43500</v>
      </c>
      <c r="J238" s="12">
        <f>SUM(G238:I238)-F238</f>
        <v>0</v>
      </c>
      <c r="K238" s="14">
        <v>1.4999999999999999E-2</v>
      </c>
      <c r="L238" s="6">
        <v>652.5</v>
      </c>
      <c r="M238" s="6" t="s">
        <v>136</v>
      </c>
      <c r="N238" s="6" t="s">
        <v>135</v>
      </c>
    </row>
    <row r="239" spans="1:14" x14ac:dyDescent="0.3">
      <c r="A239" s="6">
        <v>9660002112</v>
      </c>
      <c r="B239" s="6">
        <v>790</v>
      </c>
      <c r="C239" s="6" t="s">
        <v>166</v>
      </c>
      <c r="E239" s="6" t="s">
        <v>1394</v>
      </c>
      <c r="F239" s="12">
        <v>20000</v>
      </c>
      <c r="G239" s="6">
        <v>20000</v>
      </c>
      <c r="J239" s="12">
        <f>SUM(G239:I239)-F239</f>
        <v>0</v>
      </c>
      <c r="K239" s="14">
        <v>0.14222000000000001</v>
      </c>
      <c r="L239" s="14">
        <v>2844.4</v>
      </c>
      <c r="M239" s="6" t="s">
        <v>70</v>
      </c>
      <c r="N239" s="6" t="s">
        <v>167</v>
      </c>
    </row>
    <row r="240" spans="1:14" x14ac:dyDescent="0.3">
      <c r="A240" s="6">
        <v>9660002112</v>
      </c>
      <c r="B240" s="6">
        <v>1020</v>
      </c>
      <c r="C240" s="6" t="s">
        <v>213</v>
      </c>
      <c r="E240" s="6" t="s">
        <v>1417</v>
      </c>
      <c r="F240" s="12">
        <v>15000</v>
      </c>
      <c r="G240" s="6">
        <v>15000</v>
      </c>
      <c r="J240" s="12">
        <f>SUM(G240:I240)-F240</f>
        <v>0</v>
      </c>
      <c r="K240" s="14">
        <v>6.5799999999999997E-2</v>
      </c>
      <c r="L240" s="6">
        <v>987</v>
      </c>
      <c r="M240" s="6" t="s">
        <v>70</v>
      </c>
      <c r="N240" s="6" t="s">
        <v>214</v>
      </c>
    </row>
    <row r="241" spans="1:14" x14ac:dyDescent="0.3">
      <c r="A241" s="6">
        <v>9660002112</v>
      </c>
      <c r="B241" s="6">
        <v>1870</v>
      </c>
      <c r="C241" s="6" t="s">
        <v>389</v>
      </c>
      <c r="E241" s="6" t="s">
        <v>1501</v>
      </c>
      <c r="F241" s="12">
        <v>66000</v>
      </c>
      <c r="G241" s="6">
        <v>66000</v>
      </c>
      <c r="J241" s="12">
        <f>SUM(G241:I241)-F241</f>
        <v>0</v>
      </c>
      <c r="K241" s="14">
        <v>4.9500000000000004E-3</v>
      </c>
      <c r="L241" s="6">
        <v>326.7</v>
      </c>
      <c r="M241" s="6" t="s">
        <v>384</v>
      </c>
      <c r="N241" s="6" t="s">
        <v>390</v>
      </c>
    </row>
    <row r="242" spans="1:14" x14ac:dyDescent="0.3">
      <c r="A242" s="6">
        <v>9660002112</v>
      </c>
      <c r="B242" s="6">
        <v>2100</v>
      </c>
      <c r="C242" s="6" t="s">
        <v>436</v>
      </c>
      <c r="E242" s="6" t="s">
        <v>1524</v>
      </c>
      <c r="F242" s="12">
        <v>40000</v>
      </c>
      <c r="G242" s="6">
        <v>40000</v>
      </c>
      <c r="J242" s="12">
        <f>SUM(G242:I242)-F242</f>
        <v>0</v>
      </c>
      <c r="K242" s="14">
        <v>2.2000000000000001E-4</v>
      </c>
      <c r="L242" s="6">
        <v>8.8000000000000007</v>
      </c>
      <c r="M242" s="6" t="s">
        <v>399</v>
      </c>
      <c r="N242" s="6" t="s">
        <v>437</v>
      </c>
    </row>
    <row r="243" spans="1:14" x14ac:dyDescent="0.3">
      <c r="A243" s="6">
        <v>9660002112</v>
      </c>
      <c r="B243" s="6">
        <v>3670</v>
      </c>
      <c r="C243" s="6" t="s">
        <v>750</v>
      </c>
      <c r="E243" s="6" t="s">
        <v>1681</v>
      </c>
      <c r="F243" s="12">
        <v>20000</v>
      </c>
      <c r="G243" s="6">
        <v>20000</v>
      </c>
      <c r="J243" s="12">
        <f>SUM(G243:I243)-F243</f>
        <v>0</v>
      </c>
      <c r="K243" s="14">
        <v>2.1000000000000001E-4</v>
      </c>
      <c r="L243" s="6">
        <v>4.2</v>
      </c>
      <c r="M243" s="6" t="s">
        <v>399</v>
      </c>
      <c r="N243" s="6" t="s">
        <v>751</v>
      </c>
    </row>
    <row r="244" spans="1:14" x14ac:dyDescent="0.3">
      <c r="A244" s="6">
        <v>9660002112</v>
      </c>
      <c r="B244" s="6">
        <v>4180</v>
      </c>
      <c r="C244" s="6" t="s">
        <v>852</v>
      </c>
      <c r="E244" s="6" t="s">
        <v>1732</v>
      </c>
      <c r="F244" s="12">
        <v>20000</v>
      </c>
      <c r="G244" s="6">
        <v>20000</v>
      </c>
      <c r="J244" s="12">
        <f>SUM(G244:I244)-F244</f>
        <v>0</v>
      </c>
      <c r="K244" s="14">
        <v>2.1000000000000001E-4</v>
      </c>
      <c r="L244" s="6">
        <v>4.2</v>
      </c>
      <c r="M244" s="6" t="s">
        <v>399</v>
      </c>
      <c r="N244" s="6" t="s">
        <v>853</v>
      </c>
    </row>
    <row r="245" spans="1:14" x14ac:dyDescent="0.3">
      <c r="A245" s="6">
        <v>9660002112</v>
      </c>
      <c r="B245" s="6">
        <v>4700</v>
      </c>
      <c r="C245" s="6" t="s">
        <v>957</v>
      </c>
      <c r="E245" s="6" t="s">
        <v>1784</v>
      </c>
      <c r="F245" s="12">
        <v>5940000</v>
      </c>
      <c r="G245" s="6">
        <v>5940000</v>
      </c>
      <c r="J245" s="12">
        <f>SUM(G245:I245)-F245</f>
        <v>0</v>
      </c>
      <c r="K245" s="14">
        <v>4.5999999999999996E-4</v>
      </c>
      <c r="L245" s="14">
        <v>2732.4</v>
      </c>
      <c r="M245" s="6" t="s">
        <v>912</v>
      </c>
      <c r="N245" s="6" t="s">
        <v>958</v>
      </c>
    </row>
    <row r="246" spans="1:14" x14ac:dyDescent="0.3">
      <c r="A246" s="6">
        <v>9660002112</v>
      </c>
      <c r="B246" s="6">
        <v>5110</v>
      </c>
      <c r="C246" s="6" t="s">
        <v>1039</v>
      </c>
      <c r="E246" s="6" t="s">
        <v>1825</v>
      </c>
      <c r="F246" s="12">
        <v>80000</v>
      </c>
      <c r="G246" s="6">
        <v>80000</v>
      </c>
      <c r="J246" s="12">
        <f>SUM(G246:I246)-F246</f>
        <v>0</v>
      </c>
      <c r="K246" s="14">
        <v>6.4000000000000005E-4</v>
      </c>
      <c r="L246" s="6">
        <v>51.2</v>
      </c>
      <c r="M246" s="6" t="s">
        <v>912</v>
      </c>
      <c r="N246" s="6" t="s">
        <v>1040</v>
      </c>
    </row>
    <row r="247" spans="1:14" x14ac:dyDescent="0.3">
      <c r="A247" s="6">
        <v>9660002112</v>
      </c>
      <c r="B247" s="6">
        <v>5860</v>
      </c>
      <c r="C247" s="6" t="s">
        <v>1194</v>
      </c>
      <c r="E247" s="6" t="s">
        <v>1900</v>
      </c>
      <c r="F247" s="12">
        <v>18000</v>
      </c>
      <c r="G247" s="6">
        <v>18000</v>
      </c>
      <c r="J247" s="12">
        <f>SUM(G247:I247)-F247</f>
        <v>0</v>
      </c>
      <c r="K247" s="14">
        <v>4.3900000000000002E-2</v>
      </c>
      <c r="L247" s="6">
        <v>790.2</v>
      </c>
      <c r="M247" s="6" t="s">
        <v>1193</v>
      </c>
      <c r="N247" s="6" t="s">
        <v>1195</v>
      </c>
    </row>
    <row r="248" spans="1:14" x14ac:dyDescent="0.3">
      <c r="A248" s="6">
        <v>9660002112</v>
      </c>
      <c r="B248" s="6">
        <v>6410</v>
      </c>
      <c r="C248" s="6" t="s">
        <v>1310</v>
      </c>
      <c r="E248" s="6" t="s">
        <v>1954</v>
      </c>
      <c r="F248" s="12">
        <v>32000</v>
      </c>
      <c r="H248" s="6">
        <v>32000</v>
      </c>
      <c r="J248" s="12">
        <f>SUM(G248:I248)-F248</f>
        <v>0</v>
      </c>
      <c r="K248" s="14">
        <v>0.20799999999999999</v>
      </c>
      <c r="L248" s="14">
        <v>6656</v>
      </c>
      <c r="M248" s="6" t="s">
        <v>89</v>
      </c>
      <c r="N248" s="6" t="s">
        <v>1311</v>
      </c>
    </row>
    <row r="249" spans="1:14" x14ac:dyDescent="0.3">
      <c r="A249" s="6">
        <v>9660002112</v>
      </c>
      <c r="B249" s="6">
        <v>3710</v>
      </c>
      <c r="C249" s="6" t="s">
        <v>758</v>
      </c>
      <c r="E249" s="6" t="s">
        <v>1685</v>
      </c>
      <c r="F249" s="12">
        <v>10000</v>
      </c>
      <c r="G249" s="6">
        <v>10000</v>
      </c>
      <c r="J249" s="12">
        <f>SUM(G249:I249)-F249</f>
        <v>0</v>
      </c>
      <c r="K249" s="14">
        <v>2.2000000000000001E-4</v>
      </c>
      <c r="L249" s="6">
        <v>2.2000000000000002</v>
      </c>
      <c r="M249" s="6" t="s">
        <v>399</v>
      </c>
      <c r="N249" s="6" t="s">
        <v>759</v>
      </c>
    </row>
    <row r="250" spans="1:14" x14ac:dyDescent="0.3">
      <c r="A250" s="6">
        <v>9660002112</v>
      </c>
      <c r="B250" s="6">
        <v>5850</v>
      </c>
      <c r="C250" s="6" t="s">
        <v>1191</v>
      </c>
      <c r="E250" s="6" t="s">
        <v>1899</v>
      </c>
      <c r="F250" s="12">
        <v>18000</v>
      </c>
      <c r="H250" s="6">
        <v>18000</v>
      </c>
      <c r="J250" s="12">
        <f>SUM(G250:I250)-F250</f>
        <v>0</v>
      </c>
      <c r="K250" s="14">
        <v>4.3900000000000002E-2</v>
      </c>
      <c r="L250" s="6">
        <v>790.2</v>
      </c>
      <c r="M250" s="6" t="s">
        <v>1193</v>
      </c>
      <c r="N250" s="6" t="s">
        <v>1192</v>
      </c>
    </row>
    <row r="251" spans="1:14" x14ac:dyDescent="0.3">
      <c r="A251" s="6">
        <v>9660002112</v>
      </c>
      <c r="B251" s="6">
        <v>1550</v>
      </c>
      <c r="C251" s="6" t="s">
        <v>321</v>
      </c>
      <c r="E251" s="6" t="s">
        <v>1469</v>
      </c>
      <c r="F251" s="12">
        <v>12000</v>
      </c>
      <c r="G251" s="6">
        <v>12000</v>
      </c>
      <c r="J251" s="12">
        <f>SUM(G251:I251)-F251</f>
        <v>0</v>
      </c>
      <c r="K251" s="14">
        <v>9.3200000000000002E-3</v>
      </c>
      <c r="L251" s="6">
        <v>111.84</v>
      </c>
      <c r="M251" s="6" t="s">
        <v>299</v>
      </c>
      <c r="N251" s="6" t="s">
        <v>322</v>
      </c>
    </row>
    <row r="252" spans="1:14" x14ac:dyDescent="0.3">
      <c r="A252" s="6">
        <v>9660002112</v>
      </c>
      <c r="B252" s="6">
        <v>1590</v>
      </c>
      <c r="C252" s="6" t="s">
        <v>329</v>
      </c>
      <c r="E252" s="6" t="s">
        <v>1473</v>
      </c>
      <c r="F252" s="12">
        <v>20000</v>
      </c>
      <c r="G252" s="6">
        <v>20000</v>
      </c>
      <c r="J252" s="12">
        <f>SUM(G252:I252)-F252</f>
        <v>0</v>
      </c>
      <c r="K252" s="14">
        <v>9.6979999999999997E-2</v>
      </c>
      <c r="L252" s="14">
        <v>1939.6</v>
      </c>
      <c r="M252" s="6" t="s">
        <v>308</v>
      </c>
      <c r="N252" s="6" t="s">
        <v>330</v>
      </c>
    </row>
    <row r="253" spans="1:14" x14ac:dyDescent="0.3">
      <c r="A253" s="6">
        <v>9660002112</v>
      </c>
      <c r="B253" s="6">
        <v>1480</v>
      </c>
      <c r="C253" s="6" t="s">
        <v>306</v>
      </c>
      <c r="E253" s="6" t="s">
        <v>1462</v>
      </c>
      <c r="F253" s="12">
        <v>230000</v>
      </c>
      <c r="G253" s="6">
        <v>230000</v>
      </c>
      <c r="J253" s="12">
        <f>SUM(G253:I253)-F253</f>
        <v>0</v>
      </c>
      <c r="K253" s="14">
        <v>3.354E-2</v>
      </c>
      <c r="L253" s="14">
        <v>7714.2</v>
      </c>
      <c r="M253" s="6" t="s">
        <v>308</v>
      </c>
      <c r="N253" s="6" t="s">
        <v>307</v>
      </c>
    </row>
    <row r="254" spans="1:14" x14ac:dyDescent="0.3">
      <c r="A254" s="6">
        <v>9660002112</v>
      </c>
      <c r="B254" s="6">
        <v>1920</v>
      </c>
      <c r="C254" s="6" t="s">
        <v>400</v>
      </c>
      <c r="E254" s="6" t="s">
        <v>1506</v>
      </c>
      <c r="F254" s="12">
        <v>20000</v>
      </c>
      <c r="G254" s="6">
        <v>20000</v>
      </c>
      <c r="J254" s="12">
        <f>SUM(G254:I254)-F254</f>
        <v>0</v>
      </c>
      <c r="K254" s="14">
        <v>2.2999999999999998E-4</v>
      </c>
      <c r="L254" s="6">
        <v>4.5999999999999996</v>
      </c>
      <c r="M254" s="6" t="s">
        <v>399</v>
      </c>
      <c r="N254" s="6" t="s">
        <v>401</v>
      </c>
    </row>
    <row r="255" spans="1:14" x14ac:dyDescent="0.3">
      <c r="A255" s="6">
        <v>9660002112</v>
      </c>
      <c r="B255" s="6">
        <v>6080</v>
      </c>
      <c r="C255" s="6" t="s">
        <v>1242</v>
      </c>
      <c r="E255" s="6" t="s">
        <v>1921</v>
      </c>
      <c r="F255" s="12">
        <v>42000</v>
      </c>
      <c r="G255" s="6">
        <v>42000</v>
      </c>
      <c r="J255" s="12">
        <f>SUM(G255:I255)-F255</f>
        <v>0</v>
      </c>
      <c r="K255" s="14">
        <v>1.6080000000000001E-2</v>
      </c>
      <c r="L255" s="6">
        <v>675.36</v>
      </c>
      <c r="M255" s="6" t="s">
        <v>89</v>
      </c>
      <c r="N255" s="6" t="s">
        <v>1243</v>
      </c>
    </row>
    <row r="256" spans="1:14" x14ac:dyDescent="0.3">
      <c r="A256" s="6">
        <v>9660002112</v>
      </c>
      <c r="B256" s="6">
        <v>6090</v>
      </c>
      <c r="C256" s="6" t="s">
        <v>1244</v>
      </c>
      <c r="E256" s="6" t="s">
        <v>1922</v>
      </c>
      <c r="F256" s="12">
        <v>6000</v>
      </c>
      <c r="G256" s="6">
        <v>6000</v>
      </c>
      <c r="J256" s="12">
        <f>SUM(G256:I256)-F256</f>
        <v>0</v>
      </c>
      <c r="K256" s="14">
        <v>1.6799999999999999E-2</v>
      </c>
      <c r="L256" s="6">
        <v>100.8</v>
      </c>
      <c r="M256" s="6" t="s">
        <v>80</v>
      </c>
      <c r="N256" s="6" t="s">
        <v>1245</v>
      </c>
    </row>
    <row r="257" spans="1:14" x14ac:dyDescent="0.3">
      <c r="A257" s="6">
        <v>9660002112</v>
      </c>
      <c r="B257" s="6">
        <v>1600</v>
      </c>
      <c r="C257" s="6" t="s">
        <v>331</v>
      </c>
      <c r="E257" s="6" t="s">
        <v>1474</v>
      </c>
      <c r="F257" s="12">
        <v>63000</v>
      </c>
      <c r="G257" s="6">
        <v>63000</v>
      </c>
      <c r="J257" s="12">
        <f>SUM(G257:I257)-F257</f>
        <v>0</v>
      </c>
      <c r="K257" s="14">
        <v>0.1573</v>
      </c>
      <c r="L257" s="14">
        <v>9909.9</v>
      </c>
      <c r="M257" s="6" t="s">
        <v>308</v>
      </c>
      <c r="N257" s="6" t="s">
        <v>332</v>
      </c>
    </row>
    <row r="258" spans="1:14" x14ac:dyDescent="0.3">
      <c r="A258" s="6">
        <v>9660002112</v>
      </c>
      <c r="B258" s="6">
        <v>2410</v>
      </c>
      <c r="C258" s="6" t="s">
        <v>498</v>
      </c>
      <c r="E258" s="6" t="s">
        <v>1555</v>
      </c>
      <c r="F258" s="12">
        <v>8000</v>
      </c>
      <c r="G258" s="6">
        <v>8000</v>
      </c>
      <c r="J258" s="12">
        <f>SUM(G258:I258)-F258</f>
        <v>0</v>
      </c>
      <c r="K258" s="14">
        <v>2.648E-2</v>
      </c>
      <c r="L258" s="6">
        <v>211.84</v>
      </c>
      <c r="M258" s="6" t="s">
        <v>399</v>
      </c>
      <c r="N258" s="6" t="s">
        <v>499</v>
      </c>
    </row>
    <row r="259" spans="1:14" x14ac:dyDescent="0.3">
      <c r="A259" s="6">
        <v>9660002112</v>
      </c>
      <c r="B259" s="6">
        <v>3450</v>
      </c>
      <c r="C259" s="6" t="s">
        <v>706</v>
      </c>
      <c r="E259" s="6" t="s">
        <v>1659</v>
      </c>
      <c r="F259" s="12">
        <v>60000</v>
      </c>
      <c r="G259" s="6">
        <v>60000</v>
      </c>
      <c r="J259" s="12">
        <f>SUM(G259:I259)-F259</f>
        <v>0</v>
      </c>
      <c r="K259" s="14">
        <v>3.1E-4</v>
      </c>
      <c r="L259" s="6">
        <v>18.600000000000001</v>
      </c>
      <c r="M259" s="6" t="s">
        <v>399</v>
      </c>
      <c r="N259" s="6" t="s">
        <v>707</v>
      </c>
    </row>
    <row r="260" spans="1:14" x14ac:dyDescent="0.3">
      <c r="A260" s="6">
        <v>9660002112</v>
      </c>
      <c r="B260" s="6">
        <v>4160</v>
      </c>
      <c r="C260" s="6" t="s">
        <v>848</v>
      </c>
      <c r="E260" s="6" t="s">
        <v>1730</v>
      </c>
      <c r="F260" s="12">
        <v>70000</v>
      </c>
      <c r="G260" s="6">
        <v>70000</v>
      </c>
      <c r="J260" s="12">
        <f>SUM(G260:I260)-F260</f>
        <v>0</v>
      </c>
      <c r="K260" s="14">
        <v>2.1000000000000001E-4</v>
      </c>
      <c r="L260" s="6">
        <v>14.7</v>
      </c>
      <c r="M260" s="6" t="s">
        <v>399</v>
      </c>
      <c r="N260" s="6" t="s">
        <v>849</v>
      </c>
    </row>
    <row r="261" spans="1:14" x14ac:dyDescent="0.3">
      <c r="A261" s="6">
        <v>9660002112</v>
      </c>
      <c r="B261" s="6">
        <v>4300</v>
      </c>
      <c r="C261" s="6" t="s">
        <v>876</v>
      </c>
      <c r="E261" s="6" t="s">
        <v>1744</v>
      </c>
      <c r="F261" s="12">
        <v>20000</v>
      </c>
      <c r="I261" s="6">
        <v>20000</v>
      </c>
      <c r="J261" s="12">
        <f>SUM(G261:I261)-F261</f>
        <v>0</v>
      </c>
      <c r="K261" s="14">
        <v>2.1000000000000001E-4</v>
      </c>
      <c r="L261" s="6">
        <v>4.2</v>
      </c>
      <c r="M261" s="6" t="s">
        <v>399</v>
      </c>
      <c r="N261" s="6" t="s">
        <v>877</v>
      </c>
    </row>
    <row r="262" spans="1:14" x14ac:dyDescent="0.3">
      <c r="A262" s="6">
        <v>9660002112</v>
      </c>
      <c r="B262" s="6">
        <v>4380</v>
      </c>
      <c r="C262" s="6" t="s">
        <v>892</v>
      </c>
      <c r="E262" s="6" t="s">
        <v>1752</v>
      </c>
      <c r="F262" s="12">
        <v>2900000</v>
      </c>
      <c r="G262" s="6">
        <v>2900000</v>
      </c>
      <c r="J262" s="12">
        <f>SUM(G262:I262)-F262</f>
        <v>0</v>
      </c>
      <c r="K262" s="14">
        <v>2.5000000000000001E-4</v>
      </c>
      <c r="L262" s="6">
        <v>725</v>
      </c>
      <c r="M262" s="6" t="s">
        <v>399</v>
      </c>
      <c r="N262" s="6" t="s">
        <v>893</v>
      </c>
    </row>
    <row r="263" spans="1:14" x14ac:dyDescent="0.3">
      <c r="A263" s="6">
        <v>9660002112</v>
      </c>
      <c r="B263" s="6">
        <v>4390</v>
      </c>
      <c r="C263" s="6" t="s">
        <v>894</v>
      </c>
      <c r="E263" s="6" t="s">
        <v>1753</v>
      </c>
      <c r="F263" s="12">
        <v>2130000</v>
      </c>
      <c r="G263" s="6">
        <v>2130000</v>
      </c>
      <c r="J263" s="12">
        <f>SUM(G263:I263)-F263</f>
        <v>0</v>
      </c>
      <c r="K263" s="14">
        <v>4.0999999999999999E-4</v>
      </c>
      <c r="L263" s="6">
        <v>873.3</v>
      </c>
      <c r="M263" s="6" t="s">
        <v>399</v>
      </c>
      <c r="N263" s="6" t="s">
        <v>895</v>
      </c>
    </row>
    <row r="264" spans="1:14" x14ac:dyDescent="0.3">
      <c r="A264" s="6">
        <v>9660002112</v>
      </c>
      <c r="B264" s="6">
        <v>4520</v>
      </c>
      <c r="C264" s="6" t="s">
        <v>921</v>
      </c>
      <c r="E264" s="6" t="s">
        <v>1766</v>
      </c>
      <c r="F264" s="12">
        <v>68000</v>
      </c>
      <c r="G264" s="6">
        <v>68000</v>
      </c>
      <c r="J264" s="12">
        <f>SUM(G264:I264)-F264</f>
        <v>0</v>
      </c>
      <c r="K264" s="14">
        <v>6.8400000000000006E-3</v>
      </c>
      <c r="L264" s="6">
        <v>465.12</v>
      </c>
      <c r="M264" s="6" t="s">
        <v>912</v>
      </c>
      <c r="N264" s="6" t="s">
        <v>922</v>
      </c>
    </row>
    <row r="265" spans="1:14" x14ac:dyDescent="0.3">
      <c r="A265" s="6">
        <v>9660002112</v>
      </c>
      <c r="B265" s="6">
        <v>5310</v>
      </c>
      <c r="C265" s="6" t="s">
        <v>1079</v>
      </c>
      <c r="E265" s="6" t="s">
        <v>1845</v>
      </c>
      <c r="F265" s="12">
        <v>60000</v>
      </c>
      <c r="G265" s="6">
        <v>60000</v>
      </c>
      <c r="J265" s="12">
        <f>SUM(G265:I265)-F265</f>
        <v>0</v>
      </c>
      <c r="K265" s="14">
        <v>9.7999999999999997E-4</v>
      </c>
      <c r="L265" s="6">
        <v>58.8</v>
      </c>
      <c r="M265" s="6" t="s">
        <v>912</v>
      </c>
      <c r="N265" s="6" t="s">
        <v>1080</v>
      </c>
    </row>
    <row r="266" spans="1:14" x14ac:dyDescent="0.3">
      <c r="A266" s="6">
        <v>9660002112</v>
      </c>
      <c r="B266" s="6">
        <v>6060</v>
      </c>
      <c r="C266" s="6" t="s">
        <v>1237</v>
      </c>
      <c r="E266" s="6" t="s">
        <v>1919</v>
      </c>
      <c r="F266" s="12">
        <v>43500</v>
      </c>
      <c r="G266" s="6">
        <v>43500</v>
      </c>
      <c r="J266" s="12">
        <f>SUM(G266:I266)-F266</f>
        <v>0</v>
      </c>
      <c r="K266" s="14">
        <v>6.7599999999999993E-2</v>
      </c>
      <c r="L266" s="14">
        <v>2940.6</v>
      </c>
      <c r="M266" s="6" t="s">
        <v>1239</v>
      </c>
      <c r="N266" s="6" t="s">
        <v>1238</v>
      </c>
    </row>
    <row r="267" spans="1:14" x14ac:dyDescent="0.3">
      <c r="A267" s="6">
        <v>9660002112</v>
      </c>
      <c r="B267" s="6">
        <v>6020</v>
      </c>
      <c r="C267" s="6" t="s">
        <v>1229</v>
      </c>
      <c r="E267" s="6" t="s">
        <v>1915</v>
      </c>
      <c r="F267" s="12">
        <v>10000</v>
      </c>
      <c r="G267" s="6">
        <v>10000</v>
      </c>
      <c r="J267" s="12">
        <f>SUM(G267:I267)-F267</f>
        <v>0</v>
      </c>
      <c r="K267" s="14">
        <v>1.17E-3</v>
      </c>
      <c r="L267" s="6">
        <v>11.7</v>
      </c>
      <c r="M267" s="6" t="s">
        <v>1214</v>
      </c>
      <c r="N267" s="6" t="s">
        <v>1230</v>
      </c>
    </row>
    <row r="268" spans="1:14" x14ac:dyDescent="0.3">
      <c r="A268" s="6">
        <v>9660002112</v>
      </c>
      <c r="B268" s="6">
        <v>6030</v>
      </c>
      <c r="C268" s="6" t="s">
        <v>1231</v>
      </c>
      <c r="E268" s="6" t="s">
        <v>1916</v>
      </c>
      <c r="F268" s="12">
        <v>780000</v>
      </c>
      <c r="G268" s="6">
        <v>780000</v>
      </c>
      <c r="J268" s="12">
        <f>SUM(G268:I268)-F268</f>
        <v>0</v>
      </c>
      <c r="K268" s="14">
        <v>3.0899999999999999E-3</v>
      </c>
      <c r="L268" s="14">
        <v>2410.1999999999998</v>
      </c>
      <c r="M268" s="6" t="s">
        <v>1214</v>
      </c>
      <c r="N268" s="6" t="s">
        <v>1232</v>
      </c>
    </row>
    <row r="269" spans="1:14" x14ac:dyDescent="0.3">
      <c r="A269" s="6">
        <v>9660002112</v>
      </c>
      <c r="B269" s="6">
        <v>5940</v>
      </c>
      <c r="C269" s="6" t="s">
        <v>1212</v>
      </c>
      <c r="E269" s="6" t="s">
        <v>1908</v>
      </c>
      <c r="F269" s="12">
        <v>10000</v>
      </c>
      <c r="G269" s="6">
        <v>10000</v>
      </c>
      <c r="J269" s="12">
        <f>SUM(G269:I269)-F269</f>
        <v>0</v>
      </c>
      <c r="K269" s="14">
        <v>9.1999999999999992E-4</v>
      </c>
      <c r="L269" s="6">
        <v>9.1999999999999993</v>
      </c>
      <c r="M269" s="6" t="s">
        <v>1214</v>
      </c>
      <c r="N269" s="6" t="s">
        <v>1213</v>
      </c>
    </row>
    <row r="270" spans="1:14" x14ac:dyDescent="0.3">
      <c r="A270" s="6">
        <v>9660002112</v>
      </c>
      <c r="B270" s="6">
        <v>5970</v>
      </c>
      <c r="C270" s="6" t="s">
        <v>1219</v>
      </c>
      <c r="E270" s="6" t="s">
        <v>1911</v>
      </c>
      <c r="F270" s="12">
        <v>40000</v>
      </c>
      <c r="G270" s="6">
        <v>40000</v>
      </c>
      <c r="J270" s="12">
        <f>SUM(G270:I270)-F270</f>
        <v>0</v>
      </c>
      <c r="K270" s="14">
        <v>1.3800000000000002E-3</v>
      </c>
      <c r="L270" s="6">
        <v>55.2</v>
      </c>
      <c r="M270" s="6" t="s">
        <v>1214</v>
      </c>
      <c r="N270" s="6" t="s">
        <v>1220</v>
      </c>
    </row>
    <row r="271" spans="1:14" x14ac:dyDescent="0.3">
      <c r="A271" s="6">
        <v>9660002112</v>
      </c>
      <c r="B271" s="6">
        <v>4370</v>
      </c>
      <c r="C271" s="6" t="s">
        <v>890</v>
      </c>
      <c r="E271" s="6" t="s">
        <v>1751</v>
      </c>
      <c r="F271" s="12">
        <v>1290000</v>
      </c>
      <c r="G271" s="6">
        <v>1290000</v>
      </c>
      <c r="J271" s="12">
        <f>SUM(G271:I271)-F271</f>
        <v>0</v>
      </c>
      <c r="K271" s="14">
        <v>2.5000000000000001E-4</v>
      </c>
      <c r="L271" s="6">
        <v>322.5</v>
      </c>
      <c r="M271" s="6" t="s">
        <v>399</v>
      </c>
      <c r="N271" s="6" t="s">
        <v>891</v>
      </c>
    </row>
    <row r="272" spans="1:14" x14ac:dyDescent="0.3">
      <c r="A272" s="6">
        <v>9660002112</v>
      </c>
      <c r="B272" s="6">
        <v>4290</v>
      </c>
      <c r="C272" s="6" t="s">
        <v>874</v>
      </c>
      <c r="E272" s="6" t="s">
        <v>1743</v>
      </c>
      <c r="F272" s="12">
        <v>10000</v>
      </c>
      <c r="G272" s="6">
        <v>10000</v>
      </c>
      <c r="J272" s="12">
        <f>SUM(G272:I272)-F272</f>
        <v>0</v>
      </c>
      <c r="K272" s="14">
        <v>2.2000000000000001E-4</v>
      </c>
      <c r="L272" s="6">
        <v>2.2000000000000002</v>
      </c>
      <c r="M272" s="6" t="s">
        <v>399</v>
      </c>
      <c r="N272" s="6" t="s">
        <v>875</v>
      </c>
    </row>
    <row r="273" spans="1:14" x14ac:dyDescent="0.3">
      <c r="A273" s="6">
        <v>9660002112</v>
      </c>
      <c r="B273" s="6">
        <v>4190</v>
      </c>
      <c r="C273" s="6" t="s">
        <v>854</v>
      </c>
      <c r="E273" s="6" t="s">
        <v>1733</v>
      </c>
      <c r="F273" s="12">
        <v>50000</v>
      </c>
      <c r="G273" s="6">
        <v>50000</v>
      </c>
      <c r="J273" s="12">
        <f>SUM(G273:I273)-F273</f>
        <v>0</v>
      </c>
      <c r="K273" s="14">
        <v>2.2000000000000001E-4</v>
      </c>
      <c r="L273" s="6">
        <v>11</v>
      </c>
      <c r="M273" s="6" t="s">
        <v>399</v>
      </c>
      <c r="N273" s="6" t="s">
        <v>855</v>
      </c>
    </row>
    <row r="274" spans="1:14" x14ac:dyDescent="0.3">
      <c r="A274" s="6">
        <v>9660002112</v>
      </c>
      <c r="B274" s="6">
        <v>4050</v>
      </c>
      <c r="C274" s="6" t="s">
        <v>826</v>
      </c>
      <c r="E274" s="6" t="s">
        <v>1719</v>
      </c>
      <c r="F274" s="12">
        <v>20000</v>
      </c>
      <c r="G274" s="6">
        <v>20000</v>
      </c>
      <c r="J274" s="12">
        <f>SUM(G274:I274)-F274</f>
        <v>0</v>
      </c>
      <c r="K274" s="14">
        <v>2.1000000000000001E-4</v>
      </c>
      <c r="L274" s="6">
        <v>4.2</v>
      </c>
      <c r="M274" s="6" t="s">
        <v>399</v>
      </c>
      <c r="N274" s="6" t="s">
        <v>827</v>
      </c>
    </row>
    <row r="275" spans="1:14" x14ac:dyDescent="0.3">
      <c r="A275" s="6">
        <v>9660002112</v>
      </c>
      <c r="B275" s="6">
        <v>5010</v>
      </c>
      <c r="C275" s="6" t="s">
        <v>1019</v>
      </c>
      <c r="E275" s="6" t="s">
        <v>1815</v>
      </c>
      <c r="F275" s="12">
        <v>92000</v>
      </c>
      <c r="G275" s="6">
        <v>92000</v>
      </c>
      <c r="J275" s="12">
        <f>SUM(G275:I275)-F275</f>
        <v>0</v>
      </c>
      <c r="K275" s="14">
        <v>2.3999999999999998E-3</v>
      </c>
      <c r="L275" s="6">
        <v>220.8</v>
      </c>
      <c r="M275" s="6" t="s">
        <v>912</v>
      </c>
      <c r="N275" s="6" t="s">
        <v>1020</v>
      </c>
    </row>
    <row r="276" spans="1:14" x14ac:dyDescent="0.3">
      <c r="A276" s="6">
        <v>9660002112</v>
      </c>
      <c r="B276" s="6">
        <v>3920</v>
      </c>
      <c r="C276" s="6" t="s">
        <v>800</v>
      </c>
      <c r="E276" s="6" t="s">
        <v>1706</v>
      </c>
      <c r="F276" s="12">
        <v>20000</v>
      </c>
      <c r="G276" s="6">
        <v>20000</v>
      </c>
      <c r="J276" s="12">
        <f>SUM(G276:I276)-F276</f>
        <v>0</v>
      </c>
      <c r="K276" s="14">
        <v>2.1000000000000001E-4</v>
      </c>
      <c r="L276" s="6">
        <v>4.2</v>
      </c>
      <c r="M276" s="6" t="s">
        <v>399</v>
      </c>
      <c r="N276" s="6" t="s">
        <v>801</v>
      </c>
    </row>
    <row r="277" spans="1:14" x14ac:dyDescent="0.3">
      <c r="A277" s="6">
        <v>9660002112</v>
      </c>
      <c r="B277" s="6">
        <v>6040</v>
      </c>
      <c r="C277" s="6" t="s">
        <v>1233</v>
      </c>
      <c r="E277" s="6" t="s">
        <v>1917</v>
      </c>
      <c r="F277" s="12">
        <v>60000</v>
      </c>
      <c r="G277" s="6">
        <v>60000</v>
      </c>
      <c r="J277" s="12">
        <f>SUM(G277:I277)-F277</f>
        <v>0</v>
      </c>
      <c r="K277" s="14">
        <v>1.3380000000000001E-2</v>
      </c>
      <c r="L277" s="6">
        <v>802.8</v>
      </c>
      <c r="M277" s="6" t="s">
        <v>1130</v>
      </c>
      <c r="N277" s="6" t="s">
        <v>1234</v>
      </c>
    </row>
    <row r="278" spans="1:14" x14ac:dyDescent="0.3">
      <c r="A278" s="6">
        <v>9660002112</v>
      </c>
      <c r="B278" s="6">
        <v>5240</v>
      </c>
      <c r="C278" s="6" t="s">
        <v>1065</v>
      </c>
      <c r="E278" s="6" t="s">
        <v>1838</v>
      </c>
      <c r="F278" s="12">
        <v>210000</v>
      </c>
      <c r="G278" s="6">
        <v>210000</v>
      </c>
      <c r="J278" s="12">
        <f>SUM(G278:I278)-F278</f>
        <v>0</v>
      </c>
      <c r="K278" s="14">
        <v>5.5999999999999995E-4</v>
      </c>
      <c r="L278" s="6">
        <v>117.6</v>
      </c>
      <c r="M278" s="6" t="s">
        <v>912</v>
      </c>
      <c r="N278" s="6" t="s">
        <v>1066</v>
      </c>
    </row>
    <row r="279" spans="1:14" x14ac:dyDescent="0.3">
      <c r="A279" s="6">
        <v>9660002112</v>
      </c>
      <c r="B279" s="6">
        <v>2220</v>
      </c>
      <c r="C279" s="6" t="s">
        <v>460</v>
      </c>
      <c r="E279" s="6" t="s">
        <v>1536</v>
      </c>
      <c r="F279" s="12">
        <v>860000</v>
      </c>
      <c r="G279" s="6">
        <v>860000</v>
      </c>
      <c r="J279" s="12">
        <f>SUM(G279:I279)-F279</f>
        <v>0</v>
      </c>
      <c r="K279" s="14">
        <v>2.5000000000000001E-4</v>
      </c>
      <c r="L279" s="6">
        <v>215</v>
      </c>
      <c r="M279" s="6" t="s">
        <v>399</v>
      </c>
      <c r="N279" s="6" t="s">
        <v>461</v>
      </c>
    </row>
    <row r="280" spans="1:14" x14ac:dyDescent="0.3">
      <c r="A280" s="6">
        <v>9660002112</v>
      </c>
      <c r="B280" s="6">
        <v>760</v>
      </c>
      <c r="C280" s="6" t="s">
        <v>160</v>
      </c>
      <c r="E280" s="6" t="s">
        <v>1391</v>
      </c>
      <c r="F280" s="12">
        <v>16000</v>
      </c>
      <c r="G280" s="6">
        <v>16000</v>
      </c>
      <c r="J280" s="12">
        <f>SUM(G280:I280)-F280</f>
        <v>0</v>
      </c>
      <c r="K280" s="14">
        <v>0.78600000000000003</v>
      </c>
      <c r="L280" s="14">
        <v>12576</v>
      </c>
      <c r="M280" s="6" t="s">
        <v>42</v>
      </c>
      <c r="N280" s="6" t="s">
        <v>161</v>
      </c>
    </row>
    <row r="281" spans="1:14" x14ac:dyDescent="0.3">
      <c r="A281" s="6">
        <v>9660002112</v>
      </c>
      <c r="B281" s="6">
        <v>920</v>
      </c>
      <c r="C281" s="6" t="s">
        <v>192</v>
      </c>
      <c r="E281" s="6" t="s">
        <v>1407</v>
      </c>
      <c r="F281" s="12">
        <v>50000</v>
      </c>
      <c r="G281" s="6">
        <v>50000</v>
      </c>
      <c r="J281" s="12">
        <f>SUM(G281:I281)-F281</f>
        <v>0</v>
      </c>
      <c r="K281" s="14">
        <v>0.219</v>
      </c>
      <c r="L281" s="14">
        <v>10950</v>
      </c>
      <c r="M281" s="6" t="s">
        <v>70</v>
      </c>
      <c r="N281" s="6" t="s">
        <v>193</v>
      </c>
    </row>
    <row r="282" spans="1:14" x14ac:dyDescent="0.3">
      <c r="A282" s="6">
        <v>9660002112</v>
      </c>
      <c r="B282" s="6">
        <v>980</v>
      </c>
      <c r="C282" s="6" t="s">
        <v>204</v>
      </c>
      <c r="E282" s="6" t="s">
        <v>1413</v>
      </c>
      <c r="F282" s="12">
        <v>232500</v>
      </c>
      <c r="I282" s="6">
        <v>232500</v>
      </c>
      <c r="J282" s="12">
        <f>SUM(G282:I282)-F282</f>
        <v>0</v>
      </c>
      <c r="K282" s="14">
        <v>7.4639999999999998E-2</v>
      </c>
      <c r="L282" s="14">
        <v>17353.8</v>
      </c>
      <c r="M282" s="6" t="s">
        <v>70</v>
      </c>
      <c r="N282" s="6" t="s">
        <v>205</v>
      </c>
    </row>
    <row r="283" spans="1:14" x14ac:dyDescent="0.3">
      <c r="A283" s="6">
        <v>9660002112</v>
      </c>
      <c r="B283" s="6">
        <v>1060</v>
      </c>
      <c r="C283" s="6" t="s">
        <v>221</v>
      </c>
      <c r="E283" s="6" t="s">
        <v>1421</v>
      </c>
      <c r="F283" s="12">
        <v>2000</v>
      </c>
      <c r="G283" s="6">
        <v>2000</v>
      </c>
      <c r="J283" s="12">
        <f>SUM(G283:I283)-F283</f>
        <v>0</v>
      </c>
      <c r="K283" s="14">
        <v>0.495</v>
      </c>
      <c r="L283" s="6">
        <v>990</v>
      </c>
      <c r="M283" s="6" t="s">
        <v>42</v>
      </c>
      <c r="N283" s="6" t="s">
        <v>222</v>
      </c>
    </row>
    <row r="284" spans="1:14" x14ac:dyDescent="0.3">
      <c r="A284" s="6">
        <v>9660002112</v>
      </c>
      <c r="B284" s="6">
        <v>1080</v>
      </c>
      <c r="C284" s="6" t="s">
        <v>225</v>
      </c>
      <c r="E284" s="6" t="s">
        <v>1423</v>
      </c>
      <c r="F284" s="12">
        <v>42000</v>
      </c>
      <c r="H284" s="6">
        <v>42000</v>
      </c>
      <c r="J284" s="12">
        <f>SUM(G284:I284)-F284</f>
        <v>0</v>
      </c>
      <c r="K284" s="14">
        <v>0.22500000000000001</v>
      </c>
      <c r="L284" s="14">
        <v>9450</v>
      </c>
      <c r="M284" s="6" t="s">
        <v>70</v>
      </c>
      <c r="N284" s="6" t="s">
        <v>226</v>
      </c>
    </row>
    <row r="285" spans="1:14" x14ac:dyDescent="0.3">
      <c r="A285" s="6">
        <v>9660002112</v>
      </c>
      <c r="B285" s="6">
        <v>1610</v>
      </c>
      <c r="C285" s="6" t="s">
        <v>333</v>
      </c>
      <c r="E285" s="6" t="s">
        <v>1475</v>
      </c>
      <c r="F285" s="12">
        <v>84000</v>
      </c>
      <c r="G285" s="6">
        <v>84000</v>
      </c>
      <c r="J285" s="12">
        <f>SUM(G285:I285)-F285</f>
        <v>0</v>
      </c>
      <c r="K285" s="14">
        <v>1.72E-2</v>
      </c>
      <c r="L285" s="14">
        <v>1444.8</v>
      </c>
      <c r="M285" s="6" t="s">
        <v>299</v>
      </c>
      <c r="N285" s="6" t="s">
        <v>334</v>
      </c>
    </row>
    <row r="286" spans="1:14" x14ac:dyDescent="0.3">
      <c r="A286" s="6">
        <v>9660002112</v>
      </c>
      <c r="B286" s="6">
        <v>1620</v>
      </c>
      <c r="C286" s="6" t="s">
        <v>335</v>
      </c>
      <c r="E286" s="6" t="s">
        <v>1476</v>
      </c>
      <c r="F286" s="12">
        <v>5000</v>
      </c>
      <c r="G286" s="6">
        <v>5000</v>
      </c>
      <c r="J286" s="12">
        <f>SUM(G286:I286)-F286</f>
        <v>0</v>
      </c>
      <c r="K286" s="14">
        <v>0.1573</v>
      </c>
      <c r="L286" s="6">
        <v>786.5</v>
      </c>
      <c r="M286" s="6" t="s">
        <v>308</v>
      </c>
      <c r="N286" s="6" t="s">
        <v>336</v>
      </c>
    </row>
    <row r="287" spans="1:14" x14ac:dyDescent="0.3">
      <c r="A287" s="6">
        <v>9660002112</v>
      </c>
      <c r="B287" s="6">
        <v>1980</v>
      </c>
      <c r="C287" s="6" t="s">
        <v>412</v>
      </c>
      <c r="E287" s="6" t="s">
        <v>1512</v>
      </c>
      <c r="F287" s="12">
        <v>40000</v>
      </c>
      <c r="G287" s="6">
        <v>40000</v>
      </c>
      <c r="J287" s="12">
        <f>SUM(G287:I287)-F287</f>
        <v>0</v>
      </c>
      <c r="K287" s="14">
        <v>2.2000000000000001E-4</v>
      </c>
      <c r="L287" s="6">
        <v>8.8000000000000007</v>
      </c>
      <c r="M287" s="6" t="s">
        <v>399</v>
      </c>
      <c r="N287" s="6" t="s">
        <v>413</v>
      </c>
    </row>
    <row r="288" spans="1:14" x14ac:dyDescent="0.3">
      <c r="A288" s="6">
        <v>9660002112</v>
      </c>
      <c r="B288" s="6">
        <v>2120</v>
      </c>
      <c r="C288" s="6" t="s">
        <v>440</v>
      </c>
      <c r="E288" s="6" t="s">
        <v>1526</v>
      </c>
      <c r="F288" s="12">
        <v>90000</v>
      </c>
      <c r="G288" s="6">
        <v>90000</v>
      </c>
      <c r="J288" s="12">
        <f>SUM(G288:I288)-F288</f>
        <v>0</v>
      </c>
      <c r="K288" s="14">
        <v>3.1E-4</v>
      </c>
      <c r="L288" s="6">
        <v>27.9</v>
      </c>
      <c r="M288" s="6" t="s">
        <v>399</v>
      </c>
      <c r="N288" s="6" t="s">
        <v>441</v>
      </c>
    </row>
    <row r="289" spans="1:15" x14ac:dyDescent="0.3">
      <c r="A289" s="6">
        <v>9660002112</v>
      </c>
      <c r="B289" s="6">
        <v>2280</v>
      </c>
      <c r="C289" s="6" t="s">
        <v>472</v>
      </c>
      <c r="E289" s="6" t="s">
        <v>1542</v>
      </c>
      <c r="F289" s="12">
        <v>20000</v>
      </c>
      <c r="G289" s="6">
        <v>20000</v>
      </c>
      <c r="J289" s="12">
        <f>SUM(G289:I289)-F289</f>
        <v>0</v>
      </c>
      <c r="K289" s="14">
        <v>2.1000000000000001E-4</v>
      </c>
      <c r="L289" s="6">
        <v>4.2</v>
      </c>
      <c r="M289" s="6" t="s">
        <v>399</v>
      </c>
      <c r="N289" s="6" t="s">
        <v>473</v>
      </c>
    </row>
    <row r="290" spans="1:15" x14ac:dyDescent="0.3">
      <c r="A290" s="6">
        <v>9660002112</v>
      </c>
      <c r="B290" s="6">
        <v>2580</v>
      </c>
      <c r="C290" s="6" t="s">
        <v>532</v>
      </c>
      <c r="E290" s="6" t="s">
        <v>1572</v>
      </c>
      <c r="F290" s="12">
        <v>5000</v>
      </c>
      <c r="G290" s="6">
        <v>5000</v>
      </c>
      <c r="J290" s="12">
        <f>SUM(G290:I290)-F290</f>
        <v>0</v>
      </c>
      <c r="K290" s="14">
        <v>8.8000000000000003E-4</v>
      </c>
      <c r="L290" s="6">
        <v>4.4000000000000004</v>
      </c>
      <c r="M290" s="6" t="s">
        <v>399</v>
      </c>
      <c r="N290" s="6" t="s">
        <v>533</v>
      </c>
    </row>
    <row r="291" spans="1:15" x14ac:dyDescent="0.3">
      <c r="A291" s="6">
        <v>9660002112</v>
      </c>
      <c r="B291" s="6">
        <v>2610</v>
      </c>
      <c r="C291" s="6" t="s">
        <v>538</v>
      </c>
      <c r="E291" s="6" t="s">
        <v>1575</v>
      </c>
      <c r="F291" s="12">
        <v>5000</v>
      </c>
      <c r="G291" s="6">
        <v>5000</v>
      </c>
      <c r="J291" s="12">
        <f>SUM(G291:I291)-F291</f>
        <v>0</v>
      </c>
      <c r="K291" s="14">
        <v>8.1999999999999998E-4</v>
      </c>
      <c r="L291" s="6">
        <v>4.0999999999999996</v>
      </c>
      <c r="M291" s="6" t="s">
        <v>399</v>
      </c>
      <c r="N291" s="6" t="s">
        <v>539</v>
      </c>
    </row>
    <row r="292" spans="1:15" x14ac:dyDescent="0.3">
      <c r="A292" s="6">
        <v>9660002112</v>
      </c>
      <c r="B292" s="6">
        <v>2850</v>
      </c>
      <c r="C292" s="6" t="s">
        <v>586</v>
      </c>
      <c r="E292" s="6" t="s">
        <v>1599</v>
      </c>
      <c r="F292" s="12">
        <v>110000</v>
      </c>
      <c r="G292" s="6">
        <v>110000</v>
      </c>
      <c r="J292" s="12">
        <f>SUM(G292:I292)-F292</f>
        <v>0</v>
      </c>
      <c r="K292" s="14">
        <v>1.8000000000000001E-4</v>
      </c>
      <c r="L292" s="6">
        <v>19.8</v>
      </c>
      <c r="M292" s="6" t="s">
        <v>399</v>
      </c>
      <c r="N292" s="6" t="s">
        <v>587</v>
      </c>
    </row>
    <row r="293" spans="1:15" x14ac:dyDescent="0.3">
      <c r="A293" s="6">
        <v>9660002112</v>
      </c>
      <c r="B293" s="6">
        <v>2900</v>
      </c>
      <c r="C293" s="6" t="s">
        <v>596</v>
      </c>
      <c r="E293" s="6" t="s">
        <v>1604</v>
      </c>
      <c r="F293" s="12">
        <v>10000</v>
      </c>
      <c r="G293" s="6">
        <v>10000</v>
      </c>
      <c r="J293" s="12">
        <f>SUM(G293:I293)-F293</f>
        <v>0</v>
      </c>
      <c r="K293" s="14">
        <v>2.7E-4</v>
      </c>
      <c r="L293" s="6">
        <v>2.7</v>
      </c>
      <c r="M293" s="6" t="s">
        <v>399</v>
      </c>
      <c r="N293" s="6" t="s">
        <v>597</v>
      </c>
    </row>
    <row r="294" spans="1:15" x14ac:dyDescent="0.3">
      <c r="A294" s="6">
        <v>9660002112</v>
      </c>
      <c r="B294" s="6">
        <v>3010</v>
      </c>
      <c r="C294" s="6" t="s">
        <v>618</v>
      </c>
      <c r="E294" s="6" t="s">
        <v>1615</v>
      </c>
      <c r="F294" s="12">
        <v>10000</v>
      </c>
      <c r="G294" s="6">
        <v>10000</v>
      </c>
      <c r="J294" s="12">
        <f>SUM(G294:I294)-F294</f>
        <v>0</v>
      </c>
      <c r="K294" s="14">
        <v>2.7E-4</v>
      </c>
      <c r="L294" s="6">
        <v>2.7</v>
      </c>
      <c r="M294" s="6" t="s">
        <v>399</v>
      </c>
      <c r="N294" s="6" t="s">
        <v>619</v>
      </c>
    </row>
    <row r="295" spans="1:15" x14ac:dyDescent="0.3">
      <c r="A295" s="6">
        <v>9660002112</v>
      </c>
      <c r="B295" s="6">
        <v>3110</v>
      </c>
      <c r="C295" s="6" t="s">
        <v>638</v>
      </c>
      <c r="E295" s="6" t="s">
        <v>1625</v>
      </c>
      <c r="F295" s="12">
        <v>110000</v>
      </c>
      <c r="G295" s="6">
        <v>110000</v>
      </c>
      <c r="J295" s="12">
        <f>SUM(G295:I295)-F295</f>
        <v>0</v>
      </c>
      <c r="K295" s="14">
        <v>2.1000000000000001E-4</v>
      </c>
      <c r="L295" s="6">
        <v>23.1</v>
      </c>
      <c r="M295" s="6" t="s">
        <v>399</v>
      </c>
      <c r="N295" s="6" t="s">
        <v>639</v>
      </c>
    </row>
    <row r="296" spans="1:15" x14ac:dyDescent="0.3">
      <c r="A296" s="6">
        <v>9660002112</v>
      </c>
      <c r="B296" s="6">
        <v>3330</v>
      </c>
      <c r="C296" s="6" t="s">
        <v>682</v>
      </c>
      <c r="E296" s="6" t="s">
        <v>1647</v>
      </c>
      <c r="F296" s="12">
        <v>20000</v>
      </c>
      <c r="G296" s="6">
        <v>20000</v>
      </c>
      <c r="J296" s="12">
        <f>SUM(G296:I296)-F296</f>
        <v>0</v>
      </c>
      <c r="K296" s="14">
        <v>1.6799999999999999E-4</v>
      </c>
      <c r="L296" s="6">
        <v>3.36</v>
      </c>
      <c r="M296" s="6" t="s">
        <v>399</v>
      </c>
      <c r="N296" s="6" t="s">
        <v>683</v>
      </c>
    </row>
    <row r="297" spans="1:15" x14ac:dyDescent="0.3">
      <c r="A297" s="6">
        <v>9660002112</v>
      </c>
      <c r="B297" s="6">
        <v>3480</v>
      </c>
      <c r="C297" s="6" t="s">
        <v>712</v>
      </c>
      <c r="E297" s="6" t="s">
        <v>1662</v>
      </c>
      <c r="F297" s="12">
        <v>20000</v>
      </c>
      <c r="G297" s="6">
        <v>20000</v>
      </c>
      <c r="J297" s="12">
        <f>SUM(G297:I297)-F297</f>
        <v>0</v>
      </c>
      <c r="K297" s="14">
        <v>2.1000000000000001E-4</v>
      </c>
      <c r="L297" s="6">
        <v>4.2</v>
      </c>
      <c r="M297" s="6" t="s">
        <v>399</v>
      </c>
      <c r="N297" s="6" t="s">
        <v>713</v>
      </c>
    </row>
    <row r="298" spans="1:15" x14ac:dyDescent="0.3">
      <c r="A298" s="6">
        <v>9660002112</v>
      </c>
      <c r="B298" s="6">
        <v>3740</v>
      </c>
      <c r="C298" s="6" t="s">
        <v>764</v>
      </c>
      <c r="E298" s="6" t="s">
        <v>1688</v>
      </c>
      <c r="F298" s="12">
        <v>20000</v>
      </c>
      <c r="G298" s="6">
        <v>20000</v>
      </c>
      <c r="J298" s="12">
        <f>SUM(G298:I298)-F298</f>
        <v>0</v>
      </c>
      <c r="K298" s="14">
        <v>3.1E-4</v>
      </c>
      <c r="L298" s="6">
        <v>6.2</v>
      </c>
      <c r="M298" s="6" t="s">
        <v>399</v>
      </c>
      <c r="N298" s="6" t="s">
        <v>765</v>
      </c>
    </row>
    <row r="299" spans="1:15" x14ac:dyDescent="0.3">
      <c r="A299" s="6">
        <v>9660002112</v>
      </c>
      <c r="B299" s="6">
        <v>3810</v>
      </c>
      <c r="C299" s="6" t="s">
        <v>778</v>
      </c>
      <c r="E299" s="6" t="s">
        <v>1695</v>
      </c>
      <c r="F299" s="12">
        <v>120000</v>
      </c>
      <c r="G299" s="6">
        <v>120000</v>
      </c>
      <c r="J299" s="12">
        <f>SUM(G299:I299)-F299</f>
        <v>0</v>
      </c>
      <c r="K299" s="14">
        <v>1.8999999999999998E-4</v>
      </c>
      <c r="L299" s="6">
        <v>22.8</v>
      </c>
      <c r="M299" s="6" t="s">
        <v>399</v>
      </c>
      <c r="N299" s="6" t="s">
        <v>779</v>
      </c>
    </row>
    <row r="300" spans="1:15" x14ac:dyDescent="0.3">
      <c r="A300" s="6">
        <v>9660002112</v>
      </c>
      <c r="B300" s="6">
        <v>30</v>
      </c>
      <c r="C300" s="6" t="s">
        <v>12</v>
      </c>
      <c r="E300" s="6" t="s">
        <v>1328</v>
      </c>
      <c r="F300" s="6">
        <v>480</v>
      </c>
      <c r="I300" s="6">
        <v>480</v>
      </c>
      <c r="J300" s="12"/>
      <c r="K300" s="14">
        <v>21.553000000000001</v>
      </c>
      <c r="L300" s="14">
        <v>10776.5</v>
      </c>
      <c r="M300" s="6" t="s">
        <v>9</v>
      </c>
      <c r="N300" s="6" t="s">
        <v>13</v>
      </c>
      <c r="O300" s="13" t="s">
        <v>1994</v>
      </c>
    </row>
    <row r="301" spans="1:15" x14ac:dyDescent="0.3">
      <c r="A301" s="6">
        <v>9660002112</v>
      </c>
      <c r="B301" s="6">
        <v>4060</v>
      </c>
      <c r="C301" s="6" t="s">
        <v>828</v>
      </c>
      <c r="E301" s="6" t="s">
        <v>1720</v>
      </c>
      <c r="F301" s="12">
        <v>10000</v>
      </c>
      <c r="G301" s="6">
        <v>10000</v>
      </c>
      <c r="J301" s="12">
        <f>SUM(G301:I301)-F301</f>
        <v>0</v>
      </c>
      <c r="K301" s="14">
        <v>1.8999999999999998E-4</v>
      </c>
      <c r="L301" s="6">
        <v>1.9</v>
      </c>
      <c r="M301" s="6" t="s">
        <v>399</v>
      </c>
      <c r="N301" s="6" t="s">
        <v>829</v>
      </c>
    </row>
    <row r="302" spans="1:15" x14ac:dyDescent="0.3">
      <c r="A302" s="6">
        <v>9660002112</v>
      </c>
      <c r="B302" s="6">
        <v>4200</v>
      </c>
      <c r="C302" s="6" t="s">
        <v>856</v>
      </c>
      <c r="E302" s="6" t="s">
        <v>1734</v>
      </c>
      <c r="F302" s="12">
        <v>60000</v>
      </c>
      <c r="G302" s="6">
        <v>60000</v>
      </c>
      <c r="J302" s="12">
        <f>SUM(G302:I302)-F302</f>
        <v>0</v>
      </c>
      <c r="K302" s="14">
        <v>1.8000000000000001E-4</v>
      </c>
      <c r="L302" s="6">
        <v>10.8</v>
      </c>
      <c r="M302" s="6" t="s">
        <v>399</v>
      </c>
      <c r="N302" s="6" t="s">
        <v>857</v>
      </c>
    </row>
    <row r="303" spans="1:15" x14ac:dyDescent="0.3">
      <c r="A303" s="6">
        <v>9660002112</v>
      </c>
      <c r="B303" s="6">
        <v>4350</v>
      </c>
      <c r="C303" s="6" t="s">
        <v>886</v>
      </c>
      <c r="E303" s="6" t="s">
        <v>1749</v>
      </c>
      <c r="F303" s="12">
        <v>780000</v>
      </c>
      <c r="G303" s="6">
        <v>780000</v>
      </c>
      <c r="J303" s="12">
        <f>SUM(G303:I303)-F303</f>
        <v>0</v>
      </c>
      <c r="K303" s="14">
        <v>4.0999999999999999E-4</v>
      </c>
      <c r="L303" s="6">
        <v>319.8</v>
      </c>
      <c r="M303" s="6" t="s">
        <v>399</v>
      </c>
      <c r="N303" s="6" t="s">
        <v>887</v>
      </c>
    </row>
    <row r="304" spans="1:15" x14ac:dyDescent="0.3">
      <c r="A304" s="6">
        <v>9660002112</v>
      </c>
      <c r="B304" s="6">
        <v>4420</v>
      </c>
      <c r="C304" s="6" t="s">
        <v>900</v>
      </c>
      <c r="E304" s="6" t="s">
        <v>1756</v>
      </c>
      <c r="F304" s="12">
        <v>400000</v>
      </c>
      <c r="G304" s="6">
        <v>400000</v>
      </c>
      <c r="J304" s="12">
        <f>SUM(G304:I304)-F304</f>
        <v>0</v>
      </c>
      <c r="K304" s="14">
        <v>2.9999999999999997E-4</v>
      </c>
      <c r="L304" s="6">
        <v>120</v>
      </c>
      <c r="M304" s="6" t="s">
        <v>399</v>
      </c>
      <c r="N304" s="6" t="s">
        <v>901</v>
      </c>
    </row>
    <row r="305" spans="1:14" x14ac:dyDescent="0.3">
      <c r="A305" s="6">
        <v>9660002112</v>
      </c>
      <c r="B305" s="6">
        <v>4530</v>
      </c>
      <c r="C305" s="6" t="s">
        <v>923</v>
      </c>
      <c r="E305" s="6" t="s">
        <v>1767</v>
      </c>
      <c r="F305" s="12">
        <v>120000</v>
      </c>
      <c r="G305" s="6">
        <v>120000</v>
      </c>
      <c r="J305" s="12">
        <f>SUM(G305:I305)-F305</f>
        <v>0</v>
      </c>
      <c r="K305" s="14">
        <v>5.2999999999999998E-4</v>
      </c>
      <c r="L305" s="6">
        <v>63.6</v>
      </c>
      <c r="M305" s="6" t="s">
        <v>912</v>
      </c>
      <c r="N305" s="6" t="s">
        <v>924</v>
      </c>
    </row>
    <row r="306" spans="1:14" x14ac:dyDescent="0.3">
      <c r="A306" s="6">
        <v>9660002112</v>
      </c>
      <c r="B306" s="6">
        <v>4610</v>
      </c>
      <c r="C306" s="6" t="s">
        <v>939</v>
      </c>
      <c r="E306" s="6" t="s">
        <v>1775</v>
      </c>
      <c r="F306" s="12">
        <v>20000</v>
      </c>
      <c r="G306" s="6">
        <v>20000</v>
      </c>
      <c r="J306" s="12">
        <f>SUM(G306:I306)-F306</f>
        <v>0</v>
      </c>
      <c r="K306" s="14">
        <v>2.2799999999999999E-3</v>
      </c>
      <c r="L306" s="6">
        <v>45.6</v>
      </c>
      <c r="M306" s="6" t="s">
        <v>912</v>
      </c>
      <c r="N306" s="6" t="s">
        <v>940</v>
      </c>
    </row>
    <row r="307" spans="1:14" x14ac:dyDescent="0.3">
      <c r="A307" s="6">
        <v>9660002112</v>
      </c>
      <c r="B307" s="6">
        <v>4810</v>
      </c>
      <c r="C307" s="6" t="s">
        <v>979</v>
      </c>
      <c r="E307" s="6" t="s">
        <v>1795</v>
      </c>
      <c r="F307" s="12">
        <v>44000</v>
      </c>
      <c r="G307" s="6">
        <v>44000</v>
      </c>
      <c r="J307" s="12">
        <f>SUM(G307:I307)-F307</f>
        <v>0</v>
      </c>
      <c r="K307" s="14">
        <v>1.8720000000000001E-2</v>
      </c>
      <c r="L307" s="6">
        <v>823.68</v>
      </c>
      <c r="M307" s="6" t="s">
        <v>912</v>
      </c>
      <c r="N307" s="6" t="s">
        <v>980</v>
      </c>
    </row>
    <row r="308" spans="1:14" x14ac:dyDescent="0.3">
      <c r="A308" s="6">
        <v>9660002112</v>
      </c>
      <c r="B308" s="6">
        <v>4830</v>
      </c>
      <c r="C308" s="6" t="s">
        <v>983</v>
      </c>
      <c r="E308" s="6" t="s">
        <v>1797</v>
      </c>
      <c r="F308" s="12">
        <v>670000</v>
      </c>
      <c r="G308" s="6">
        <v>670000</v>
      </c>
      <c r="J308" s="12">
        <f>SUM(G308:I308)-F308</f>
        <v>0</v>
      </c>
      <c r="K308" s="14">
        <v>7.4400000000000004E-3</v>
      </c>
      <c r="L308" s="14">
        <v>4984.8</v>
      </c>
      <c r="M308" s="6" t="s">
        <v>912</v>
      </c>
      <c r="N308" s="6" t="s">
        <v>984</v>
      </c>
    </row>
    <row r="309" spans="1:14" x14ac:dyDescent="0.3">
      <c r="A309" s="6">
        <v>9660002112</v>
      </c>
      <c r="B309" s="6">
        <v>4860</v>
      </c>
      <c r="C309" s="6" t="s">
        <v>989</v>
      </c>
      <c r="E309" s="6" t="s">
        <v>1800</v>
      </c>
      <c r="F309" s="12">
        <v>30000</v>
      </c>
      <c r="G309" s="6">
        <v>30000</v>
      </c>
      <c r="J309" s="12">
        <f>SUM(G309:I309)-F309</f>
        <v>0</v>
      </c>
      <c r="K309" s="14">
        <v>2.0200000000000001E-3</v>
      </c>
      <c r="L309" s="6">
        <v>60.6</v>
      </c>
      <c r="M309" s="6" t="s">
        <v>912</v>
      </c>
      <c r="N309" s="6" t="s">
        <v>990</v>
      </c>
    </row>
    <row r="310" spans="1:14" x14ac:dyDescent="0.3">
      <c r="A310" s="6">
        <v>9660002112</v>
      </c>
      <c r="B310" s="6">
        <v>4970</v>
      </c>
      <c r="C310" s="6" t="s">
        <v>1011</v>
      </c>
      <c r="E310" s="6" t="s">
        <v>1811</v>
      </c>
      <c r="F310" s="12">
        <v>10000</v>
      </c>
      <c r="I310" s="6">
        <v>15000</v>
      </c>
      <c r="J310" s="12">
        <f>SUM(G310:I310)-F310</f>
        <v>5000</v>
      </c>
      <c r="K310" s="14">
        <v>7.4400000000000004E-3</v>
      </c>
      <c r="L310" s="6">
        <v>74.400000000000006</v>
      </c>
      <c r="M310" s="6" t="s">
        <v>912</v>
      </c>
      <c r="N310" s="6" t="s">
        <v>1012</v>
      </c>
    </row>
    <row r="311" spans="1:14" x14ac:dyDescent="0.3">
      <c r="A311" s="6">
        <v>9660002112</v>
      </c>
      <c r="B311" s="6">
        <v>5170</v>
      </c>
      <c r="C311" s="6" t="s">
        <v>1051</v>
      </c>
      <c r="E311" s="6" t="s">
        <v>1831</v>
      </c>
      <c r="F311" s="12">
        <v>90000</v>
      </c>
      <c r="G311" s="6">
        <v>90000</v>
      </c>
      <c r="J311" s="12">
        <f>SUM(G311:I311)-F311</f>
        <v>0</v>
      </c>
      <c r="K311" s="14">
        <v>6.4000000000000005E-4</v>
      </c>
      <c r="L311" s="6">
        <v>57.6</v>
      </c>
      <c r="M311" s="6" t="s">
        <v>912</v>
      </c>
      <c r="N311" s="6" t="s">
        <v>1052</v>
      </c>
    </row>
    <row r="312" spans="1:14" x14ac:dyDescent="0.3">
      <c r="A312" s="6">
        <v>9660002112</v>
      </c>
      <c r="B312" s="6">
        <v>5210</v>
      </c>
      <c r="C312" s="6" t="s">
        <v>1059</v>
      </c>
      <c r="E312" s="6" t="s">
        <v>1835</v>
      </c>
      <c r="F312" s="12">
        <v>40000</v>
      </c>
      <c r="G312" s="6">
        <v>40000</v>
      </c>
      <c r="J312" s="12">
        <f>SUM(G312:I312)-F312</f>
        <v>0</v>
      </c>
      <c r="K312" s="14">
        <v>7.3999999999999999E-4</v>
      </c>
      <c r="L312" s="6">
        <v>29.6</v>
      </c>
      <c r="M312" s="6" t="s">
        <v>912</v>
      </c>
      <c r="N312" s="6" t="s">
        <v>1060</v>
      </c>
    </row>
    <row r="313" spans="1:14" x14ac:dyDescent="0.3">
      <c r="A313" s="6">
        <v>9660002112</v>
      </c>
      <c r="B313" s="6">
        <v>5650</v>
      </c>
      <c r="C313" s="6" t="s">
        <v>1150</v>
      </c>
      <c r="E313" s="6" t="s">
        <v>1879</v>
      </c>
      <c r="F313" s="12">
        <v>1000</v>
      </c>
      <c r="G313" s="6">
        <v>1000</v>
      </c>
      <c r="J313" s="12">
        <f>SUM(G313:I313)-F313</f>
        <v>0</v>
      </c>
      <c r="K313" s="14">
        <v>7.7740000000000004E-2</v>
      </c>
      <c r="L313" s="6">
        <v>77.739999999999995</v>
      </c>
      <c r="M313" s="6" t="s">
        <v>1130</v>
      </c>
      <c r="N313" s="6" t="s">
        <v>1151</v>
      </c>
    </row>
    <row r="314" spans="1:14" x14ac:dyDescent="0.3">
      <c r="A314" s="6">
        <v>9660002112</v>
      </c>
      <c r="B314" s="6">
        <v>6050</v>
      </c>
      <c r="C314" s="6" t="s">
        <v>1235</v>
      </c>
      <c r="E314" s="6" t="s">
        <v>1918</v>
      </c>
      <c r="F314" s="12">
        <v>280000</v>
      </c>
      <c r="I314" s="6">
        <v>280000</v>
      </c>
      <c r="J314" s="12">
        <f>SUM(G314:I314)-F314</f>
        <v>0</v>
      </c>
      <c r="K314" s="14">
        <v>7.7900000000000009E-3</v>
      </c>
      <c r="L314" s="14">
        <v>2181.1999999999998</v>
      </c>
      <c r="M314" s="6" t="s">
        <v>1214</v>
      </c>
      <c r="N314" s="6" t="s">
        <v>1236</v>
      </c>
    </row>
    <row r="315" spans="1:14" x14ac:dyDescent="0.3">
      <c r="A315" s="6">
        <v>9660002112</v>
      </c>
      <c r="B315" s="6">
        <v>2450</v>
      </c>
      <c r="C315" s="6" t="s">
        <v>506</v>
      </c>
      <c r="E315" s="6" t="s">
        <v>1559</v>
      </c>
      <c r="F315" s="12">
        <v>65000</v>
      </c>
      <c r="H315" s="6">
        <v>65000</v>
      </c>
      <c r="J315" s="12">
        <f>SUM(G315:I315)-F315</f>
        <v>0</v>
      </c>
      <c r="K315" s="14">
        <v>1.3780000000000001E-2</v>
      </c>
      <c r="L315" s="6">
        <v>895.7</v>
      </c>
      <c r="M315" s="6" t="s">
        <v>399</v>
      </c>
      <c r="N315" s="6" t="s">
        <v>507</v>
      </c>
    </row>
    <row r="316" spans="1:14" x14ac:dyDescent="0.3">
      <c r="A316" s="6">
        <v>9660002112</v>
      </c>
      <c r="B316" s="6">
        <v>5130</v>
      </c>
      <c r="C316" s="6" t="s">
        <v>1043</v>
      </c>
      <c r="E316" s="6" t="s">
        <v>1827</v>
      </c>
      <c r="F316" s="12">
        <v>20000</v>
      </c>
      <c r="G316" s="6">
        <v>20000</v>
      </c>
      <c r="J316" s="12">
        <f>SUM(G316:I316)-F316</f>
        <v>0</v>
      </c>
      <c r="K316" s="14">
        <v>8.1999999999999998E-4</v>
      </c>
      <c r="L316" s="6">
        <v>16.399999999999999</v>
      </c>
      <c r="M316" s="6" t="s">
        <v>912</v>
      </c>
      <c r="N316" s="6" t="s">
        <v>1044</v>
      </c>
    </row>
    <row r="317" spans="1:14" x14ac:dyDescent="0.3">
      <c r="A317" s="6">
        <v>9660002112</v>
      </c>
      <c r="B317" s="6">
        <v>940</v>
      </c>
      <c r="C317" s="6" t="s">
        <v>196</v>
      </c>
      <c r="E317" s="6" t="s">
        <v>1409</v>
      </c>
      <c r="F317" s="12">
        <v>24000</v>
      </c>
      <c r="G317" s="6">
        <v>24000</v>
      </c>
      <c r="J317" s="12">
        <f>SUM(G317:I317)-F317</f>
        <v>0</v>
      </c>
      <c r="K317" s="14">
        <v>2.6880000000000001E-2</v>
      </c>
      <c r="L317" s="6">
        <v>645.12</v>
      </c>
      <c r="M317" s="6" t="s">
        <v>70</v>
      </c>
      <c r="N317" s="6" t="s">
        <v>197</v>
      </c>
    </row>
    <row r="318" spans="1:14" x14ac:dyDescent="0.3">
      <c r="A318" s="6">
        <v>9660002112</v>
      </c>
      <c r="B318" s="6">
        <v>4080</v>
      </c>
      <c r="C318" s="6" t="s">
        <v>832</v>
      </c>
      <c r="E318" s="6" t="s">
        <v>1722</v>
      </c>
      <c r="F318" s="12">
        <v>20000</v>
      </c>
      <c r="G318" s="6">
        <v>20000</v>
      </c>
      <c r="J318" s="12">
        <f>SUM(G318:I318)-F318</f>
        <v>0</v>
      </c>
      <c r="K318" s="14">
        <v>1.6799999999999999E-4</v>
      </c>
      <c r="L318" s="6">
        <v>3.36</v>
      </c>
      <c r="M318" s="6" t="s">
        <v>399</v>
      </c>
      <c r="N318" s="6" t="s">
        <v>833</v>
      </c>
    </row>
    <row r="319" spans="1:14" x14ac:dyDescent="0.3">
      <c r="A319" s="6">
        <v>9660002112</v>
      </c>
      <c r="B319" s="6">
        <v>4250</v>
      </c>
      <c r="C319" s="6" t="s">
        <v>866</v>
      </c>
      <c r="E319" s="6" t="s">
        <v>1739</v>
      </c>
      <c r="F319" s="12">
        <v>50000</v>
      </c>
      <c r="G319" s="6">
        <v>50000</v>
      </c>
      <c r="J319" s="12">
        <f>SUM(G319:I319)-F319</f>
        <v>0</v>
      </c>
      <c r="K319" s="14">
        <v>1.8000000000000001E-4</v>
      </c>
      <c r="L319" s="6">
        <v>9</v>
      </c>
      <c r="M319" s="6" t="s">
        <v>399</v>
      </c>
      <c r="N319" s="6" t="s">
        <v>867</v>
      </c>
    </row>
    <row r="320" spans="1:14" x14ac:dyDescent="0.3">
      <c r="A320" s="6">
        <v>9660002112</v>
      </c>
      <c r="B320" s="6">
        <v>6120</v>
      </c>
      <c r="C320" s="6" t="s">
        <v>1250</v>
      </c>
      <c r="E320" s="6" t="s">
        <v>1925</v>
      </c>
      <c r="F320" s="12">
        <v>18000</v>
      </c>
      <c r="G320" s="6">
        <v>18000</v>
      </c>
      <c r="J320" s="12">
        <f>SUM(G320:I320)-F320</f>
        <v>0</v>
      </c>
      <c r="K320" s="14">
        <v>1.651E-2</v>
      </c>
      <c r="L320" s="6">
        <v>297.18</v>
      </c>
      <c r="M320" s="6" t="s">
        <v>80</v>
      </c>
      <c r="N320" s="6" t="s">
        <v>1251</v>
      </c>
    </row>
    <row r="321" spans="1:14" x14ac:dyDescent="0.3">
      <c r="A321" s="6">
        <v>9660002112</v>
      </c>
      <c r="B321" s="6">
        <v>6440</v>
      </c>
      <c r="C321" s="6" t="s">
        <v>1316</v>
      </c>
      <c r="E321" s="6" t="s">
        <v>1957</v>
      </c>
      <c r="F321" s="12">
        <v>1020</v>
      </c>
      <c r="H321" s="6">
        <v>1020</v>
      </c>
      <c r="J321" s="12">
        <f>SUM(G321:I321)-F321</f>
        <v>0</v>
      </c>
      <c r="K321" s="14">
        <v>0.2132</v>
      </c>
      <c r="L321" s="6">
        <v>217.46</v>
      </c>
      <c r="M321" s="6" t="s">
        <v>89</v>
      </c>
      <c r="N321" s="6" t="s">
        <v>1317</v>
      </c>
    </row>
    <row r="322" spans="1:14" x14ac:dyDescent="0.3">
      <c r="A322" s="6">
        <v>9660002112</v>
      </c>
      <c r="B322" s="6">
        <v>6380</v>
      </c>
      <c r="C322" s="6" t="s">
        <v>1304</v>
      </c>
      <c r="E322" s="6" t="s">
        <v>1951</v>
      </c>
      <c r="F322" s="12">
        <v>83700</v>
      </c>
      <c r="G322" s="6">
        <v>83700</v>
      </c>
      <c r="J322" s="12">
        <f>SUM(G322:I322)-F322</f>
        <v>0</v>
      </c>
      <c r="K322" s="14">
        <v>5.3560000000000003E-2</v>
      </c>
      <c r="L322" s="14">
        <v>4482.97</v>
      </c>
      <c r="M322" s="6" t="s">
        <v>80</v>
      </c>
      <c r="N322" s="6" t="s">
        <v>1305</v>
      </c>
    </row>
    <row r="323" spans="1:14" x14ac:dyDescent="0.3">
      <c r="A323" s="6">
        <v>9660002112</v>
      </c>
      <c r="B323" s="6">
        <v>2060</v>
      </c>
      <c r="C323" s="6" t="s">
        <v>428</v>
      </c>
      <c r="E323" s="6" t="s">
        <v>1520</v>
      </c>
      <c r="F323" s="12">
        <v>10000</v>
      </c>
      <c r="G323" s="6">
        <v>10000</v>
      </c>
      <c r="J323" s="12">
        <f>SUM(G323:I323)-F323</f>
        <v>0</v>
      </c>
      <c r="K323" s="14">
        <v>1.8999999999999998E-4</v>
      </c>
      <c r="L323" s="6">
        <v>1.9</v>
      </c>
      <c r="M323" s="6" t="s">
        <v>399</v>
      </c>
      <c r="N323" s="6" t="s">
        <v>429</v>
      </c>
    </row>
    <row r="324" spans="1:14" x14ac:dyDescent="0.3">
      <c r="A324" s="6">
        <v>9660002112</v>
      </c>
      <c r="B324" s="6">
        <v>4790</v>
      </c>
      <c r="C324" s="6" t="s">
        <v>975</v>
      </c>
      <c r="E324" s="6" t="s">
        <v>1793</v>
      </c>
      <c r="F324" s="12">
        <v>750000</v>
      </c>
      <c r="G324" s="6">
        <v>750000</v>
      </c>
      <c r="J324" s="12">
        <f>SUM(G324:I324)-F324</f>
        <v>0</v>
      </c>
      <c r="K324" s="14">
        <v>8.0999999999999996E-4</v>
      </c>
      <c r="L324" s="6">
        <v>607.5</v>
      </c>
      <c r="M324" s="6" t="s">
        <v>912</v>
      </c>
      <c r="N324" s="6" t="s">
        <v>976</v>
      </c>
    </row>
    <row r="325" spans="1:14" x14ac:dyDescent="0.3">
      <c r="A325" s="6">
        <v>9660002112</v>
      </c>
      <c r="B325" s="6">
        <v>1030</v>
      </c>
      <c r="C325" s="6" t="s">
        <v>215</v>
      </c>
      <c r="E325" s="6" t="s">
        <v>1418</v>
      </c>
      <c r="F325" s="12">
        <v>33000</v>
      </c>
      <c r="H325" s="6">
        <v>33000</v>
      </c>
      <c r="J325" s="12">
        <f>SUM(G325:I325)-F325</f>
        <v>0</v>
      </c>
      <c r="K325" s="14">
        <v>2.316E-2</v>
      </c>
      <c r="L325" s="6">
        <v>764.28</v>
      </c>
      <c r="M325" s="6" t="s">
        <v>70</v>
      </c>
      <c r="N325" s="6" t="s">
        <v>216</v>
      </c>
    </row>
    <row r="326" spans="1:14" x14ac:dyDescent="0.3">
      <c r="A326" s="6">
        <v>9660002112</v>
      </c>
      <c r="B326" s="6">
        <v>1100</v>
      </c>
      <c r="C326" s="6" t="s">
        <v>229</v>
      </c>
      <c r="E326" s="6" t="s">
        <v>1425</v>
      </c>
      <c r="F326" s="12">
        <v>12000</v>
      </c>
      <c r="G326" s="6">
        <v>12000</v>
      </c>
      <c r="J326" s="12">
        <f>SUM(G326:I326)-F326</f>
        <v>0</v>
      </c>
      <c r="K326" s="14">
        <v>1.0790000000000001E-2</v>
      </c>
      <c r="L326" s="6">
        <v>129.47999999999999</v>
      </c>
      <c r="M326" s="6" t="s">
        <v>70</v>
      </c>
      <c r="N326" s="6" t="s">
        <v>230</v>
      </c>
    </row>
    <row r="327" spans="1:14" x14ac:dyDescent="0.3">
      <c r="A327" s="6">
        <v>9660002112</v>
      </c>
      <c r="B327" s="6">
        <v>1820</v>
      </c>
      <c r="C327" s="6" t="s">
        <v>378</v>
      </c>
      <c r="E327" s="6" t="s">
        <v>1496</v>
      </c>
      <c r="F327" s="12">
        <v>57000</v>
      </c>
      <c r="G327" s="6">
        <v>57000</v>
      </c>
      <c r="J327" s="12">
        <f>SUM(G327:I327)-F327</f>
        <v>0</v>
      </c>
      <c r="K327" s="14">
        <v>1.157E-2</v>
      </c>
      <c r="L327" s="6">
        <v>659.49</v>
      </c>
      <c r="M327" s="6" t="s">
        <v>362</v>
      </c>
      <c r="N327" s="6" t="s">
        <v>379</v>
      </c>
    </row>
    <row r="328" spans="1:14" x14ac:dyDescent="0.3">
      <c r="A328" s="6">
        <v>9660002112</v>
      </c>
      <c r="B328" s="6">
        <v>1830</v>
      </c>
      <c r="C328" s="6" t="s">
        <v>380</v>
      </c>
      <c r="E328" s="6" t="s">
        <v>1497</v>
      </c>
      <c r="F328" s="12">
        <v>69000</v>
      </c>
      <c r="G328" s="6">
        <v>69000</v>
      </c>
      <c r="J328" s="12">
        <f>SUM(G328:I328)-F328</f>
        <v>0</v>
      </c>
      <c r="K328" s="14">
        <v>1.602E-2</v>
      </c>
      <c r="L328" s="14">
        <v>1105.3800000000001</v>
      </c>
      <c r="M328" s="6" t="s">
        <v>362</v>
      </c>
      <c r="N328" s="6" t="s">
        <v>381</v>
      </c>
    </row>
    <row r="329" spans="1:14" x14ac:dyDescent="0.3">
      <c r="A329" s="6">
        <v>9660002112</v>
      </c>
      <c r="B329" s="6">
        <v>1120</v>
      </c>
      <c r="C329" s="6" t="s">
        <v>233</v>
      </c>
      <c r="E329" s="6" t="s">
        <v>1427</v>
      </c>
      <c r="F329" s="12">
        <v>5000</v>
      </c>
      <c r="G329" s="6">
        <v>5000</v>
      </c>
      <c r="J329" s="12">
        <f>SUM(G329:I329)-F329</f>
        <v>0</v>
      </c>
      <c r="K329" s="14">
        <v>0.16900000000000001</v>
      </c>
      <c r="L329" s="6">
        <v>845</v>
      </c>
      <c r="M329" s="6" t="s">
        <v>70</v>
      </c>
      <c r="N329" s="6" t="s">
        <v>234</v>
      </c>
    </row>
    <row r="330" spans="1:14" x14ac:dyDescent="0.3">
      <c r="A330" s="6">
        <v>9660002112</v>
      </c>
      <c r="B330" s="6">
        <v>5710</v>
      </c>
      <c r="C330" s="6" t="s">
        <v>1162</v>
      </c>
      <c r="E330" s="6" t="s">
        <v>1885</v>
      </c>
      <c r="F330" s="12">
        <v>45000</v>
      </c>
      <c r="G330" s="6">
        <v>45000</v>
      </c>
      <c r="J330" s="12">
        <f>SUM(G330:I330)-F330</f>
        <v>0</v>
      </c>
      <c r="K330" s="14">
        <v>8.0600000000000005E-2</v>
      </c>
      <c r="L330" s="14">
        <v>3627</v>
      </c>
      <c r="M330" s="6" t="s">
        <v>1130</v>
      </c>
      <c r="N330" s="6" t="s">
        <v>1163</v>
      </c>
    </row>
    <row r="331" spans="1:14" x14ac:dyDescent="0.3">
      <c r="A331" s="6">
        <v>9660002112</v>
      </c>
      <c r="B331" s="6">
        <v>660</v>
      </c>
      <c r="C331" s="6" t="s">
        <v>140</v>
      </c>
      <c r="E331" s="6" t="s">
        <v>1381</v>
      </c>
      <c r="F331" s="12">
        <v>170800</v>
      </c>
      <c r="G331" s="6">
        <v>170800</v>
      </c>
      <c r="J331" s="12">
        <f>SUM(G331:I331)-F331</f>
        <v>0</v>
      </c>
      <c r="K331" s="14">
        <v>1.6080000000000001E-2</v>
      </c>
      <c r="L331" s="14">
        <v>2746.46</v>
      </c>
      <c r="M331" s="6" t="s">
        <v>139</v>
      </c>
      <c r="N331" s="6" t="s">
        <v>141</v>
      </c>
    </row>
    <row r="332" spans="1:14" x14ac:dyDescent="0.3">
      <c r="A332" s="6">
        <v>9660002112</v>
      </c>
      <c r="B332" s="6">
        <v>6130</v>
      </c>
      <c r="C332" s="6" t="s">
        <v>1252</v>
      </c>
      <c r="E332" s="6" t="s">
        <v>1926</v>
      </c>
      <c r="F332" s="12">
        <v>63000</v>
      </c>
      <c r="G332" s="6">
        <v>63000</v>
      </c>
      <c r="J332" s="12">
        <f>SUM(G332:I332)-F332</f>
        <v>0</v>
      </c>
      <c r="K332" s="14">
        <v>7.9430000000000001E-2</v>
      </c>
      <c r="L332" s="14">
        <v>5004.09</v>
      </c>
      <c r="M332" s="6" t="s">
        <v>89</v>
      </c>
      <c r="N332" s="6" t="s">
        <v>1253</v>
      </c>
    </row>
    <row r="333" spans="1:14" x14ac:dyDescent="0.3">
      <c r="A333" s="6">
        <v>9660002112</v>
      </c>
      <c r="B333" s="6">
        <v>6420</v>
      </c>
      <c r="C333" s="6" t="s">
        <v>1312</v>
      </c>
      <c r="E333" s="6" t="s">
        <v>1955</v>
      </c>
      <c r="F333" s="12">
        <v>29580</v>
      </c>
      <c r="H333" s="6">
        <v>29580</v>
      </c>
      <c r="J333" s="12">
        <f>SUM(G333:I333)-F333</f>
        <v>0</v>
      </c>
      <c r="K333" s="14">
        <v>0.20799999999999999</v>
      </c>
      <c r="L333" s="14">
        <v>6152.64</v>
      </c>
      <c r="M333" s="6" t="s">
        <v>89</v>
      </c>
      <c r="N333" s="6" t="s">
        <v>1313</v>
      </c>
    </row>
    <row r="334" spans="1:14" x14ac:dyDescent="0.3">
      <c r="A334" s="6">
        <v>9660002112</v>
      </c>
      <c r="B334" s="6">
        <v>3660</v>
      </c>
      <c r="C334" s="6" t="s">
        <v>748</v>
      </c>
      <c r="E334" s="6" t="s">
        <v>1680</v>
      </c>
      <c r="F334" s="12">
        <v>10000</v>
      </c>
      <c r="G334" s="6">
        <v>10000</v>
      </c>
      <c r="J334" s="12">
        <f>SUM(G334:I334)-F334</f>
        <v>0</v>
      </c>
      <c r="K334" s="14">
        <v>1.8999999999999998E-4</v>
      </c>
      <c r="L334" s="6">
        <v>1.9</v>
      </c>
      <c r="M334" s="6" t="s">
        <v>399</v>
      </c>
      <c r="N334" s="6" t="s">
        <v>749</v>
      </c>
    </row>
    <row r="335" spans="1:14" x14ac:dyDescent="0.3">
      <c r="A335" s="6">
        <v>9660002112</v>
      </c>
      <c r="B335" s="6">
        <v>6100</v>
      </c>
      <c r="C335" s="6" t="s">
        <v>1246</v>
      </c>
      <c r="E335" s="6" t="s">
        <v>1923</v>
      </c>
      <c r="F335" s="12">
        <v>4000</v>
      </c>
      <c r="G335" s="6">
        <v>4000</v>
      </c>
      <c r="J335" s="12">
        <f>SUM(G335:I335)-F335</f>
        <v>0</v>
      </c>
      <c r="K335" s="14">
        <v>4.7320000000000001E-2</v>
      </c>
      <c r="L335" s="6">
        <v>189.28</v>
      </c>
      <c r="M335" s="6" t="s">
        <v>80</v>
      </c>
      <c r="N335" s="6" t="s">
        <v>1247</v>
      </c>
    </row>
    <row r="336" spans="1:14" x14ac:dyDescent="0.3">
      <c r="A336" s="6">
        <v>9660002112</v>
      </c>
      <c r="B336" s="6">
        <v>450</v>
      </c>
      <c r="C336" s="6" t="s">
        <v>94</v>
      </c>
      <c r="E336" s="6" t="s">
        <v>1360</v>
      </c>
      <c r="F336" s="12">
        <v>20000</v>
      </c>
      <c r="G336" s="6">
        <v>20000</v>
      </c>
      <c r="J336" s="12">
        <f>SUM(G336:I336)-F336</f>
        <v>0</v>
      </c>
      <c r="K336" s="14">
        <v>0.1105</v>
      </c>
      <c r="L336" s="14">
        <v>2210</v>
      </c>
      <c r="M336" s="6" t="s">
        <v>80</v>
      </c>
      <c r="N336" s="6" t="s">
        <v>95</v>
      </c>
    </row>
    <row r="337" spans="1:14" x14ac:dyDescent="0.3">
      <c r="A337" s="6">
        <v>9660002112</v>
      </c>
      <c r="B337" s="6">
        <v>540</v>
      </c>
      <c r="C337" s="6" t="s">
        <v>112</v>
      </c>
      <c r="E337" s="6" t="s">
        <v>1369</v>
      </c>
      <c r="F337" s="12">
        <v>8480</v>
      </c>
      <c r="G337" s="6">
        <v>8480</v>
      </c>
      <c r="J337" s="12">
        <f>SUM(G337:I337)-F337</f>
        <v>0</v>
      </c>
      <c r="K337" s="14">
        <v>0.2145</v>
      </c>
      <c r="L337" s="14">
        <v>1818.96</v>
      </c>
      <c r="M337" s="6" t="s">
        <v>80</v>
      </c>
      <c r="N337" s="6" t="s">
        <v>113</v>
      </c>
    </row>
    <row r="338" spans="1:14" x14ac:dyDescent="0.3">
      <c r="A338" s="6">
        <v>9660002112</v>
      </c>
      <c r="B338" s="6">
        <v>650</v>
      </c>
      <c r="C338" s="6" t="s">
        <v>137</v>
      </c>
      <c r="E338" s="6" t="s">
        <v>1380</v>
      </c>
      <c r="F338" s="12">
        <v>40000</v>
      </c>
      <c r="G338" s="6">
        <v>40000</v>
      </c>
      <c r="J338" s="12">
        <f>SUM(G338:I338)-F338</f>
        <v>0</v>
      </c>
      <c r="K338" s="14">
        <v>2.4480000000000002E-2</v>
      </c>
      <c r="L338" s="6">
        <v>979.2</v>
      </c>
      <c r="M338" s="6" t="s">
        <v>139</v>
      </c>
      <c r="N338" s="6" t="s">
        <v>138</v>
      </c>
    </row>
    <row r="339" spans="1:14" x14ac:dyDescent="0.3">
      <c r="A339" s="6">
        <v>9660002112</v>
      </c>
      <c r="B339" s="6">
        <v>170</v>
      </c>
      <c r="C339" s="6" t="s">
        <v>40</v>
      </c>
      <c r="E339" s="6" t="s">
        <v>1342</v>
      </c>
      <c r="F339" s="12">
        <v>4000</v>
      </c>
      <c r="I339" s="6">
        <v>4000</v>
      </c>
      <c r="J339" s="12">
        <f>SUM(G339:I339)-F339</f>
        <v>0</v>
      </c>
      <c r="K339" s="14">
        <v>0.20799999999999999</v>
      </c>
      <c r="L339" s="6">
        <v>832</v>
      </c>
      <c r="M339" s="6" t="s">
        <v>42</v>
      </c>
      <c r="N339" s="6" t="s">
        <v>41</v>
      </c>
    </row>
    <row r="340" spans="1:14" x14ac:dyDescent="0.3">
      <c r="A340" s="6">
        <v>9660002112</v>
      </c>
      <c r="B340" s="6">
        <v>300</v>
      </c>
      <c r="C340" s="6" t="s">
        <v>62</v>
      </c>
      <c r="E340" s="6" t="s">
        <v>1342</v>
      </c>
      <c r="F340" s="12">
        <v>2000</v>
      </c>
      <c r="I340" s="6">
        <v>2000</v>
      </c>
      <c r="J340" s="12">
        <f>SUM(G340:I340)-F340</f>
        <v>0</v>
      </c>
      <c r="K340" s="14">
        <v>0.20799999999999999</v>
      </c>
      <c r="L340" s="6">
        <v>416</v>
      </c>
      <c r="M340" s="6" t="s">
        <v>42</v>
      </c>
      <c r="N340" s="6" t="s">
        <v>46</v>
      </c>
    </row>
    <row r="341" spans="1:14" x14ac:dyDescent="0.3">
      <c r="A341" s="6">
        <v>9660002112</v>
      </c>
      <c r="B341" s="6">
        <v>1110</v>
      </c>
      <c r="C341" s="6" t="s">
        <v>231</v>
      </c>
      <c r="E341" s="6" t="s">
        <v>1426</v>
      </c>
      <c r="F341" s="12">
        <v>129000</v>
      </c>
      <c r="H341" s="6">
        <v>129000</v>
      </c>
      <c r="J341" s="12">
        <f>SUM(G341:I341)-F341</f>
        <v>0</v>
      </c>
      <c r="K341" s="14">
        <v>1.2159999999999999E-2</v>
      </c>
      <c r="L341" s="14">
        <v>1568.64</v>
      </c>
      <c r="M341" s="6" t="s">
        <v>70</v>
      </c>
      <c r="N341" s="6" t="s">
        <v>232</v>
      </c>
    </row>
    <row r="342" spans="1:14" x14ac:dyDescent="0.3">
      <c r="A342" s="6">
        <v>9660002112</v>
      </c>
      <c r="B342" s="6">
        <v>1140</v>
      </c>
      <c r="C342" s="6" t="s">
        <v>237</v>
      </c>
      <c r="E342" s="6" t="s">
        <v>1429</v>
      </c>
      <c r="F342" s="12">
        <v>9800</v>
      </c>
      <c r="G342" s="6">
        <v>9800</v>
      </c>
      <c r="J342" s="12">
        <f>SUM(G342:I342)-F342</f>
        <v>0</v>
      </c>
      <c r="K342" s="14">
        <v>0.33</v>
      </c>
      <c r="L342" s="14">
        <v>3234</v>
      </c>
      <c r="M342" s="6" t="s">
        <v>70</v>
      </c>
      <c r="N342" s="6" t="s">
        <v>238</v>
      </c>
    </row>
    <row r="343" spans="1:14" x14ac:dyDescent="0.3">
      <c r="A343" s="6">
        <v>9660002112</v>
      </c>
      <c r="B343" s="6">
        <v>1160</v>
      </c>
      <c r="C343" s="6" t="s">
        <v>241</v>
      </c>
      <c r="E343" s="6" t="s">
        <v>1431</v>
      </c>
      <c r="F343" s="12">
        <v>20000</v>
      </c>
      <c r="G343" s="6">
        <v>20000</v>
      </c>
      <c r="J343" s="12">
        <f>SUM(G343:I343)-F343</f>
        <v>0</v>
      </c>
      <c r="K343" s="14">
        <v>0.88400000000000001</v>
      </c>
      <c r="L343" s="14">
        <v>17680</v>
      </c>
      <c r="M343" s="6" t="s">
        <v>70</v>
      </c>
      <c r="N343" s="6" t="s">
        <v>242</v>
      </c>
    </row>
    <row r="344" spans="1:14" x14ac:dyDescent="0.3">
      <c r="A344" s="6">
        <v>9660002112</v>
      </c>
      <c r="B344" s="6">
        <v>1190</v>
      </c>
      <c r="C344" s="6" t="s">
        <v>247</v>
      </c>
      <c r="E344" s="6" t="s">
        <v>1434</v>
      </c>
      <c r="F344" s="12">
        <v>55000</v>
      </c>
      <c r="G344" s="6">
        <v>55000</v>
      </c>
      <c r="J344" s="12">
        <f>SUM(G344:I344)-F344</f>
        <v>0</v>
      </c>
      <c r="K344" s="14">
        <v>1.18703</v>
      </c>
      <c r="L344" s="14">
        <v>65286.65</v>
      </c>
      <c r="M344" s="6" t="s">
        <v>210</v>
      </c>
      <c r="N344" s="6" t="s">
        <v>248</v>
      </c>
    </row>
    <row r="345" spans="1:14" x14ac:dyDescent="0.3">
      <c r="A345" s="6">
        <v>9660002112</v>
      </c>
      <c r="B345" s="6">
        <v>1210</v>
      </c>
      <c r="C345" s="6" t="s">
        <v>251</v>
      </c>
      <c r="E345" s="6" t="s">
        <v>1436</v>
      </c>
      <c r="F345" s="12">
        <v>12500</v>
      </c>
      <c r="G345" s="6">
        <v>12500</v>
      </c>
      <c r="J345" s="12">
        <f>SUM(G345:I345)-F345</f>
        <v>0</v>
      </c>
      <c r="K345" s="14">
        <v>0.65</v>
      </c>
      <c r="L345" s="14">
        <v>8125</v>
      </c>
      <c r="M345" s="6" t="s">
        <v>210</v>
      </c>
      <c r="N345" s="6" t="s">
        <v>252</v>
      </c>
    </row>
    <row r="346" spans="1:14" x14ac:dyDescent="0.3">
      <c r="A346" s="6">
        <v>9660002112</v>
      </c>
      <c r="B346" s="6">
        <v>1580</v>
      </c>
      <c r="C346" s="6" t="s">
        <v>327</v>
      </c>
      <c r="E346" s="6" t="s">
        <v>1472</v>
      </c>
      <c r="F346" s="12">
        <v>40000</v>
      </c>
      <c r="G346" s="6">
        <v>40000</v>
      </c>
      <c r="J346" s="12">
        <f>SUM(G346:I346)-F346</f>
        <v>0</v>
      </c>
      <c r="K346" s="14">
        <v>5.1220000000000002E-2</v>
      </c>
      <c r="L346" s="14">
        <v>2048.8000000000002</v>
      </c>
      <c r="M346" s="6" t="s">
        <v>308</v>
      </c>
      <c r="N346" s="6" t="s">
        <v>328</v>
      </c>
    </row>
    <row r="347" spans="1:14" x14ac:dyDescent="0.3">
      <c r="A347" s="6">
        <v>9660002112</v>
      </c>
      <c r="B347" s="6">
        <v>1520</v>
      </c>
      <c r="C347" s="6" t="s">
        <v>315</v>
      </c>
      <c r="E347" s="6" t="s">
        <v>1466</v>
      </c>
      <c r="F347" s="12">
        <v>24000</v>
      </c>
      <c r="G347" s="6">
        <v>24000</v>
      </c>
      <c r="J347" s="12">
        <f>SUM(G347:I347)-F347</f>
        <v>0</v>
      </c>
      <c r="K347" s="14">
        <v>0.45500000000000002</v>
      </c>
      <c r="L347" s="14">
        <v>10920</v>
      </c>
      <c r="M347" s="6" t="s">
        <v>308</v>
      </c>
      <c r="N347" s="6" t="s">
        <v>316</v>
      </c>
    </row>
    <row r="348" spans="1:14" x14ac:dyDescent="0.3">
      <c r="A348" s="6">
        <v>9660002112</v>
      </c>
      <c r="B348" s="6">
        <v>1540</v>
      </c>
      <c r="C348" s="6" t="s">
        <v>319</v>
      </c>
      <c r="E348" s="6" t="s">
        <v>1468</v>
      </c>
      <c r="F348" s="12">
        <v>27000</v>
      </c>
      <c r="G348" s="6">
        <v>27000</v>
      </c>
      <c r="J348" s="12">
        <f>SUM(G348:I348)-F348</f>
        <v>0</v>
      </c>
      <c r="K348" s="14">
        <v>2.1669999999999998E-2</v>
      </c>
      <c r="L348" s="6">
        <v>585.09</v>
      </c>
      <c r="M348" s="6" t="s">
        <v>299</v>
      </c>
      <c r="N348" s="6" t="s">
        <v>320</v>
      </c>
    </row>
    <row r="349" spans="1:14" x14ac:dyDescent="0.3">
      <c r="A349" s="6">
        <v>9660002112</v>
      </c>
      <c r="B349" s="6">
        <v>2110</v>
      </c>
      <c r="C349" s="6" t="s">
        <v>438</v>
      </c>
      <c r="E349" s="6" t="s">
        <v>1525</v>
      </c>
      <c r="F349" s="12">
        <v>10000</v>
      </c>
      <c r="G349" s="6">
        <v>10000</v>
      </c>
      <c r="J349" s="12">
        <f>SUM(G349:I349)-F349</f>
        <v>0</v>
      </c>
      <c r="K349" s="14">
        <v>2.1000000000000001E-4</v>
      </c>
      <c r="L349" s="6">
        <v>2.1</v>
      </c>
      <c r="M349" s="6" t="s">
        <v>399</v>
      </c>
      <c r="N349" s="6" t="s">
        <v>439</v>
      </c>
    </row>
    <row r="350" spans="1:14" x14ac:dyDescent="0.3">
      <c r="A350" s="6">
        <v>9660002112</v>
      </c>
      <c r="B350" s="6">
        <v>2270</v>
      </c>
      <c r="C350" s="6" t="s">
        <v>470</v>
      </c>
      <c r="E350" s="6" t="s">
        <v>1541</v>
      </c>
      <c r="F350" s="12">
        <v>20000</v>
      </c>
      <c r="G350" s="6">
        <v>20000</v>
      </c>
      <c r="J350" s="12">
        <f>SUM(G350:I350)-F350</f>
        <v>0</v>
      </c>
      <c r="K350" s="14">
        <v>2.1000000000000001E-4</v>
      </c>
      <c r="L350" s="6">
        <v>4.2</v>
      </c>
      <c r="M350" s="6" t="s">
        <v>399</v>
      </c>
      <c r="N350" s="6" t="s">
        <v>471</v>
      </c>
    </row>
    <row r="351" spans="1:14" x14ac:dyDescent="0.3">
      <c r="A351" s="6">
        <v>9660002112</v>
      </c>
      <c r="B351" s="6">
        <v>2320</v>
      </c>
      <c r="C351" s="6" t="s">
        <v>480</v>
      </c>
      <c r="E351" s="6" t="s">
        <v>1546</v>
      </c>
      <c r="F351" s="12">
        <v>20000</v>
      </c>
      <c r="G351" s="6">
        <v>20000</v>
      </c>
      <c r="J351" s="12">
        <f>SUM(G351:I351)-F351</f>
        <v>0</v>
      </c>
      <c r="K351" s="14">
        <v>5.0000000000000001E-4</v>
      </c>
      <c r="L351" s="6">
        <v>10</v>
      </c>
      <c r="M351" s="6" t="s">
        <v>399</v>
      </c>
      <c r="N351" s="6" t="s">
        <v>481</v>
      </c>
    </row>
    <row r="352" spans="1:14" x14ac:dyDescent="0.3">
      <c r="A352" s="6">
        <v>9660002112</v>
      </c>
      <c r="B352" s="6">
        <v>3870</v>
      </c>
      <c r="C352" s="6" t="s">
        <v>790</v>
      </c>
      <c r="E352" s="6" t="s">
        <v>1701</v>
      </c>
      <c r="F352" s="12">
        <v>20000</v>
      </c>
      <c r="G352" s="6">
        <v>20000</v>
      </c>
      <c r="J352" s="12">
        <f>SUM(G352:I352)-F352</f>
        <v>0</v>
      </c>
      <c r="K352" s="14">
        <v>3.1E-4</v>
      </c>
      <c r="L352" s="6">
        <v>6.2</v>
      </c>
      <c r="M352" s="6" t="s">
        <v>399</v>
      </c>
      <c r="N352" s="6" t="s">
        <v>791</v>
      </c>
    </row>
    <row r="353" spans="1:14" x14ac:dyDescent="0.3">
      <c r="A353" s="6">
        <v>9660002112</v>
      </c>
      <c r="B353" s="6">
        <v>4170</v>
      </c>
      <c r="C353" s="6" t="s">
        <v>850</v>
      </c>
      <c r="E353" s="6" t="s">
        <v>1731</v>
      </c>
      <c r="F353" s="12">
        <v>20000</v>
      </c>
      <c r="G353" s="6">
        <v>20000</v>
      </c>
      <c r="J353" s="12">
        <f>SUM(G353:I353)-F353</f>
        <v>0</v>
      </c>
      <c r="K353" s="14">
        <v>2.1000000000000001E-4</v>
      </c>
      <c r="L353" s="6">
        <v>4.2</v>
      </c>
      <c r="M353" s="6" t="s">
        <v>399</v>
      </c>
      <c r="N353" s="6" t="s">
        <v>851</v>
      </c>
    </row>
    <row r="354" spans="1:14" x14ac:dyDescent="0.3">
      <c r="A354" s="6">
        <v>9660002112</v>
      </c>
      <c r="B354" s="6">
        <v>4720</v>
      </c>
      <c r="C354" s="6" t="s">
        <v>961</v>
      </c>
      <c r="E354" s="6" t="s">
        <v>1786</v>
      </c>
      <c r="F354" s="12">
        <v>60000</v>
      </c>
      <c r="G354" s="6">
        <v>60000</v>
      </c>
      <c r="J354" s="12">
        <f>SUM(G354:I354)-F354</f>
        <v>0</v>
      </c>
      <c r="K354" s="14">
        <v>7.2000000000000005E-4</v>
      </c>
      <c r="L354" s="6">
        <v>43.2</v>
      </c>
      <c r="M354" s="6" t="s">
        <v>912</v>
      </c>
      <c r="N354" s="6" t="s">
        <v>962</v>
      </c>
    </row>
    <row r="355" spans="1:14" x14ac:dyDescent="0.3">
      <c r="A355" s="6">
        <v>9660002112</v>
      </c>
      <c r="B355" s="6">
        <v>4980</v>
      </c>
      <c r="C355" s="6" t="s">
        <v>1013</v>
      </c>
      <c r="E355" s="6" t="s">
        <v>1812</v>
      </c>
      <c r="F355" s="12">
        <v>60000</v>
      </c>
      <c r="G355" s="6">
        <v>60000</v>
      </c>
      <c r="J355" s="12">
        <f>SUM(G355:I355)-F355</f>
        <v>0</v>
      </c>
      <c r="K355" s="14">
        <v>4.1000000000000003E-3</v>
      </c>
      <c r="L355" s="6">
        <v>246</v>
      </c>
      <c r="M355" s="6" t="s">
        <v>912</v>
      </c>
      <c r="N355" s="6" t="s">
        <v>1014</v>
      </c>
    </row>
    <row r="356" spans="1:14" x14ac:dyDescent="0.3">
      <c r="A356" s="6">
        <v>9660002112</v>
      </c>
      <c r="B356" s="6">
        <v>5520</v>
      </c>
      <c r="C356" s="6" t="s">
        <v>1122</v>
      </c>
      <c r="E356" s="6" t="s">
        <v>1866</v>
      </c>
      <c r="F356" s="12">
        <v>105000</v>
      </c>
      <c r="G356" s="6">
        <v>105000</v>
      </c>
      <c r="J356" s="12">
        <f>SUM(G356:I356)-F356</f>
        <v>0</v>
      </c>
      <c r="K356" s="14">
        <v>0.221</v>
      </c>
      <c r="L356" s="14">
        <v>23205</v>
      </c>
      <c r="M356" s="6" t="s">
        <v>1101</v>
      </c>
      <c r="N356" s="6" t="s">
        <v>1123</v>
      </c>
    </row>
    <row r="357" spans="1:14" x14ac:dyDescent="0.3">
      <c r="A357" s="6">
        <v>9660002112</v>
      </c>
      <c r="B357" s="6">
        <v>5740</v>
      </c>
      <c r="C357" s="6" t="s">
        <v>1168</v>
      </c>
      <c r="E357" s="6" t="s">
        <v>1888</v>
      </c>
      <c r="F357" s="12">
        <v>17500</v>
      </c>
      <c r="G357" s="6">
        <v>17500</v>
      </c>
      <c r="J357" s="12">
        <f>SUM(G357:I357)-F357</f>
        <v>0</v>
      </c>
      <c r="K357" s="14">
        <v>0.17419999999999999</v>
      </c>
      <c r="L357" s="14">
        <v>3048.5</v>
      </c>
      <c r="M357" s="6" t="s">
        <v>1130</v>
      </c>
      <c r="N357" s="6" t="s">
        <v>1169</v>
      </c>
    </row>
    <row r="358" spans="1:14" x14ac:dyDescent="0.3">
      <c r="A358" s="6">
        <v>9660002112</v>
      </c>
      <c r="B358" s="6">
        <v>6240</v>
      </c>
      <c r="C358" s="6" t="s">
        <v>1274</v>
      </c>
      <c r="E358" s="6" t="s">
        <v>1937</v>
      </c>
      <c r="F358" s="12">
        <v>116000</v>
      </c>
      <c r="G358" s="6">
        <v>116000</v>
      </c>
      <c r="J358" s="12">
        <f>SUM(G358:I358)-F358</f>
        <v>0</v>
      </c>
      <c r="K358" s="14">
        <v>1.6119999999999999E-2</v>
      </c>
      <c r="L358" s="14">
        <v>1869.92</v>
      </c>
      <c r="M358" s="6" t="s">
        <v>80</v>
      </c>
      <c r="N358" s="6" t="s">
        <v>1275</v>
      </c>
    </row>
    <row r="359" spans="1:14" x14ac:dyDescent="0.3">
      <c r="A359" s="6">
        <v>9660002112</v>
      </c>
      <c r="B359" s="6">
        <v>6260</v>
      </c>
      <c r="C359" s="6" t="s">
        <v>1278</v>
      </c>
      <c r="E359" s="6" t="s">
        <v>1939</v>
      </c>
      <c r="F359" s="12">
        <v>56000</v>
      </c>
      <c r="H359" s="6">
        <v>56000</v>
      </c>
      <c r="J359" s="12">
        <f>SUM(G359:I359)-F359</f>
        <v>0</v>
      </c>
      <c r="K359" s="14">
        <v>6.6170000000000007E-2</v>
      </c>
      <c r="L359" s="14">
        <v>3705.52</v>
      </c>
      <c r="M359" s="6" t="s">
        <v>89</v>
      </c>
      <c r="N359" s="6" t="s">
        <v>1279</v>
      </c>
    </row>
    <row r="360" spans="1:14" x14ac:dyDescent="0.3">
      <c r="A360" s="6">
        <v>9660002112</v>
      </c>
      <c r="B360" s="6">
        <v>6280</v>
      </c>
      <c r="C360" s="6" t="s">
        <v>1282</v>
      </c>
      <c r="E360" s="6" t="s">
        <v>1941</v>
      </c>
      <c r="F360" s="12">
        <v>122000</v>
      </c>
      <c r="H360" s="6">
        <v>122000</v>
      </c>
      <c r="J360" s="12">
        <f>SUM(G360:I360)-F360</f>
        <v>0</v>
      </c>
      <c r="K360" s="14">
        <v>1.5730000000000001E-2</v>
      </c>
      <c r="L360" s="14">
        <v>1919.06</v>
      </c>
      <c r="M360" s="6" t="s">
        <v>89</v>
      </c>
      <c r="N360" s="6" t="s">
        <v>1283</v>
      </c>
    </row>
    <row r="361" spans="1:14" x14ac:dyDescent="0.3">
      <c r="A361" s="6">
        <v>9660002112</v>
      </c>
      <c r="B361" s="6">
        <v>6430</v>
      </c>
      <c r="C361" s="6" t="s">
        <v>1314</v>
      </c>
      <c r="E361" s="6" t="s">
        <v>1956</v>
      </c>
      <c r="F361" s="12">
        <v>16200</v>
      </c>
      <c r="G361" s="6">
        <v>16200</v>
      </c>
      <c r="J361" s="12">
        <f>SUM(G361:I361)-F361</f>
        <v>0</v>
      </c>
      <c r="K361" s="14">
        <v>7.8299999999999995E-2</v>
      </c>
      <c r="L361" s="14">
        <v>1268.46</v>
      </c>
      <c r="M361" s="6" t="s">
        <v>89</v>
      </c>
      <c r="N361" s="6" t="s">
        <v>1315</v>
      </c>
    </row>
    <row r="362" spans="1:14" x14ac:dyDescent="0.3">
      <c r="A362" s="6">
        <v>9660002112</v>
      </c>
      <c r="B362" s="6">
        <v>1670</v>
      </c>
      <c r="C362" s="6" t="s">
        <v>345</v>
      </c>
      <c r="E362" s="6" t="s">
        <v>1481</v>
      </c>
      <c r="F362" s="12">
        <v>282000</v>
      </c>
      <c r="G362" s="6">
        <v>282000</v>
      </c>
      <c r="J362" s="12">
        <f>SUM(G362:I362)-F362</f>
        <v>0</v>
      </c>
      <c r="K362" s="14">
        <v>0.24310000000000001</v>
      </c>
      <c r="L362" s="14">
        <v>68554.2</v>
      </c>
      <c r="M362" s="6" t="s">
        <v>308</v>
      </c>
      <c r="N362" s="6" t="s">
        <v>346</v>
      </c>
    </row>
    <row r="363" spans="1:14" x14ac:dyDescent="0.3">
      <c r="A363" s="6">
        <v>9660002112</v>
      </c>
      <c r="B363" s="6">
        <v>5500</v>
      </c>
      <c r="C363" s="6" t="s">
        <v>1118</v>
      </c>
      <c r="E363" s="6" t="s">
        <v>1864</v>
      </c>
      <c r="F363" s="12">
        <v>3500</v>
      </c>
      <c r="H363" s="6">
        <v>3500</v>
      </c>
      <c r="J363" s="12">
        <f>SUM(G363:I363)-F363</f>
        <v>0</v>
      </c>
      <c r="K363" s="14">
        <v>0.13975000000000001</v>
      </c>
      <c r="L363" s="6">
        <v>489.13</v>
      </c>
      <c r="M363" s="6" t="s">
        <v>1101</v>
      </c>
      <c r="N363" s="6" t="s">
        <v>1119</v>
      </c>
    </row>
    <row r="364" spans="1:14" x14ac:dyDescent="0.3">
      <c r="A364" s="6">
        <v>9660002112</v>
      </c>
      <c r="B364" s="6">
        <v>6250</v>
      </c>
      <c r="C364" s="6" t="s">
        <v>1276</v>
      </c>
      <c r="E364" s="6" t="s">
        <v>1938</v>
      </c>
      <c r="F364" s="12">
        <v>2000</v>
      </c>
      <c r="G364" s="6">
        <v>2000</v>
      </c>
      <c r="J364" s="12">
        <f>SUM(G364:I364)-F364</f>
        <v>0</v>
      </c>
      <c r="K364" s="14">
        <v>1.5730000000000001E-2</v>
      </c>
      <c r="L364" s="6">
        <v>31.46</v>
      </c>
      <c r="M364" s="6" t="s">
        <v>89</v>
      </c>
      <c r="N364" s="6" t="s">
        <v>1277</v>
      </c>
    </row>
    <row r="365" spans="1:14" x14ac:dyDescent="0.3">
      <c r="A365" s="6">
        <v>9660002112</v>
      </c>
      <c r="B365" s="6">
        <v>1090</v>
      </c>
      <c r="C365" s="6" t="s">
        <v>227</v>
      </c>
      <c r="E365" s="6" t="s">
        <v>1424</v>
      </c>
      <c r="F365" s="12">
        <v>6000</v>
      </c>
      <c r="G365" s="6">
        <v>6000</v>
      </c>
      <c r="J365" s="12">
        <f>SUM(G365:I365)-F365</f>
        <v>0</v>
      </c>
      <c r="K365" s="14">
        <v>2.6160000000000003E-2</v>
      </c>
      <c r="L365" s="6">
        <v>156.96</v>
      </c>
      <c r="M365" s="6" t="s">
        <v>70</v>
      </c>
      <c r="N365" s="6" t="s">
        <v>228</v>
      </c>
    </row>
    <row r="366" spans="1:14" x14ac:dyDescent="0.3">
      <c r="A366" s="6">
        <v>9660002112</v>
      </c>
      <c r="B366" s="6">
        <v>1150</v>
      </c>
      <c r="C366" s="6" t="s">
        <v>239</v>
      </c>
      <c r="E366" s="6" t="s">
        <v>1430</v>
      </c>
      <c r="F366" s="12">
        <v>21000</v>
      </c>
      <c r="G366" s="6">
        <v>21000</v>
      </c>
      <c r="J366" s="12">
        <f>SUM(G366:I366)-F366</f>
        <v>0</v>
      </c>
      <c r="K366" s="14">
        <v>0.19500000000000001</v>
      </c>
      <c r="L366" s="14">
        <v>4095</v>
      </c>
      <c r="M366" s="6" t="s">
        <v>70</v>
      </c>
      <c r="N366" s="6" t="s">
        <v>240</v>
      </c>
    </row>
    <row r="367" spans="1:14" x14ac:dyDescent="0.3">
      <c r="A367" s="6">
        <v>9660002112</v>
      </c>
      <c r="B367" s="6">
        <v>2190</v>
      </c>
      <c r="C367" s="6" t="s">
        <v>454</v>
      </c>
      <c r="E367" s="6" t="s">
        <v>1533</v>
      </c>
      <c r="F367" s="12">
        <v>50000</v>
      </c>
      <c r="G367" s="6">
        <v>50000</v>
      </c>
      <c r="J367" s="12">
        <f>SUM(G367:I367)-F367</f>
        <v>0</v>
      </c>
      <c r="K367" s="14">
        <v>1.8000000000000001E-4</v>
      </c>
      <c r="L367" s="6">
        <v>9</v>
      </c>
      <c r="M367" s="6" t="s">
        <v>399</v>
      </c>
      <c r="N367" s="6" t="s">
        <v>455</v>
      </c>
    </row>
    <row r="368" spans="1:14" x14ac:dyDescent="0.3">
      <c r="A368" s="6">
        <v>9660002112</v>
      </c>
      <c r="B368" s="6">
        <v>2260</v>
      </c>
      <c r="C368" s="6" t="s">
        <v>468</v>
      </c>
      <c r="E368" s="6" t="s">
        <v>1540</v>
      </c>
      <c r="F368" s="12">
        <v>160000</v>
      </c>
      <c r="G368" s="6">
        <v>160000</v>
      </c>
      <c r="J368" s="12">
        <f>SUM(G368:I368)-F368</f>
        <v>0</v>
      </c>
      <c r="K368" s="14">
        <v>3.2000000000000003E-4</v>
      </c>
      <c r="L368" s="6">
        <v>51.2</v>
      </c>
      <c r="M368" s="6" t="s">
        <v>399</v>
      </c>
      <c r="N368" s="6" t="s">
        <v>469</v>
      </c>
    </row>
    <row r="369" spans="1:15" x14ac:dyDescent="0.3">
      <c r="A369" s="6">
        <v>9660002112</v>
      </c>
      <c r="B369" s="6">
        <v>2490</v>
      </c>
      <c r="C369" s="6" t="s">
        <v>514</v>
      </c>
      <c r="E369" s="6" t="s">
        <v>1563</v>
      </c>
      <c r="F369" s="12">
        <v>320000</v>
      </c>
      <c r="G369" s="6">
        <v>320000</v>
      </c>
      <c r="J369" s="12">
        <f>SUM(G369:I369)-F369</f>
        <v>0</v>
      </c>
      <c r="K369" s="14">
        <v>3.2000000000000003E-4</v>
      </c>
      <c r="L369" s="6">
        <v>102.4</v>
      </c>
      <c r="M369" s="6" t="s">
        <v>399</v>
      </c>
      <c r="N369" s="6" t="s">
        <v>515</v>
      </c>
    </row>
    <row r="370" spans="1:15" x14ac:dyDescent="0.3">
      <c r="A370" s="6">
        <v>9660002112</v>
      </c>
      <c r="B370" s="6">
        <v>2990</v>
      </c>
      <c r="C370" s="6" t="s">
        <v>614</v>
      </c>
      <c r="E370" s="6" t="s">
        <v>1613</v>
      </c>
      <c r="F370" s="12">
        <v>50000</v>
      </c>
      <c r="G370" s="6">
        <v>50000</v>
      </c>
      <c r="J370" s="12">
        <f>SUM(G370:I370)-F370</f>
        <v>0</v>
      </c>
      <c r="K370" s="14">
        <v>2.3999999999999998E-4</v>
      </c>
      <c r="L370" s="6">
        <v>12</v>
      </c>
      <c r="M370" s="6" t="s">
        <v>399</v>
      </c>
      <c r="N370" s="6" t="s">
        <v>615</v>
      </c>
    </row>
    <row r="371" spans="1:15" x14ac:dyDescent="0.3">
      <c r="A371" s="6">
        <v>9660002112</v>
      </c>
      <c r="B371" s="6">
        <v>3940</v>
      </c>
      <c r="C371" s="6" t="s">
        <v>804</v>
      </c>
      <c r="E371" s="6" t="s">
        <v>1708</v>
      </c>
      <c r="F371" s="12">
        <v>160000</v>
      </c>
      <c r="G371" s="6">
        <v>160000</v>
      </c>
      <c r="J371" s="12">
        <f>SUM(G371:I371)-F371</f>
        <v>0</v>
      </c>
      <c r="K371" s="14">
        <v>2.1000000000000001E-4</v>
      </c>
      <c r="L371" s="6">
        <v>33.6</v>
      </c>
      <c r="M371" s="6" t="s">
        <v>399</v>
      </c>
      <c r="N371" s="6" t="s">
        <v>805</v>
      </c>
    </row>
    <row r="372" spans="1:15" x14ac:dyDescent="0.3">
      <c r="A372" s="6">
        <v>9660002112</v>
      </c>
      <c r="B372" s="6">
        <v>4940</v>
      </c>
      <c r="C372" s="6" t="s">
        <v>1005</v>
      </c>
      <c r="E372" s="6" t="s">
        <v>1808</v>
      </c>
      <c r="F372" s="12">
        <v>16000</v>
      </c>
      <c r="G372" s="6">
        <v>16000</v>
      </c>
      <c r="J372" s="12">
        <f>SUM(G372:I372)-F372</f>
        <v>0</v>
      </c>
      <c r="K372" s="14">
        <v>5.2440000000000001E-2</v>
      </c>
      <c r="L372" s="6">
        <v>839.04</v>
      </c>
      <c r="M372" s="6" t="s">
        <v>912</v>
      </c>
      <c r="N372" s="6" t="s">
        <v>1006</v>
      </c>
    </row>
    <row r="373" spans="1:15" x14ac:dyDescent="0.3">
      <c r="A373" s="6">
        <v>9660002112</v>
      </c>
      <c r="B373" s="6">
        <v>6230</v>
      </c>
      <c r="C373" s="6" t="s">
        <v>1272</v>
      </c>
      <c r="E373" s="6" t="s">
        <v>1936</v>
      </c>
      <c r="F373" s="12">
        <v>1500</v>
      </c>
      <c r="G373" s="6">
        <v>1500</v>
      </c>
      <c r="J373" s="12">
        <f>SUM(G373:I373)-F373</f>
        <v>0</v>
      </c>
      <c r="K373" s="14">
        <v>1.5730000000000001E-2</v>
      </c>
      <c r="L373" s="6">
        <v>23.6</v>
      </c>
      <c r="M373" s="6" t="s">
        <v>89</v>
      </c>
      <c r="N373" s="6" t="s">
        <v>1273</v>
      </c>
    </row>
    <row r="374" spans="1:15" x14ac:dyDescent="0.3">
      <c r="A374" s="6">
        <v>9660002112</v>
      </c>
      <c r="B374" s="6">
        <v>2290</v>
      </c>
      <c r="C374" s="6" t="s">
        <v>474</v>
      </c>
      <c r="E374" s="6" t="s">
        <v>1543</v>
      </c>
      <c r="F374" s="12">
        <v>20000</v>
      </c>
      <c r="G374" s="6">
        <v>20000</v>
      </c>
      <c r="J374" s="12">
        <f>SUM(G374:I374)-F374</f>
        <v>0</v>
      </c>
      <c r="K374" s="14">
        <v>2.2000000000000001E-4</v>
      </c>
      <c r="L374" s="6">
        <v>4.4000000000000004</v>
      </c>
      <c r="M374" s="6" t="s">
        <v>399</v>
      </c>
      <c r="N374" s="6" t="s">
        <v>475</v>
      </c>
    </row>
    <row r="375" spans="1:15" x14ac:dyDescent="0.3">
      <c r="A375" s="6">
        <v>9660002112</v>
      </c>
      <c r="B375" s="6">
        <v>6110</v>
      </c>
      <c r="C375" s="6" t="s">
        <v>1248</v>
      </c>
      <c r="E375" s="6" t="s">
        <v>1924</v>
      </c>
      <c r="F375" s="12">
        <v>14000</v>
      </c>
      <c r="G375" s="6">
        <v>14000</v>
      </c>
      <c r="J375" s="12">
        <f>SUM(G375:I375)-F375</f>
        <v>0</v>
      </c>
      <c r="K375" s="14">
        <v>2.86E-2</v>
      </c>
      <c r="L375" s="6">
        <v>400.4</v>
      </c>
      <c r="M375" s="6" t="s">
        <v>80</v>
      </c>
      <c r="N375" s="6" t="s">
        <v>1249</v>
      </c>
    </row>
    <row r="376" spans="1:15" x14ac:dyDescent="0.3">
      <c r="A376" s="6">
        <v>9660002112</v>
      </c>
      <c r="B376" s="6">
        <v>960</v>
      </c>
      <c r="C376" s="6" t="s">
        <v>1992</v>
      </c>
      <c r="E376" s="6" t="s">
        <v>1411</v>
      </c>
      <c r="F376" s="12">
        <v>3000</v>
      </c>
      <c r="J376" s="12"/>
      <c r="K376" s="14">
        <v>0.78600000000000003</v>
      </c>
      <c r="L376" s="14">
        <v>2358</v>
      </c>
      <c r="M376" s="6" t="s">
        <v>42</v>
      </c>
      <c r="N376" s="6" t="s">
        <v>201</v>
      </c>
      <c r="O376" s="13" t="s">
        <v>1993</v>
      </c>
    </row>
    <row r="377" spans="1:15" x14ac:dyDescent="0.3">
      <c r="A377" s="6">
        <v>9660002112</v>
      </c>
      <c r="B377" s="6">
        <v>5770</v>
      </c>
      <c r="C377" s="6" t="s">
        <v>1174</v>
      </c>
      <c r="E377" s="6" t="s">
        <v>1891</v>
      </c>
      <c r="F377" s="12">
        <v>10000</v>
      </c>
      <c r="G377" s="6">
        <v>10000</v>
      </c>
      <c r="J377" s="12">
        <f>SUM(G377:I377)-F377</f>
        <v>0</v>
      </c>
      <c r="K377" s="14">
        <v>4.3680000000000004E-2</v>
      </c>
      <c r="L377" s="6">
        <v>436.8</v>
      </c>
      <c r="M377" s="6" t="s">
        <v>1130</v>
      </c>
      <c r="N377" s="6" t="s">
        <v>1175</v>
      </c>
    </row>
    <row r="378" spans="1:15" x14ac:dyDescent="0.3">
      <c r="A378" s="6">
        <v>9660002112</v>
      </c>
      <c r="B378" s="6">
        <v>1070</v>
      </c>
      <c r="C378" s="6" t="s">
        <v>223</v>
      </c>
      <c r="E378" s="6" t="s">
        <v>1422</v>
      </c>
      <c r="F378" s="12">
        <v>81000</v>
      </c>
      <c r="G378" s="6">
        <v>81000</v>
      </c>
      <c r="J378" s="12">
        <f>SUM(G378:I378)-F378</f>
        <v>0</v>
      </c>
      <c r="K378" s="14">
        <v>0.182</v>
      </c>
      <c r="L378" s="14">
        <v>14742</v>
      </c>
      <c r="M378" s="6" t="s">
        <v>70</v>
      </c>
      <c r="N378" s="6" t="s">
        <v>224</v>
      </c>
    </row>
    <row r="379" spans="1:15" x14ac:dyDescent="0.3">
      <c r="A379" s="6">
        <v>9660002112</v>
      </c>
      <c r="B379" s="6">
        <v>180</v>
      </c>
      <c r="C379" s="6" t="s">
        <v>43</v>
      </c>
      <c r="E379" s="6" t="s">
        <v>1972</v>
      </c>
      <c r="F379" s="12">
        <v>16200</v>
      </c>
      <c r="I379" s="6">
        <v>16200</v>
      </c>
      <c r="J379" s="12">
        <f>SUM(G379:I379)-F379</f>
        <v>0</v>
      </c>
      <c r="K379" s="14">
        <v>0.64500000000000002</v>
      </c>
      <c r="L379" s="14">
        <v>10449</v>
      </c>
      <c r="M379" s="6" t="s">
        <v>42</v>
      </c>
      <c r="N379" s="6" t="s">
        <v>44</v>
      </c>
    </row>
    <row r="380" spans="1:15" x14ac:dyDescent="0.3">
      <c r="A380" s="6">
        <v>9660002112</v>
      </c>
      <c r="B380" s="6">
        <v>260</v>
      </c>
      <c r="C380" s="6" t="s">
        <v>56</v>
      </c>
      <c r="E380" s="6" t="s">
        <v>1343</v>
      </c>
      <c r="F380" s="6">
        <v>900</v>
      </c>
      <c r="I380" s="6">
        <v>1800</v>
      </c>
      <c r="J380" s="12">
        <f>SUM(G380:I380)-F380</f>
        <v>900</v>
      </c>
      <c r="K380" s="14">
        <v>0.64500000000000002</v>
      </c>
      <c r="L380" s="6">
        <v>580.5</v>
      </c>
      <c r="M380" s="6" t="s">
        <v>42</v>
      </c>
      <c r="N380" s="6" t="s">
        <v>44</v>
      </c>
    </row>
    <row r="381" spans="1:15" x14ac:dyDescent="0.3">
      <c r="A381" s="6">
        <v>9660002112</v>
      </c>
      <c r="B381" s="6">
        <v>280</v>
      </c>
      <c r="C381" s="6" t="s">
        <v>59</v>
      </c>
      <c r="E381" s="6" t="s">
        <v>1343</v>
      </c>
      <c r="F381" s="12">
        <v>34200</v>
      </c>
      <c r="I381" s="6">
        <v>34200</v>
      </c>
      <c r="J381" s="12">
        <f>SUM(G381:I381)-F381</f>
        <v>0</v>
      </c>
      <c r="K381" s="14">
        <v>0.64500000000000002</v>
      </c>
      <c r="L381" s="14">
        <v>22059</v>
      </c>
      <c r="M381" s="6" t="s">
        <v>42</v>
      </c>
      <c r="N381" s="6" t="s">
        <v>44</v>
      </c>
    </row>
    <row r="382" spans="1:15" x14ac:dyDescent="0.3">
      <c r="A382" s="6">
        <v>9660002112</v>
      </c>
      <c r="B382" s="6">
        <v>1680</v>
      </c>
      <c r="C382" s="6" t="s">
        <v>347</v>
      </c>
      <c r="E382" s="6" t="s">
        <v>1482</v>
      </c>
      <c r="F382" s="12">
        <v>10000</v>
      </c>
      <c r="G382" s="6">
        <v>10000</v>
      </c>
      <c r="J382" s="12">
        <f>SUM(G382:I382)-F382</f>
        <v>0</v>
      </c>
      <c r="K382" s="14">
        <v>3.6479999999999999E-2</v>
      </c>
      <c r="L382" s="6">
        <v>364.8</v>
      </c>
      <c r="M382" s="6" t="s">
        <v>299</v>
      </c>
      <c r="N382" s="6" t="s">
        <v>348</v>
      </c>
    </row>
    <row r="383" spans="1:15" x14ac:dyDescent="0.3">
      <c r="A383" s="6">
        <v>9660002112</v>
      </c>
      <c r="B383" s="6">
        <v>2740</v>
      </c>
      <c r="C383" s="6" t="s">
        <v>564</v>
      </c>
      <c r="E383" s="6" t="s">
        <v>1588</v>
      </c>
      <c r="F383" s="12">
        <v>10000</v>
      </c>
      <c r="G383" s="6">
        <v>10000</v>
      </c>
      <c r="J383" s="12">
        <f>SUM(G383:I383)-F383</f>
        <v>0</v>
      </c>
      <c r="K383" s="14">
        <v>4.4000000000000002E-4</v>
      </c>
      <c r="L383" s="6">
        <v>4.4000000000000004</v>
      </c>
      <c r="M383" s="6" t="s">
        <v>399</v>
      </c>
      <c r="N383" s="6" t="s">
        <v>565</v>
      </c>
    </row>
    <row r="384" spans="1:15" x14ac:dyDescent="0.3">
      <c r="A384" s="6">
        <v>9660002112</v>
      </c>
      <c r="B384" s="6">
        <v>3270</v>
      </c>
      <c r="C384" s="6" t="s">
        <v>670</v>
      </c>
      <c r="E384" s="6" t="s">
        <v>1641</v>
      </c>
      <c r="F384" s="12">
        <v>20000</v>
      </c>
      <c r="G384" s="6">
        <v>20000</v>
      </c>
      <c r="J384" s="12">
        <f>SUM(G384:I384)-F384</f>
        <v>0</v>
      </c>
      <c r="K384" s="14">
        <v>2.1000000000000001E-4</v>
      </c>
      <c r="L384" s="6">
        <v>4.2</v>
      </c>
      <c r="M384" s="6" t="s">
        <v>399</v>
      </c>
      <c r="N384" s="6" t="s">
        <v>671</v>
      </c>
    </row>
    <row r="385" spans="1:15" x14ac:dyDescent="0.3">
      <c r="A385" s="6">
        <v>9660002112</v>
      </c>
      <c r="B385" s="6">
        <v>4110</v>
      </c>
      <c r="C385" s="6" t="s">
        <v>838</v>
      </c>
      <c r="E385" s="6" t="s">
        <v>1725</v>
      </c>
      <c r="F385" s="12">
        <v>10000</v>
      </c>
      <c r="G385" s="6">
        <v>10000</v>
      </c>
      <c r="J385" s="12">
        <f>SUM(G385:I385)-F385</f>
        <v>0</v>
      </c>
      <c r="K385" s="14">
        <v>1.8999999999999998E-4</v>
      </c>
      <c r="L385" s="6">
        <v>1.9</v>
      </c>
      <c r="M385" s="6" t="s">
        <v>399</v>
      </c>
      <c r="N385" s="6" t="s">
        <v>839</v>
      </c>
    </row>
    <row r="386" spans="1:15" x14ac:dyDescent="0.3">
      <c r="A386" s="6">
        <v>9660002112</v>
      </c>
      <c r="B386" s="6">
        <v>4650</v>
      </c>
      <c r="C386" s="6" t="s">
        <v>947</v>
      </c>
      <c r="E386" s="6" t="s">
        <v>1779</v>
      </c>
      <c r="F386" s="12">
        <v>435000</v>
      </c>
      <c r="G386" s="6">
        <v>435000</v>
      </c>
      <c r="J386" s="12">
        <f>SUM(G386:I386)-F386</f>
        <v>0</v>
      </c>
      <c r="K386" s="14">
        <v>6.0999999999999997E-4</v>
      </c>
      <c r="L386" s="6">
        <v>265.35000000000002</v>
      </c>
      <c r="M386" s="6" t="s">
        <v>912</v>
      </c>
      <c r="N386" s="6" t="s">
        <v>948</v>
      </c>
    </row>
    <row r="387" spans="1:15" x14ac:dyDescent="0.3">
      <c r="A387" s="6">
        <v>9660002112</v>
      </c>
      <c r="B387" s="6">
        <v>4660</v>
      </c>
      <c r="C387" s="6" t="s">
        <v>949</v>
      </c>
      <c r="E387" s="6" t="s">
        <v>1780</v>
      </c>
      <c r="F387" s="12">
        <v>690000</v>
      </c>
      <c r="G387" s="6">
        <v>690000</v>
      </c>
      <c r="J387" s="12">
        <f>SUM(G387:I387)-F387</f>
        <v>0</v>
      </c>
      <c r="K387" s="14">
        <v>5.9000000000000003E-4</v>
      </c>
      <c r="L387" s="6">
        <v>407.1</v>
      </c>
      <c r="M387" s="6" t="s">
        <v>912</v>
      </c>
      <c r="N387" s="6" t="s">
        <v>950</v>
      </c>
    </row>
    <row r="388" spans="1:15" x14ac:dyDescent="0.3">
      <c r="A388" s="6">
        <v>9660002112</v>
      </c>
      <c r="B388" s="6">
        <v>4820</v>
      </c>
      <c r="C388" s="6" t="s">
        <v>981</v>
      </c>
      <c r="E388" s="6" t="s">
        <v>1796</v>
      </c>
      <c r="F388" s="12">
        <v>2176000</v>
      </c>
      <c r="G388" s="6">
        <v>2176000</v>
      </c>
      <c r="J388" s="12">
        <f>SUM(G388:I388)-F388</f>
        <v>0</v>
      </c>
      <c r="K388" s="14">
        <v>1.8720000000000001E-2</v>
      </c>
      <c r="L388" s="14">
        <v>40734.720000000001</v>
      </c>
      <c r="M388" s="6" t="s">
        <v>912</v>
      </c>
      <c r="N388" s="6" t="s">
        <v>982</v>
      </c>
    </row>
    <row r="389" spans="1:15" x14ac:dyDescent="0.3">
      <c r="A389" s="6">
        <v>9660002112</v>
      </c>
      <c r="B389" s="6">
        <v>5400</v>
      </c>
      <c r="C389" s="6" t="s">
        <v>1097</v>
      </c>
      <c r="E389" s="6" t="s">
        <v>1854</v>
      </c>
      <c r="F389" s="12">
        <v>315000</v>
      </c>
      <c r="G389" s="6">
        <v>315000</v>
      </c>
      <c r="J389" s="12">
        <f>SUM(G389:I389)-F389</f>
        <v>0</v>
      </c>
      <c r="K389" s="14">
        <v>6.2E-4</v>
      </c>
      <c r="L389" s="6">
        <v>195.3</v>
      </c>
      <c r="M389" s="6" t="s">
        <v>912</v>
      </c>
      <c r="N389" s="6" t="s">
        <v>1098</v>
      </c>
    </row>
    <row r="390" spans="1:15" x14ac:dyDescent="0.3">
      <c r="A390" s="6">
        <v>9660002112</v>
      </c>
      <c r="B390" s="6">
        <v>250</v>
      </c>
      <c r="C390" s="6" t="s">
        <v>1995</v>
      </c>
      <c r="E390" s="6" t="s">
        <v>1347</v>
      </c>
      <c r="F390" s="12">
        <f>8100</f>
        <v>8100</v>
      </c>
      <c r="I390" s="6">
        <v>7200</v>
      </c>
      <c r="J390" s="12">
        <f>SUM(G390:I390)-F390</f>
        <v>-900</v>
      </c>
      <c r="K390" s="14">
        <v>0.64500000000000002</v>
      </c>
      <c r="L390" s="14">
        <v>5224.5</v>
      </c>
      <c r="M390" s="6" t="s">
        <v>42</v>
      </c>
      <c r="N390" s="6" t="s">
        <v>55</v>
      </c>
      <c r="O390" s="13" t="s">
        <v>2004</v>
      </c>
    </row>
    <row r="391" spans="1:15" x14ac:dyDescent="0.3">
      <c r="A391" s="6">
        <v>9660002112</v>
      </c>
      <c r="B391" s="6">
        <v>5470</v>
      </c>
      <c r="C391" s="6" t="s">
        <v>1112</v>
      </c>
      <c r="E391" s="6" t="s">
        <v>1861</v>
      </c>
      <c r="F391" s="12">
        <v>28000</v>
      </c>
      <c r="G391" s="6">
        <v>28000</v>
      </c>
      <c r="J391" s="12">
        <f>SUM(G391:I391)-F391</f>
        <v>0</v>
      </c>
      <c r="K391" s="14">
        <v>0.24310000000000001</v>
      </c>
      <c r="L391" s="14">
        <v>6806.8</v>
      </c>
      <c r="M391" s="6" t="s">
        <v>912</v>
      </c>
      <c r="N391" s="6" t="s">
        <v>1113</v>
      </c>
    </row>
    <row r="392" spans="1:15" x14ac:dyDescent="0.3">
      <c r="A392" s="6">
        <v>9660002112</v>
      </c>
      <c r="B392" s="6">
        <v>6480</v>
      </c>
      <c r="C392" s="6" t="s">
        <v>1963</v>
      </c>
      <c r="E392" s="6" t="s">
        <v>1964</v>
      </c>
      <c r="F392" s="12">
        <v>33000</v>
      </c>
      <c r="H392" s="6">
        <v>33000</v>
      </c>
      <c r="J392" s="12">
        <f>SUM(G392:I392)-F392</f>
        <v>0</v>
      </c>
    </row>
    <row r="393" spans="1:15" x14ac:dyDescent="0.3">
      <c r="A393" s="6">
        <v>9660002112</v>
      </c>
      <c r="B393" s="6">
        <v>5870</v>
      </c>
      <c r="C393" s="6" t="s">
        <v>1196</v>
      </c>
      <c r="E393" s="6" t="s">
        <v>1901</v>
      </c>
      <c r="F393" s="12">
        <v>63000</v>
      </c>
      <c r="H393" s="6">
        <v>63000</v>
      </c>
      <c r="J393" s="12">
        <f>SUM(G393:I393)-F393</f>
        <v>0</v>
      </c>
      <c r="K393" s="14">
        <v>5.4850000000000003E-2</v>
      </c>
      <c r="L393" s="14">
        <v>3455.55</v>
      </c>
      <c r="M393" s="6" t="s">
        <v>1193</v>
      </c>
      <c r="N393" s="6" t="s">
        <v>1197</v>
      </c>
    </row>
    <row r="394" spans="1:15" x14ac:dyDescent="0.3">
      <c r="A394" s="6">
        <v>9660002112</v>
      </c>
      <c r="B394" s="6">
        <v>5980</v>
      </c>
      <c r="C394" s="6" t="s">
        <v>1221</v>
      </c>
      <c r="E394" s="6" t="s">
        <v>1912</v>
      </c>
      <c r="F394" s="12">
        <v>130000</v>
      </c>
      <c r="G394" s="6">
        <v>130000</v>
      </c>
      <c r="J394" s="12">
        <f>SUM(G394:I394)-F394</f>
        <v>0</v>
      </c>
      <c r="K394" s="14">
        <v>1.1199999999999999E-3</v>
      </c>
      <c r="L394" s="6">
        <v>145.6</v>
      </c>
      <c r="M394" s="6" t="s">
        <v>1143</v>
      </c>
      <c r="N394" s="6" t="s">
        <v>1222</v>
      </c>
    </row>
    <row r="395" spans="1:15" x14ac:dyDescent="0.3">
      <c r="A395" s="6">
        <v>9660002112</v>
      </c>
      <c r="B395" s="6">
        <v>800</v>
      </c>
      <c r="C395" s="6" t="s">
        <v>168</v>
      </c>
      <c r="E395" s="6" t="s">
        <v>1395</v>
      </c>
      <c r="F395" s="12">
        <v>57000</v>
      </c>
      <c r="G395" s="6">
        <v>57000</v>
      </c>
      <c r="J395" s="12">
        <f>SUM(G395:I395)-F395</f>
        <v>0</v>
      </c>
      <c r="K395" s="14">
        <v>7.4399999999999994E-2</v>
      </c>
      <c r="L395" s="14">
        <v>4240.8</v>
      </c>
      <c r="M395" s="6" t="s">
        <v>70</v>
      </c>
      <c r="N395" s="6" t="s">
        <v>169</v>
      </c>
    </row>
    <row r="396" spans="1:15" x14ac:dyDescent="0.3">
      <c r="A396" s="6">
        <v>9660002112</v>
      </c>
      <c r="B396" s="6">
        <v>2570</v>
      </c>
      <c r="C396" s="6" t="s">
        <v>530</v>
      </c>
      <c r="E396" s="6" t="s">
        <v>1571</v>
      </c>
      <c r="F396" s="12">
        <v>20000</v>
      </c>
      <c r="G396" s="6">
        <v>20000</v>
      </c>
      <c r="J396" s="12">
        <f>SUM(G396:I396)-F396</f>
        <v>0</v>
      </c>
      <c r="K396" s="14">
        <v>7.2000000000000005E-4</v>
      </c>
      <c r="L396" s="6">
        <v>14.4</v>
      </c>
      <c r="M396" s="6" t="s">
        <v>399</v>
      </c>
      <c r="N396" s="6" t="s">
        <v>531</v>
      </c>
    </row>
    <row r="397" spans="1:15" x14ac:dyDescent="0.3">
      <c r="A397" s="6">
        <v>9660002112</v>
      </c>
      <c r="B397" s="6">
        <v>550</v>
      </c>
      <c r="C397" s="6" t="s">
        <v>114</v>
      </c>
      <c r="E397" s="6" t="s">
        <v>1370</v>
      </c>
      <c r="F397" s="12">
        <v>12400</v>
      </c>
      <c r="G397" s="6">
        <v>12400</v>
      </c>
      <c r="J397" s="12">
        <f>SUM(G397:I397)-F397</f>
        <v>0</v>
      </c>
      <c r="K397" s="14">
        <v>0.2145</v>
      </c>
      <c r="L397" s="14">
        <v>2659.8</v>
      </c>
      <c r="M397" s="6" t="s">
        <v>89</v>
      </c>
      <c r="N397" s="6" t="s">
        <v>115</v>
      </c>
    </row>
    <row r="398" spans="1:15" x14ac:dyDescent="0.3">
      <c r="A398" s="6">
        <v>9660002112</v>
      </c>
      <c r="B398" s="6">
        <v>570</v>
      </c>
      <c r="C398" s="6" t="s">
        <v>118</v>
      </c>
      <c r="E398" s="6" t="s">
        <v>1372</v>
      </c>
      <c r="F398" s="12">
        <v>62706</v>
      </c>
      <c r="H398" s="6">
        <v>70000</v>
      </c>
      <c r="J398" s="12">
        <f>SUM(G398:I398)-F398</f>
        <v>7294</v>
      </c>
      <c r="K398" s="14">
        <v>1.0320000000000001E-2</v>
      </c>
      <c r="L398" s="6">
        <v>647.13</v>
      </c>
      <c r="M398" s="6" t="s">
        <v>120</v>
      </c>
      <c r="N398" s="6" t="s">
        <v>119</v>
      </c>
    </row>
    <row r="399" spans="1:15" x14ac:dyDescent="0.3">
      <c r="A399" s="6">
        <v>9660002112</v>
      </c>
      <c r="B399" s="6">
        <v>970</v>
      </c>
      <c r="C399" s="6" t="s">
        <v>202</v>
      </c>
      <c r="E399" s="6" t="s">
        <v>1412</v>
      </c>
      <c r="F399" s="12">
        <v>3000</v>
      </c>
      <c r="G399" s="6">
        <v>3000</v>
      </c>
      <c r="J399" s="12">
        <f>SUM(G399:I399)-F399</f>
        <v>0</v>
      </c>
      <c r="K399" s="14">
        <v>0.69355</v>
      </c>
      <c r="L399" s="14">
        <v>2080.65</v>
      </c>
      <c r="M399" s="6" t="s">
        <v>70</v>
      </c>
      <c r="N399" s="6" t="s">
        <v>203</v>
      </c>
    </row>
    <row r="400" spans="1:15" x14ac:dyDescent="0.3">
      <c r="A400" s="6">
        <v>9660002112</v>
      </c>
      <c r="B400" s="6">
        <v>990</v>
      </c>
      <c r="C400" s="6" t="s">
        <v>206</v>
      </c>
      <c r="E400" s="6" t="s">
        <v>1414</v>
      </c>
      <c r="F400" s="12">
        <v>19600</v>
      </c>
      <c r="I400" s="6">
        <v>19600</v>
      </c>
      <c r="J400" s="12">
        <f>SUM(G400:I400)-F400</f>
        <v>0</v>
      </c>
      <c r="K400" s="14">
        <v>1.014</v>
      </c>
      <c r="L400" s="14">
        <v>19874.400000000001</v>
      </c>
      <c r="M400" s="6" t="s">
        <v>70</v>
      </c>
      <c r="N400" s="6" t="s">
        <v>207</v>
      </c>
    </row>
    <row r="401" spans="1:14" x14ac:dyDescent="0.3">
      <c r="A401" s="6">
        <v>9660002112</v>
      </c>
      <c r="B401" s="6">
        <v>770</v>
      </c>
      <c r="C401" s="6" t="s">
        <v>162</v>
      </c>
      <c r="E401" s="6" t="s">
        <v>1392</v>
      </c>
      <c r="F401" s="12">
        <v>57000</v>
      </c>
      <c r="G401" s="6">
        <v>57000</v>
      </c>
      <c r="J401" s="12">
        <f>SUM(G401:I401)-F401</f>
        <v>0</v>
      </c>
      <c r="K401" s="14">
        <v>8.8400000000000006E-2</v>
      </c>
      <c r="L401" s="14">
        <v>5038.8</v>
      </c>
      <c r="M401" s="6" t="s">
        <v>70</v>
      </c>
      <c r="N401" s="6" t="s">
        <v>163</v>
      </c>
    </row>
    <row r="402" spans="1:14" x14ac:dyDescent="0.3">
      <c r="A402" s="6">
        <v>9660002112</v>
      </c>
      <c r="B402" s="6">
        <v>1220</v>
      </c>
      <c r="C402" s="6" t="s">
        <v>253</v>
      </c>
      <c r="E402" s="6" t="s">
        <v>1437</v>
      </c>
      <c r="F402" s="12">
        <v>8000</v>
      </c>
      <c r="H402" s="6">
        <v>8000</v>
      </c>
      <c r="J402" s="12">
        <f>SUM(G402:I402)-F402</f>
        <v>0</v>
      </c>
      <c r="K402" s="14">
        <v>0.71499999999999997</v>
      </c>
      <c r="L402" s="14">
        <v>5720</v>
      </c>
      <c r="M402" s="6" t="s">
        <v>70</v>
      </c>
      <c r="N402" s="6" t="s">
        <v>254</v>
      </c>
    </row>
    <row r="403" spans="1:14" x14ac:dyDescent="0.3">
      <c r="A403" s="6">
        <v>9660002112</v>
      </c>
      <c r="B403" s="6">
        <v>1280</v>
      </c>
      <c r="C403" s="6" t="s">
        <v>265</v>
      </c>
      <c r="E403" s="6" t="s">
        <v>1443</v>
      </c>
      <c r="F403" s="12">
        <v>12000</v>
      </c>
      <c r="H403" s="6">
        <v>12000</v>
      </c>
      <c r="J403" s="12">
        <f>SUM(G403:I403)-F403</f>
        <v>0</v>
      </c>
      <c r="K403" s="14">
        <v>0.17419999999999999</v>
      </c>
      <c r="L403" s="14">
        <v>2090.4</v>
      </c>
      <c r="M403" s="6" t="s">
        <v>210</v>
      </c>
      <c r="N403" s="6" t="s">
        <v>266</v>
      </c>
    </row>
    <row r="404" spans="1:14" x14ac:dyDescent="0.3">
      <c r="A404" s="6">
        <v>9660002112</v>
      </c>
      <c r="B404" s="6">
        <v>1810</v>
      </c>
      <c r="C404" s="6" t="s">
        <v>376</v>
      </c>
      <c r="E404" s="6" t="s">
        <v>1495</v>
      </c>
      <c r="F404" s="12">
        <v>42000</v>
      </c>
      <c r="G404" s="6">
        <v>42000</v>
      </c>
      <c r="J404" s="12">
        <f>SUM(G404:I404)-F404</f>
        <v>0</v>
      </c>
      <c r="K404" s="14">
        <v>3.2500000000000001E-2</v>
      </c>
      <c r="L404" s="14">
        <v>1365</v>
      </c>
      <c r="M404" s="6" t="s">
        <v>359</v>
      </c>
      <c r="N404" s="6" t="s">
        <v>377</v>
      </c>
    </row>
    <row r="405" spans="1:14" x14ac:dyDescent="0.3">
      <c r="A405" s="6">
        <v>9660002112</v>
      </c>
      <c r="B405" s="6">
        <v>1800</v>
      </c>
      <c r="C405" s="6" t="s">
        <v>374</v>
      </c>
      <c r="E405" s="6" t="s">
        <v>1494</v>
      </c>
      <c r="F405" s="12">
        <v>57000</v>
      </c>
      <c r="G405" s="6">
        <v>57000</v>
      </c>
      <c r="J405" s="12">
        <f>SUM(G405:I405)-F405</f>
        <v>0</v>
      </c>
      <c r="K405" s="14">
        <v>2.128E-2</v>
      </c>
      <c r="L405" s="14">
        <v>1212.96</v>
      </c>
      <c r="M405" s="6" t="s">
        <v>362</v>
      </c>
      <c r="N405" s="6" t="s">
        <v>375</v>
      </c>
    </row>
    <row r="406" spans="1:14" x14ac:dyDescent="0.3">
      <c r="A406" s="6">
        <v>9660002112</v>
      </c>
      <c r="B406" s="6">
        <v>1950</v>
      </c>
      <c r="C406" s="6" t="s">
        <v>406</v>
      </c>
      <c r="E406" s="6" t="s">
        <v>1509</v>
      </c>
      <c r="F406" s="12">
        <v>10000</v>
      </c>
      <c r="I406" s="6">
        <v>10000</v>
      </c>
      <c r="J406" s="12">
        <f>SUM(G406:I406)-F406</f>
        <v>0</v>
      </c>
      <c r="K406" s="14">
        <v>2.2000000000000001E-4</v>
      </c>
      <c r="L406" s="6">
        <v>2.2000000000000002</v>
      </c>
      <c r="M406" s="6" t="s">
        <v>399</v>
      </c>
      <c r="N406" s="6" t="s">
        <v>407</v>
      </c>
    </row>
    <row r="407" spans="1:14" x14ac:dyDescent="0.3">
      <c r="A407" s="6">
        <v>9660002112</v>
      </c>
      <c r="B407" s="6">
        <v>2180</v>
      </c>
      <c r="C407" s="6" t="s">
        <v>452</v>
      </c>
      <c r="E407" s="6" t="s">
        <v>1532</v>
      </c>
      <c r="F407" s="12">
        <v>50000</v>
      </c>
      <c r="G407" s="6">
        <v>50000</v>
      </c>
      <c r="J407" s="12">
        <f>SUM(G407:I407)-F407</f>
        <v>0</v>
      </c>
      <c r="K407" s="14">
        <v>1.8000000000000001E-4</v>
      </c>
      <c r="L407" s="6">
        <v>9</v>
      </c>
      <c r="M407" s="6" t="s">
        <v>399</v>
      </c>
      <c r="N407" s="6" t="s">
        <v>453</v>
      </c>
    </row>
    <row r="408" spans="1:14" x14ac:dyDescent="0.3">
      <c r="A408" s="6">
        <v>9660002112</v>
      </c>
      <c r="B408" s="6">
        <v>3170</v>
      </c>
      <c r="C408" s="6" t="s">
        <v>650</v>
      </c>
      <c r="E408" s="6" t="s">
        <v>1631</v>
      </c>
      <c r="F408" s="12">
        <v>20000</v>
      </c>
      <c r="I408" s="6">
        <v>20000</v>
      </c>
      <c r="J408" s="12">
        <f>SUM(G408:I408)-F408</f>
        <v>0</v>
      </c>
      <c r="K408" s="14">
        <v>2.1000000000000001E-4</v>
      </c>
      <c r="L408" s="6">
        <v>4.2</v>
      </c>
      <c r="M408" s="6" t="s">
        <v>399</v>
      </c>
      <c r="N408" s="6" t="s">
        <v>651</v>
      </c>
    </row>
    <row r="409" spans="1:14" x14ac:dyDescent="0.3">
      <c r="A409" s="6">
        <v>9660002112</v>
      </c>
      <c r="B409" s="6">
        <v>3420</v>
      </c>
      <c r="C409" s="6" t="s">
        <v>700</v>
      </c>
      <c r="E409" s="6" t="s">
        <v>1656</v>
      </c>
      <c r="F409" s="12">
        <v>70000</v>
      </c>
      <c r="G409" s="6">
        <v>70000</v>
      </c>
      <c r="J409" s="12">
        <f>SUM(G409:I409)-F409</f>
        <v>0</v>
      </c>
      <c r="K409" s="14">
        <v>3.1E-4</v>
      </c>
      <c r="L409" s="6">
        <v>21.7</v>
      </c>
      <c r="M409" s="6" t="s">
        <v>399</v>
      </c>
      <c r="N409" s="6" t="s">
        <v>701</v>
      </c>
    </row>
    <row r="410" spans="1:14" x14ac:dyDescent="0.3">
      <c r="A410" s="6">
        <v>9660002112</v>
      </c>
      <c r="B410" s="6">
        <v>3900</v>
      </c>
      <c r="C410" s="6" t="s">
        <v>796</v>
      </c>
      <c r="E410" s="6" t="s">
        <v>1704</v>
      </c>
      <c r="F410" s="12">
        <v>20000</v>
      </c>
      <c r="G410" s="6">
        <v>20000</v>
      </c>
      <c r="J410" s="12">
        <f>SUM(G410:I410)-F410</f>
        <v>0</v>
      </c>
      <c r="K410" s="14">
        <v>2.1000000000000001E-4</v>
      </c>
      <c r="L410" s="6">
        <v>4.2</v>
      </c>
      <c r="M410" s="6" t="s">
        <v>399</v>
      </c>
      <c r="N410" s="6" t="s">
        <v>797</v>
      </c>
    </row>
    <row r="411" spans="1:14" x14ac:dyDescent="0.3">
      <c r="A411" s="6">
        <v>9660002112</v>
      </c>
      <c r="B411" s="6">
        <v>3960</v>
      </c>
      <c r="C411" s="6" t="s">
        <v>808</v>
      </c>
      <c r="E411" s="6" t="s">
        <v>1710</v>
      </c>
      <c r="F411" s="12">
        <v>30000</v>
      </c>
      <c r="G411" s="6">
        <v>30000</v>
      </c>
      <c r="J411" s="12">
        <f>SUM(G411:I411)-F411</f>
        <v>0</v>
      </c>
      <c r="K411" s="14">
        <v>2.2999999999999998E-4</v>
      </c>
      <c r="L411" s="6">
        <v>6.9</v>
      </c>
      <c r="M411" s="6" t="s">
        <v>399</v>
      </c>
      <c r="N411" s="6" t="s">
        <v>809</v>
      </c>
    </row>
    <row r="412" spans="1:14" x14ac:dyDescent="0.3">
      <c r="A412" s="6">
        <v>9660002112</v>
      </c>
      <c r="B412" s="6">
        <v>4120</v>
      </c>
      <c r="C412" s="6" t="s">
        <v>840</v>
      </c>
      <c r="E412" s="6" t="s">
        <v>1726</v>
      </c>
      <c r="F412" s="12">
        <v>100000</v>
      </c>
      <c r="G412" s="6">
        <v>100000</v>
      </c>
      <c r="J412" s="12">
        <f>SUM(G412:I412)-F412</f>
        <v>0</v>
      </c>
      <c r="K412" s="14">
        <v>2.1000000000000001E-4</v>
      </c>
      <c r="L412" s="6">
        <v>21</v>
      </c>
      <c r="M412" s="6" t="s">
        <v>399</v>
      </c>
      <c r="N412" s="6" t="s">
        <v>841</v>
      </c>
    </row>
    <row r="413" spans="1:14" x14ac:dyDescent="0.3">
      <c r="A413" s="6">
        <v>9660002112</v>
      </c>
      <c r="B413" s="6">
        <v>4730</v>
      </c>
      <c r="C413" s="6" t="s">
        <v>963</v>
      </c>
      <c r="E413" s="6" t="s">
        <v>1787</v>
      </c>
      <c r="F413" s="12">
        <v>135000</v>
      </c>
      <c r="G413" s="6">
        <v>135000</v>
      </c>
      <c r="J413" s="12">
        <f>SUM(G413:I413)-F413</f>
        <v>0</v>
      </c>
      <c r="K413" s="14">
        <v>5.2000000000000006E-4</v>
      </c>
      <c r="L413" s="6">
        <v>70.2</v>
      </c>
      <c r="M413" s="6" t="s">
        <v>912</v>
      </c>
      <c r="N413" s="6" t="s">
        <v>964</v>
      </c>
    </row>
    <row r="414" spans="1:14" x14ac:dyDescent="0.3">
      <c r="A414" s="6">
        <v>9660002112</v>
      </c>
      <c r="B414" s="6">
        <v>5390</v>
      </c>
      <c r="C414" s="6" t="s">
        <v>1095</v>
      </c>
      <c r="E414" s="6" t="s">
        <v>1853</v>
      </c>
      <c r="F414" s="12">
        <v>105000</v>
      </c>
      <c r="G414" s="6">
        <v>105000</v>
      </c>
      <c r="J414" s="12">
        <f>SUM(G414:I414)-F414</f>
        <v>0</v>
      </c>
      <c r="K414" s="14">
        <v>4.4000000000000002E-4</v>
      </c>
      <c r="L414" s="6">
        <v>46.2</v>
      </c>
      <c r="M414" s="6" t="s">
        <v>912</v>
      </c>
      <c r="N414" s="6" t="s">
        <v>1096</v>
      </c>
    </row>
    <row r="415" spans="1:14" x14ac:dyDescent="0.3">
      <c r="A415" s="6">
        <v>9660002112</v>
      </c>
      <c r="B415" s="6">
        <v>5440</v>
      </c>
      <c r="C415" s="6" t="s">
        <v>1106</v>
      </c>
      <c r="E415" s="6" t="s">
        <v>1858</v>
      </c>
      <c r="F415" s="12">
        <v>2000</v>
      </c>
      <c r="G415" s="6">
        <v>2000</v>
      </c>
      <c r="J415" s="12">
        <f>SUM(G415:I415)-F415</f>
        <v>0</v>
      </c>
      <c r="K415" s="14">
        <v>0.16654000000000002</v>
      </c>
      <c r="L415" s="6">
        <v>333.08</v>
      </c>
      <c r="M415" s="6" t="s">
        <v>1101</v>
      </c>
      <c r="N415" s="6" t="s">
        <v>1107</v>
      </c>
    </row>
    <row r="416" spans="1:14" x14ac:dyDescent="0.3">
      <c r="A416" s="6">
        <v>9660002112</v>
      </c>
      <c r="B416" s="6">
        <v>5620</v>
      </c>
      <c r="C416" s="6" t="s">
        <v>1144</v>
      </c>
      <c r="E416" s="6" t="s">
        <v>1876</v>
      </c>
      <c r="F416" s="12">
        <v>20000</v>
      </c>
      <c r="G416" s="6">
        <v>20000</v>
      </c>
      <c r="J416" s="12">
        <f>SUM(G416:I416)-F416</f>
        <v>0</v>
      </c>
      <c r="K416" s="14">
        <v>4.0300000000000002E-2</v>
      </c>
      <c r="L416" s="6">
        <v>806</v>
      </c>
      <c r="M416" s="6" t="s">
        <v>1130</v>
      </c>
      <c r="N416" s="6" t="s">
        <v>1145</v>
      </c>
    </row>
    <row r="417" spans="1:14" x14ac:dyDescent="0.3">
      <c r="A417" s="6">
        <v>9660002112</v>
      </c>
      <c r="B417" s="6">
        <v>5750</v>
      </c>
      <c r="C417" s="6" t="s">
        <v>1170</v>
      </c>
      <c r="E417" s="6" t="s">
        <v>1889</v>
      </c>
      <c r="F417" s="12">
        <v>10000</v>
      </c>
      <c r="G417" s="6">
        <v>10000</v>
      </c>
      <c r="J417" s="12">
        <f>SUM(G417:I417)-F417</f>
        <v>0</v>
      </c>
      <c r="K417" s="14">
        <v>3.7199999999999997E-2</v>
      </c>
      <c r="L417" s="6">
        <v>372</v>
      </c>
      <c r="M417" s="6" t="s">
        <v>1130</v>
      </c>
      <c r="N417" s="6" t="s">
        <v>1171</v>
      </c>
    </row>
    <row r="418" spans="1:14" x14ac:dyDescent="0.3">
      <c r="A418" s="6">
        <v>9660002112</v>
      </c>
      <c r="B418" s="6">
        <v>5930</v>
      </c>
      <c r="C418" s="6" t="s">
        <v>1210</v>
      </c>
      <c r="E418" s="6" t="s">
        <v>1907</v>
      </c>
      <c r="F418" s="12">
        <v>60000</v>
      </c>
      <c r="G418" s="6">
        <v>60000</v>
      </c>
      <c r="J418" s="12">
        <f>SUM(G418:I418)-F418</f>
        <v>0</v>
      </c>
      <c r="K418" s="14">
        <v>2.1840000000000002E-2</v>
      </c>
      <c r="L418" s="14">
        <v>1310.4000000000001</v>
      </c>
      <c r="M418" s="6" t="s">
        <v>1205</v>
      </c>
      <c r="N418" s="6" t="s">
        <v>1211</v>
      </c>
    </row>
    <row r="419" spans="1:14" x14ac:dyDescent="0.3">
      <c r="A419" s="6">
        <v>9660002112</v>
      </c>
      <c r="B419" s="6">
        <v>6070</v>
      </c>
      <c r="C419" s="6" t="s">
        <v>1240</v>
      </c>
      <c r="E419" s="6" t="s">
        <v>1920</v>
      </c>
      <c r="F419" s="12">
        <v>2000</v>
      </c>
      <c r="G419" s="6">
        <v>2000</v>
      </c>
      <c r="J419" s="12">
        <f>SUM(G419:I419)-F419</f>
        <v>0</v>
      </c>
      <c r="K419" s="14">
        <v>5.3689999999999995E-2</v>
      </c>
      <c r="L419" s="6">
        <v>107.38</v>
      </c>
      <c r="M419" s="6" t="s">
        <v>80</v>
      </c>
      <c r="N419" s="6" t="s">
        <v>1241</v>
      </c>
    </row>
    <row r="420" spans="1:14" x14ac:dyDescent="0.3">
      <c r="A420" s="6">
        <v>9660002112</v>
      </c>
      <c r="B420" s="6">
        <v>6170</v>
      </c>
      <c r="C420" s="6" t="s">
        <v>1260</v>
      </c>
      <c r="E420" s="6" t="s">
        <v>1930</v>
      </c>
      <c r="F420" s="12">
        <v>50000</v>
      </c>
      <c r="G420" s="6">
        <v>50000</v>
      </c>
      <c r="J420" s="12">
        <f>SUM(G420:I420)-F420</f>
        <v>0</v>
      </c>
      <c r="K420" s="14">
        <v>9.0999999999999998E-2</v>
      </c>
      <c r="L420" s="14">
        <v>4550</v>
      </c>
      <c r="M420" s="6" t="s">
        <v>80</v>
      </c>
      <c r="N420" s="6" t="s">
        <v>1261</v>
      </c>
    </row>
    <row r="421" spans="1:14" x14ac:dyDescent="0.3">
      <c r="A421" s="6">
        <v>9660002112</v>
      </c>
      <c r="B421" s="6">
        <v>6180</v>
      </c>
      <c r="C421" s="6" t="s">
        <v>1262</v>
      </c>
      <c r="E421" s="6" t="s">
        <v>1931</v>
      </c>
      <c r="F421" s="12">
        <v>66000</v>
      </c>
      <c r="G421" s="6">
        <v>66000</v>
      </c>
      <c r="J421" s="12">
        <f>SUM(G421:I421)-F421</f>
        <v>0</v>
      </c>
      <c r="K421" s="14">
        <v>9.0999999999999998E-2</v>
      </c>
      <c r="L421" s="14">
        <v>6006</v>
      </c>
      <c r="M421" s="6" t="s">
        <v>80</v>
      </c>
      <c r="N421" s="6" t="s">
        <v>1263</v>
      </c>
    </row>
    <row r="422" spans="1:14" x14ac:dyDescent="0.3">
      <c r="A422" s="6">
        <v>9660002112</v>
      </c>
      <c r="B422" s="6">
        <v>6270</v>
      </c>
      <c r="C422" s="6" t="s">
        <v>1280</v>
      </c>
      <c r="E422" s="6" t="s">
        <v>1940</v>
      </c>
      <c r="F422" s="12">
        <v>48000</v>
      </c>
      <c r="G422" s="6">
        <v>48000</v>
      </c>
      <c r="J422" s="12">
        <f>SUM(G422:I422)-F422</f>
        <v>0</v>
      </c>
      <c r="K422" s="14">
        <v>3.4839999999999996E-2</v>
      </c>
      <c r="L422" s="14">
        <v>1672.32</v>
      </c>
      <c r="M422" s="6" t="s">
        <v>80</v>
      </c>
      <c r="N422" s="6" t="s">
        <v>1281</v>
      </c>
    </row>
    <row r="423" spans="1:14" x14ac:dyDescent="0.3">
      <c r="A423" s="6">
        <v>9660002112</v>
      </c>
      <c r="B423" s="6">
        <v>6330</v>
      </c>
      <c r="C423" s="6" t="s">
        <v>1293</v>
      </c>
      <c r="E423" s="6" t="s">
        <v>1946</v>
      </c>
      <c r="F423" s="12">
        <v>17000</v>
      </c>
      <c r="G423" s="6">
        <v>17000</v>
      </c>
      <c r="J423" s="12">
        <f>SUM(G423:I423)-F423</f>
        <v>0</v>
      </c>
      <c r="K423" s="14">
        <v>0.312</v>
      </c>
      <c r="L423" s="14">
        <v>5304</v>
      </c>
      <c r="M423" s="6" t="s">
        <v>1295</v>
      </c>
      <c r="N423" s="6" t="s">
        <v>1294</v>
      </c>
    </row>
    <row r="424" spans="1:14" x14ac:dyDescent="0.3">
      <c r="A424" s="6">
        <v>9660002112</v>
      </c>
      <c r="B424" s="6">
        <v>380</v>
      </c>
      <c r="C424" s="6" t="s">
        <v>78</v>
      </c>
      <c r="E424" s="6" t="s">
        <v>1354</v>
      </c>
      <c r="F424" s="6">
        <v>800</v>
      </c>
      <c r="G424" s="6">
        <v>800</v>
      </c>
      <c r="J424" s="12">
        <f>SUM(G424:I424)-F424</f>
        <v>0</v>
      </c>
      <c r="K424" s="14">
        <v>0.59984999999999999</v>
      </c>
      <c r="L424" s="6">
        <v>479.88</v>
      </c>
      <c r="M424" s="6" t="s">
        <v>80</v>
      </c>
      <c r="N424" s="6" t="s">
        <v>79</v>
      </c>
    </row>
    <row r="425" spans="1:14" x14ac:dyDescent="0.3">
      <c r="A425" s="6">
        <v>9660002112</v>
      </c>
      <c r="B425" s="6">
        <v>400</v>
      </c>
      <c r="C425" s="6" t="s">
        <v>83</v>
      </c>
      <c r="E425" s="6" t="s">
        <v>1356</v>
      </c>
      <c r="F425" s="12">
        <v>15750</v>
      </c>
      <c r="G425" s="6">
        <v>15750</v>
      </c>
      <c r="J425" s="12">
        <f>SUM(G425:I425)-F425</f>
        <v>0</v>
      </c>
      <c r="K425" s="14">
        <v>0.23400000000000001</v>
      </c>
      <c r="L425" s="14">
        <v>3685.5</v>
      </c>
      <c r="M425" s="6" t="s">
        <v>80</v>
      </c>
      <c r="N425" s="6" t="s">
        <v>84</v>
      </c>
    </row>
    <row r="426" spans="1:14" x14ac:dyDescent="0.3">
      <c r="A426" s="6">
        <v>9660002112</v>
      </c>
      <c r="B426" s="6">
        <v>420</v>
      </c>
      <c r="C426" s="6" t="s">
        <v>87</v>
      </c>
      <c r="E426" s="6" t="s">
        <v>1358</v>
      </c>
      <c r="F426" s="12">
        <v>19800</v>
      </c>
      <c r="G426" s="6">
        <v>19800</v>
      </c>
      <c r="J426" s="12">
        <f>SUM(G426:I426)-F426</f>
        <v>0</v>
      </c>
      <c r="K426" s="14">
        <v>0.754</v>
      </c>
      <c r="L426" s="14">
        <v>14929.2</v>
      </c>
      <c r="M426" s="6" t="s">
        <v>89</v>
      </c>
      <c r="N426" s="6" t="s">
        <v>88</v>
      </c>
    </row>
    <row r="427" spans="1:14" x14ac:dyDescent="0.3">
      <c r="A427" s="6">
        <v>9660002112</v>
      </c>
      <c r="B427" s="6">
        <v>510</v>
      </c>
      <c r="C427" s="6" t="s">
        <v>106</v>
      </c>
      <c r="E427" s="6" t="s">
        <v>1366</v>
      </c>
      <c r="F427" s="12">
        <v>14080</v>
      </c>
      <c r="H427" s="6">
        <v>14080</v>
      </c>
      <c r="J427" s="12">
        <f>SUM(G427:I427)-F427</f>
        <v>0</v>
      </c>
      <c r="K427" s="14">
        <v>0.26390000000000002</v>
      </c>
      <c r="L427" s="14">
        <v>3715.71</v>
      </c>
      <c r="M427" s="6" t="s">
        <v>80</v>
      </c>
      <c r="N427" s="6" t="s">
        <v>107</v>
      </c>
    </row>
    <row r="428" spans="1:14" x14ac:dyDescent="0.3">
      <c r="A428" s="6">
        <v>9660002112</v>
      </c>
      <c r="B428" s="6">
        <v>480</v>
      </c>
      <c r="C428" s="6" t="s">
        <v>100</v>
      </c>
      <c r="E428" s="6" t="s">
        <v>1363</v>
      </c>
      <c r="F428" s="12">
        <v>104500</v>
      </c>
      <c r="H428" s="6">
        <v>104500</v>
      </c>
      <c r="J428" s="12">
        <f>SUM(G428:I428)-F428</f>
        <v>0</v>
      </c>
      <c r="K428" s="14">
        <v>0.10894000000000001</v>
      </c>
      <c r="L428" s="14">
        <v>11384.23</v>
      </c>
      <c r="M428" s="6" t="s">
        <v>80</v>
      </c>
      <c r="N428" s="6" t="s">
        <v>101</v>
      </c>
    </row>
    <row r="429" spans="1:14" x14ac:dyDescent="0.3">
      <c r="A429" s="6">
        <v>9660002112</v>
      </c>
      <c r="B429" s="6">
        <v>500</v>
      </c>
      <c r="C429" s="6" t="s">
        <v>104</v>
      </c>
      <c r="E429" s="6" t="s">
        <v>1365</v>
      </c>
      <c r="F429" s="12">
        <v>5500</v>
      </c>
      <c r="H429" s="6">
        <v>5500</v>
      </c>
      <c r="J429" s="12">
        <f>SUM(G429:I429)-F429</f>
        <v>0</v>
      </c>
      <c r="K429" s="14">
        <v>0.26390000000000002</v>
      </c>
      <c r="L429" s="14">
        <v>1451.45</v>
      </c>
      <c r="M429" s="6" t="s">
        <v>80</v>
      </c>
      <c r="N429" s="6" t="s">
        <v>105</v>
      </c>
    </row>
    <row r="430" spans="1:14" x14ac:dyDescent="0.3">
      <c r="A430" s="6">
        <v>9660002112</v>
      </c>
      <c r="B430" s="6">
        <v>6480</v>
      </c>
      <c r="C430" s="6" t="s">
        <v>1989</v>
      </c>
      <c r="E430" s="6" t="s">
        <v>1988</v>
      </c>
      <c r="F430" s="12">
        <v>680</v>
      </c>
      <c r="I430" s="6">
        <v>680</v>
      </c>
      <c r="J430" s="12">
        <f>SUM(G430:I430)-F430</f>
        <v>0</v>
      </c>
    </row>
    <row r="431" spans="1:14" x14ac:dyDescent="0.3">
      <c r="A431" s="6">
        <v>9660002112</v>
      </c>
      <c r="B431" s="6">
        <v>20</v>
      </c>
      <c r="C431" s="6" t="s">
        <v>10</v>
      </c>
      <c r="E431" s="6" t="s">
        <v>1327</v>
      </c>
      <c r="F431" s="6">
        <v>680</v>
      </c>
      <c r="I431" s="6">
        <v>680</v>
      </c>
      <c r="J431" s="12">
        <f>SUM(G431:I431)-F431</f>
        <v>0</v>
      </c>
      <c r="K431" s="14">
        <v>0.01</v>
      </c>
      <c r="L431" s="6">
        <v>6.8</v>
      </c>
      <c r="M431" s="6" t="s">
        <v>9</v>
      </c>
      <c r="N431" s="6" t="s">
        <v>11</v>
      </c>
    </row>
    <row r="432" spans="1:14" x14ac:dyDescent="0.3">
      <c r="A432" s="6">
        <v>9660002112</v>
      </c>
      <c r="B432" s="6">
        <v>1240</v>
      </c>
      <c r="C432" s="6" t="s">
        <v>257</v>
      </c>
      <c r="E432" s="6" t="s">
        <v>1439</v>
      </c>
      <c r="F432" s="12">
        <v>15000</v>
      </c>
      <c r="G432" s="6">
        <v>15000</v>
      </c>
      <c r="J432" s="12">
        <f>SUM(G432:I432)-F432</f>
        <v>0</v>
      </c>
      <c r="K432" s="14">
        <v>0.16800000000000001</v>
      </c>
      <c r="L432" s="14">
        <v>2520</v>
      </c>
      <c r="M432" s="6" t="s">
        <v>70</v>
      </c>
      <c r="N432" s="6" t="s">
        <v>258</v>
      </c>
    </row>
    <row r="433" spans="1:14" x14ac:dyDescent="0.3">
      <c r="A433" s="6">
        <v>9660002112</v>
      </c>
      <c r="B433" s="6">
        <v>1260</v>
      </c>
      <c r="C433" s="6" t="s">
        <v>261</v>
      </c>
      <c r="E433" s="6" t="s">
        <v>1441</v>
      </c>
      <c r="F433" s="12">
        <v>48000</v>
      </c>
      <c r="H433" s="6">
        <v>48000</v>
      </c>
      <c r="J433" s="12">
        <f>SUM(G433:I433)-F433</f>
        <v>0</v>
      </c>
      <c r="K433" s="14">
        <v>0.38400000000000001</v>
      </c>
      <c r="L433" s="14">
        <v>18432</v>
      </c>
      <c r="M433" s="6" t="s">
        <v>70</v>
      </c>
      <c r="N433" s="6" t="s">
        <v>262</v>
      </c>
    </row>
    <row r="434" spans="1:14" x14ac:dyDescent="0.3">
      <c r="A434" s="6">
        <v>9660002112</v>
      </c>
      <c r="B434" s="6">
        <v>1570</v>
      </c>
      <c r="C434" s="6" t="s">
        <v>325</v>
      </c>
      <c r="E434" s="6" t="s">
        <v>1471</v>
      </c>
      <c r="F434" s="12">
        <v>132000</v>
      </c>
      <c r="G434" s="6">
        <v>132000</v>
      </c>
      <c r="J434" s="12">
        <f>SUM(G434:I434)-F434</f>
        <v>0</v>
      </c>
      <c r="K434" s="14">
        <v>5.5299999999999993E-3</v>
      </c>
      <c r="L434" s="6">
        <v>729.96</v>
      </c>
      <c r="M434" s="6" t="s">
        <v>299</v>
      </c>
      <c r="N434" s="6" t="s">
        <v>326</v>
      </c>
    </row>
    <row r="435" spans="1:14" x14ac:dyDescent="0.3">
      <c r="A435" s="6">
        <v>9660002112</v>
      </c>
      <c r="B435" s="6">
        <v>2080</v>
      </c>
      <c r="C435" s="6" t="s">
        <v>432</v>
      </c>
      <c r="E435" s="6" t="s">
        <v>1522</v>
      </c>
      <c r="F435" s="12">
        <v>150000</v>
      </c>
      <c r="G435" s="6">
        <v>150000</v>
      </c>
      <c r="J435" s="12">
        <f>SUM(G435:I435)-F435</f>
        <v>0</v>
      </c>
      <c r="K435" s="14">
        <v>3.2000000000000003E-4</v>
      </c>
      <c r="L435" s="6">
        <v>48</v>
      </c>
      <c r="M435" s="6" t="s">
        <v>399</v>
      </c>
      <c r="N435" s="6" t="s">
        <v>433</v>
      </c>
    </row>
    <row r="436" spans="1:14" x14ac:dyDescent="0.3">
      <c r="A436" s="6">
        <v>9660002112</v>
      </c>
      <c r="B436" s="6">
        <v>2140</v>
      </c>
      <c r="C436" s="6" t="s">
        <v>444</v>
      </c>
      <c r="E436" s="6" t="s">
        <v>1528</v>
      </c>
      <c r="F436" s="12">
        <v>60000</v>
      </c>
      <c r="G436" s="6">
        <v>60000</v>
      </c>
      <c r="J436" s="12">
        <f>SUM(G436:I436)-F436</f>
        <v>0</v>
      </c>
      <c r="K436" s="14">
        <v>3.2000000000000003E-4</v>
      </c>
      <c r="L436" s="6">
        <v>19.2</v>
      </c>
      <c r="M436" s="6" t="s">
        <v>399</v>
      </c>
      <c r="N436" s="6" t="s">
        <v>445</v>
      </c>
    </row>
    <row r="437" spans="1:14" x14ac:dyDescent="0.3">
      <c r="A437" s="6">
        <v>9660002112</v>
      </c>
      <c r="B437" s="6">
        <v>2250</v>
      </c>
      <c r="C437" s="6" t="s">
        <v>466</v>
      </c>
      <c r="E437" s="6" t="s">
        <v>1539</v>
      </c>
      <c r="F437" s="12">
        <v>210000</v>
      </c>
      <c r="G437" s="6">
        <v>210000</v>
      </c>
      <c r="J437" s="12">
        <f>SUM(G437:I437)-F437</f>
        <v>0</v>
      </c>
      <c r="K437" s="14">
        <v>3.2000000000000003E-4</v>
      </c>
      <c r="L437" s="6">
        <v>67.2</v>
      </c>
      <c r="M437" s="6" t="s">
        <v>399</v>
      </c>
      <c r="N437" s="6" t="s">
        <v>467</v>
      </c>
    </row>
    <row r="438" spans="1:14" x14ac:dyDescent="0.3">
      <c r="A438" s="6">
        <v>9660002112</v>
      </c>
      <c r="B438" s="6">
        <v>2330</v>
      </c>
      <c r="C438" s="6" t="s">
        <v>482</v>
      </c>
      <c r="E438" s="6" t="s">
        <v>1547</v>
      </c>
      <c r="F438" s="12">
        <v>330000</v>
      </c>
      <c r="G438" s="6">
        <v>330000</v>
      </c>
      <c r="J438" s="12">
        <f>SUM(G438:I438)-F438</f>
        <v>0</v>
      </c>
      <c r="K438" s="14">
        <v>3.2000000000000003E-4</v>
      </c>
      <c r="L438" s="6">
        <v>105.6</v>
      </c>
      <c r="M438" s="6" t="s">
        <v>399</v>
      </c>
      <c r="N438" s="6" t="s">
        <v>483</v>
      </c>
    </row>
    <row r="439" spans="1:14" x14ac:dyDescent="0.3">
      <c r="A439" s="6">
        <v>9660002112</v>
      </c>
      <c r="B439" s="6">
        <v>2350</v>
      </c>
      <c r="C439" s="6" t="s">
        <v>486</v>
      </c>
      <c r="E439" s="6" t="s">
        <v>1549</v>
      </c>
      <c r="F439" s="12">
        <v>60000</v>
      </c>
      <c r="G439" s="6">
        <v>60000</v>
      </c>
      <c r="J439" s="12">
        <f>SUM(G439:I439)-F439</f>
        <v>0</v>
      </c>
      <c r="K439" s="14">
        <v>3.2000000000000003E-4</v>
      </c>
      <c r="L439" s="6">
        <v>19.2</v>
      </c>
      <c r="M439" s="6" t="s">
        <v>399</v>
      </c>
      <c r="N439" s="6" t="s">
        <v>487</v>
      </c>
    </row>
    <row r="440" spans="1:14" x14ac:dyDescent="0.3">
      <c r="A440" s="6">
        <v>9660002112</v>
      </c>
      <c r="B440" s="6">
        <v>2360</v>
      </c>
      <c r="C440" s="6" t="s">
        <v>488</v>
      </c>
      <c r="E440" s="6" t="s">
        <v>1550</v>
      </c>
      <c r="F440" s="12">
        <v>70000</v>
      </c>
      <c r="G440" s="6">
        <v>70000</v>
      </c>
      <c r="J440" s="12">
        <f>SUM(G440:I440)-F440</f>
        <v>0</v>
      </c>
      <c r="K440" s="14">
        <v>3.2000000000000003E-4</v>
      </c>
      <c r="L440" s="6">
        <v>22.4</v>
      </c>
      <c r="M440" s="6" t="s">
        <v>399</v>
      </c>
      <c r="N440" s="6" t="s">
        <v>489</v>
      </c>
    </row>
    <row r="441" spans="1:14" x14ac:dyDescent="0.3">
      <c r="A441" s="6">
        <v>9660002112</v>
      </c>
      <c r="B441" s="6">
        <v>2380</v>
      </c>
      <c r="C441" s="6" t="s">
        <v>492</v>
      </c>
      <c r="E441" s="6" t="s">
        <v>1552</v>
      </c>
      <c r="F441" s="12">
        <v>250000</v>
      </c>
      <c r="G441" s="6">
        <v>250000</v>
      </c>
      <c r="J441" s="12">
        <f>SUM(G441:I441)-F441</f>
        <v>0</v>
      </c>
      <c r="K441" s="14">
        <v>2.5000000000000001E-4</v>
      </c>
      <c r="L441" s="6">
        <v>62.5</v>
      </c>
      <c r="M441" s="6" t="s">
        <v>399</v>
      </c>
      <c r="N441" s="6" t="s">
        <v>493</v>
      </c>
    </row>
    <row r="442" spans="1:14" x14ac:dyDescent="0.3">
      <c r="A442" s="6">
        <v>9660002112</v>
      </c>
      <c r="B442" s="6">
        <v>2390</v>
      </c>
      <c r="C442" s="6" t="s">
        <v>494</v>
      </c>
      <c r="E442" s="6" t="s">
        <v>1553</v>
      </c>
      <c r="F442" s="12">
        <v>170000</v>
      </c>
      <c r="G442" s="6">
        <v>170000</v>
      </c>
      <c r="J442" s="12">
        <f>SUM(G442:I442)-F442</f>
        <v>0</v>
      </c>
      <c r="K442" s="14">
        <v>2.5000000000000001E-4</v>
      </c>
      <c r="L442" s="6">
        <v>42.5</v>
      </c>
      <c r="M442" s="6" t="s">
        <v>399</v>
      </c>
      <c r="N442" s="6" t="s">
        <v>495</v>
      </c>
    </row>
    <row r="443" spans="1:14" x14ac:dyDescent="0.3">
      <c r="A443" s="6">
        <v>9660002112</v>
      </c>
      <c r="B443" s="6">
        <v>2400</v>
      </c>
      <c r="C443" s="6" t="s">
        <v>496</v>
      </c>
      <c r="E443" s="6" t="s">
        <v>1554</v>
      </c>
      <c r="F443" s="12">
        <v>130000</v>
      </c>
      <c r="G443" s="6">
        <v>130000</v>
      </c>
      <c r="J443" s="12">
        <f>SUM(G443:I443)-F443</f>
        <v>0</v>
      </c>
      <c r="K443" s="14">
        <v>3.2000000000000003E-4</v>
      </c>
      <c r="L443" s="6">
        <v>41.6</v>
      </c>
      <c r="M443" s="6" t="s">
        <v>399</v>
      </c>
      <c r="N443" s="6" t="s">
        <v>497</v>
      </c>
    </row>
    <row r="444" spans="1:14" x14ac:dyDescent="0.3">
      <c r="A444" s="6">
        <v>9660002112</v>
      </c>
      <c r="B444" s="6">
        <v>2470</v>
      </c>
      <c r="C444" s="6" t="s">
        <v>510</v>
      </c>
      <c r="E444" s="6" t="s">
        <v>1561</v>
      </c>
      <c r="F444" s="12">
        <v>190000</v>
      </c>
      <c r="G444" s="6">
        <v>190000</v>
      </c>
      <c r="J444" s="12">
        <f>SUM(G444:I444)-F444</f>
        <v>0</v>
      </c>
      <c r="K444" s="14">
        <v>3.2000000000000003E-4</v>
      </c>
      <c r="L444" s="6">
        <v>60.8</v>
      </c>
      <c r="M444" s="6" t="s">
        <v>399</v>
      </c>
      <c r="N444" s="6" t="s">
        <v>511</v>
      </c>
    </row>
    <row r="445" spans="1:14" x14ac:dyDescent="0.3">
      <c r="A445" s="6">
        <v>9660002112</v>
      </c>
      <c r="B445" s="6">
        <v>2480</v>
      </c>
      <c r="C445" s="6" t="s">
        <v>512</v>
      </c>
      <c r="E445" s="6" t="s">
        <v>1562</v>
      </c>
      <c r="F445" s="12">
        <v>60000</v>
      </c>
      <c r="G445" s="6">
        <v>60000</v>
      </c>
      <c r="J445" s="12">
        <f>SUM(G445:I445)-F445</f>
        <v>0</v>
      </c>
      <c r="K445" s="14">
        <v>3.2000000000000003E-4</v>
      </c>
      <c r="L445" s="6">
        <v>19.2</v>
      </c>
      <c r="M445" s="6" t="s">
        <v>399</v>
      </c>
      <c r="N445" s="6" t="s">
        <v>513</v>
      </c>
    </row>
    <row r="446" spans="1:14" x14ac:dyDescent="0.3">
      <c r="A446" s="6">
        <v>9660002112</v>
      </c>
      <c r="B446" s="6">
        <v>2500</v>
      </c>
      <c r="C446" s="6" t="s">
        <v>516</v>
      </c>
      <c r="E446" s="6" t="s">
        <v>1564</v>
      </c>
      <c r="F446" s="12">
        <v>140000</v>
      </c>
      <c r="G446" s="6">
        <v>140000</v>
      </c>
      <c r="J446" s="12">
        <f>SUM(G446:I446)-F446</f>
        <v>0</v>
      </c>
      <c r="K446" s="14">
        <v>2.5000000000000001E-4</v>
      </c>
      <c r="L446" s="6">
        <v>35</v>
      </c>
      <c r="M446" s="6" t="s">
        <v>399</v>
      </c>
      <c r="N446" s="6" t="s">
        <v>517</v>
      </c>
    </row>
    <row r="447" spans="1:14" x14ac:dyDescent="0.3">
      <c r="A447" s="6">
        <v>9660002112</v>
      </c>
      <c r="B447" s="6">
        <v>2510</v>
      </c>
      <c r="C447" s="6" t="s">
        <v>518</v>
      </c>
      <c r="E447" s="6" t="s">
        <v>1565</v>
      </c>
      <c r="F447" s="12">
        <v>45000</v>
      </c>
      <c r="G447" s="6">
        <v>45000</v>
      </c>
      <c r="J447" s="12">
        <f>SUM(G447:I447)-F447</f>
        <v>0</v>
      </c>
      <c r="K447" s="14">
        <v>4.7999999999999996E-4</v>
      </c>
      <c r="L447" s="6">
        <v>21.6</v>
      </c>
      <c r="M447" s="6" t="s">
        <v>399</v>
      </c>
      <c r="N447" s="6" t="s">
        <v>519</v>
      </c>
    </row>
    <row r="448" spans="1:14" x14ac:dyDescent="0.3">
      <c r="A448" s="6">
        <v>9660002112</v>
      </c>
      <c r="B448" s="6">
        <v>4320</v>
      </c>
      <c r="C448" s="6" t="s">
        <v>880</v>
      </c>
      <c r="E448" s="6" t="s">
        <v>1746</v>
      </c>
      <c r="F448" s="12">
        <v>300000</v>
      </c>
      <c r="G448" s="6">
        <v>300000</v>
      </c>
      <c r="J448" s="12">
        <f>SUM(G448:I448)-F448</f>
        <v>0</v>
      </c>
      <c r="K448" s="14">
        <v>3.2000000000000003E-4</v>
      </c>
      <c r="L448" s="6">
        <v>96</v>
      </c>
      <c r="M448" s="6" t="s">
        <v>399</v>
      </c>
      <c r="N448" s="6" t="s">
        <v>881</v>
      </c>
    </row>
    <row r="449" spans="1:15" x14ac:dyDescent="0.3">
      <c r="A449" s="6">
        <v>9660002112</v>
      </c>
      <c r="B449" s="6">
        <v>4330</v>
      </c>
      <c r="C449" s="6" t="s">
        <v>882</v>
      </c>
      <c r="E449" s="6" t="s">
        <v>1747</v>
      </c>
      <c r="F449" s="12">
        <v>100000</v>
      </c>
      <c r="G449" s="6">
        <v>100000</v>
      </c>
      <c r="J449" s="12">
        <f>SUM(G449:I449)-F449</f>
        <v>0</v>
      </c>
      <c r="K449" s="14">
        <v>3.2000000000000003E-4</v>
      </c>
      <c r="L449" s="6">
        <v>32</v>
      </c>
      <c r="M449" s="6" t="s">
        <v>399</v>
      </c>
      <c r="N449" s="6" t="s">
        <v>883</v>
      </c>
    </row>
    <row r="450" spans="1:15" x14ac:dyDescent="0.3">
      <c r="A450" s="6">
        <v>9660002112</v>
      </c>
      <c r="B450" s="6">
        <v>4360</v>
      </c>
      <c r="C450" s="6" t="s">
        <v>888</v>
      </c>
      <c r="E450" s="6" t="s">
        <v>1750</v>
      </c>
      <c r="F450" s="12">
        <v>40000</v>
      </c>
      <c r="G450" s="6">
        <v>40000</v>
      </c>
      <c r="J450" s="12">
        <f>SUM(G450:I450)-F450</f>
        <v>0</v>
      </c>
      <c r="K450" s="14">
        <v>2.5000000000000001E-4</v>
      </c>
      <c r="L450" s="6">
        <v>10</v>
      </c>
      <c r="M450" s="6" t="s">
        <v>399</v>
      </c>
      <c r="N450" s="6" t="s">
        <v>889</v>
      </c>
    </row>
    <row r="451" spans="1:15" x14ac:dyDescent="0.3">
      <c r="A451" s="6">
        <v>9660002112</v>
      </c>
      <c r="B451" s="6">
        <v>4400</v>
      </c>
      <c r="C451" s="6" t="s">
        <v>896</v>
      </c>
      <c r="E451" s="6" t="s">
        <v>1754</v>
      </c>
      <c r="F451" s="12">
        <v>190000</v>
      </c>
      <c r="G451" s="6">
        <v>190000</v>
      </c>
      <c r="J451" s="12">
        <f>SUM(G451:I451)-F451</f>
        <v>0</v>
      </c>
      <c r="K451" s="14">
        <v>2.5000000000000001E-4</v>
      </c>
      <c r="L451" s="6">
        <v>47.5</v>
      </c>
      <c r="M451" s="6" t="s">
        <v>399</v>
      </c>
      <c r="N451" s="6" t="s">
        <v>897</v>
      </c>
    </row>
    <row r="452" spans="1:15" x14ac:dyDescent="0.3">
      <c r="A452" s="6">
        <v>9660002112</v>
      </c>
      <c r="B452" s="6">
        <v>4410</v>
      </c>
      <c r="C452" s="6" t="s">
        <v>898</v>
      </c>
      <c r="E452" s="6" t="s">
        <v>1755</v>
      </c>
      <c r="F452" s="12">
        <v>190000</v>
      </c>
      <c r="G452" s="6">
        <v>190000</v>
      </c>
      <c r="J452" s="12">
        <f>SUM(G452:I452)-F452</f>
        <v>0</v>
      </c>
      <c r="K452" s="14">
        <v>2.5000000000000001E-4</v>
      </c>
      <c r="L452" s="6">
        <v>47.5</v>
      </c>
      <c r="M452" s="6" t="s">
        <v>399</v>
      </c>
      <c r="N452" s="6" t="s">
        <v>899</v>
      </c>
    </row>
    <row r="453" spans="1:15" x14ac:dyDescent="0.3">
      <c r="A453" s="6">
        <v>9660002112</v>
      </c>
      <c r="B453" s="6">
        <v>4450</v>
      </c>
      <c r="C453" s="6" t="s">
        <v>906</v>
      </c>
      <c r="E453" s="6" t="s">
        <v>1759</v>
      </c>
      <c r="F453" s="12">
        <v>240000</v>
      </c>
      <c r="G453" s="6">
        <v>240000</v>
      </c>
      <c r="J453" s="12">
        <f>SUM(G453:I453)-F453</f>
        <v>0</v>
      </c>
      <c r="K453" s="14">
        <v>2.5000000000000001E-4</v>
      </c>
      <c r="L453" s="6">
        <v>60</v>
      </c>
      <c r="M453" s="6" t="s">
        <v>399</v>
      </c>
      <c r="N453" s="6" t="s">
        <v>907</v>
      </c>
    </row>
    <row r="454" spans="1:15" x14ac:dyDescent="0.3">
      <c r="A454" s="6">
        <v>9660002112</v>
      </c>
      <c r="B454" s="6">
        <v>4460</v>
      </c>
      <c r="C454" s="6" t="s">
        <v>908</v>
      </c>
      <c r="E454" s="6" t="s">
        <v>1760</v>
      </c>
      <c r="F454" s="12">
        <v>20000</v>
      </c>
      <c r="G454" s="6">
        <v>20000</v>
      </c>
      <c r="J454" s="12">
        <f>SUM(G454:I454)-F454</f>
        <v>0</v>
      </c>
      <c r="K454" s="14">
        <v>2.5000000000000001E-4</v>
      </c>
      <c r="L454" s="6">
        <v>5</v>
      </c>
      <c r="M454" s="6" t="s">
        <v>399</v>
      </c>
      <c r="N454" s="6" t="s">
        <v>909</v>
      </c>
    </row>
    <row r="455" spans="1:15" x14ac:dyDescent="0.3">
      <c r="A455" s="6">
        <v>9660002112</v>
      </c>
      <c r="B455" s="6">
        <v>4740</v>
      </c>
      <c r="C455" s="6" t="s">
        <v>965</v>
      </c>
      <c r="E455" s="6" t="s">
        <v>1788</v>
      </c>
      <c r="F455" s="12">
        <v>135000</v>
      </c>
      <c r="G455" s="6">
        <v>135000</v>
      </c>
      <c r="J455" s="12">
        <f>SUM(G455:I455)-F455</f>
        <v>0</v>
      </c>
      <c r="K455" s="14">
        <v>4.7999999999999996E-4</v>
      </c>
      <c r="L455" s="6">
        <v>64.8</v>
      </c>
      <c r="M455" s="6" t="s">
        <v>912</v>
      </c>
      <c r="N455" s="6" t="s">
        <v>966</v>
      </c>
    </row>
    <row r="456" spans="1:15" x14ac:dyDescent="0.3">
      <c r="A456" s="6">
        <v>9660002112</v>
      </c>
      <c r="B456" s="6">
        <v>4780</v>
      </c>
      <c r="C456" s="6" t="s">
        <v>973</v>
      </c>
      <c r="E456" s="6" t="s">
        <v>1792</v>
      </c>
      <c r="F456" s="12">
        <v>10000</v>
      </c>
      <c r="I456" s="6">
        <v>10000</v>
      </c>
      <c r="J456" s="12">
        <f>SUM(G456:I456)-F456</f>
        <v>0</v>
      </c>
      <c r="K456" s="14">
        <v>2.3400000000000001E-3</v>
      </c>
      <c r="L456" s="6">
        <v>23.4</v>
      </c>
      <c r="M456" s="6" t="s">
        <v>912</v>
      </c>
      <c r="N456" s="6" t="s">
        <v>974</v>
      </c>
    </row>
    <row r="457" spans="1:15" x14ac:dyDescent="0.3">
      <c r="A457" s="6">
        <v>9660002112</v>
      </c>
      <c r="B457" s="6">
        <v>4910</v>
      </c>
      <c r="C457" s="6" t="s">
        <v>999</v>
      </c>
      <c r="E457" s="6" t="s">
        <v>1805</v>
      </c>
      <c r="F457" s="12">
        <v>15000</v>
      </c>
      <c r="G457" s="6">
        <v>15000</v>
      </c>
      <c r="J457" s="12">
        <f>SUM(G457:I457)-F457</f>
        <v>0</v>
      </c>
      <c r="K457" s="14">
        <v>1.23E-3</v>
      </c>
      <c r="L457" s="6">
        <v>18.45</v>
      </c>
      <c r="M457" s="6" t="s">
        <v>912</v>
      </c>
      <c r="N457" s="6" t="s">
        <v>1000</v>
      </c>
    </row>
    <row r="458" spans="1:15" x14ac:dyDescent="0.3">
      <c r="A458" s="6">
        <v>9660002112</v>
      </c>
      <c r="B458" s="6">
        <v>4950</v>
      </c>
      <c r="C458" s="6" t="s">
        <v>1007</v>
      </c>
      <c r="E458" s="6" t="s">
        <v>1809</v>
      </c>
      <c r="F458" s="12">
        <v>336000</v>
      </c>
      <c r="G458" s="6">
        <v>336000</v>
      </c>
      <c r="J458" s="12">
        <f>SUM(G458:I458)-F458</f>
        <v>0</v>
      </c>
      <c r="K458" s="14">
        <v>5.2440000000000001E-2</v>
      </c>
      <c r="L458" s="14">
        <v>17619.84</v>
      </c>
      <c r="M458" s="6" t="s">
        <v>912</v>
      </c>
      <c r="N458" s="6" t="s">
        <v>1008</v>
      </c>
    </row>
    <row r="459" spans="1:15" x14ac:dyDescent="0.3">
      <c r="A459" s="6">
        <v>9660002112</v>
      </c>
      <c r="B459" s="6">
        <v>4960</v>
      </c>
      <c r="C459" s="6" t="s">
        <v>1009</v>
      </c>
      <c r="E459" s="6" t="s">
        <v>1810</v>
      </c>
      <c r="F459" s="12">
        <v>450000</v>
      </c>
      <c r="G459" s="6">
        <v>450000</v>
      </c>
      <c r="J459" s="12">
        <f>SUM(G459:I459)-F459</f>
        <v>0</v>
      </c>
      <c r="K459" s="14">
        <v>2.7000000000000001E-3</v>
      </c>
      <c r="L459" s="14">
        <v>1215</v>
      </c>
      <c r="M459" s="6" t="s">
        <v>912</v>
      </c>
      <c r="N459" s="6" t="s">
        <v>1010</v>
      </c>
    </row>
    <row r="460" spans="1:15" x14ac:dyDescent="0.3">
      <c r="A460" s="6">
        <v>9660002112</v>
      </c>
      <c r="B460" s="6">
        <v>5380</v>
      </c>
      <c r="C460" s="6" t="s">
        <v>1093</v>
      </c>
      <c r="E460" s="6" t="s">
        <v>1852</v>
      </c>
      <c r="F460" s="12">
        <v>90000</v>
      </c>
      <c r="G460" s="6">
        <v>90000</v>
      </c>
      <c r="J460" s="12">
        <f>SUM(G460:I460)-F460</f>
        <v>0</v>
      </c>
      <c r="K460" s="14">
        <v>4.7999999999999996E-4</v>
      </c>
      <c r="L460" s="6">
        <v>43.2</v>
      </c>
      <c r="M460" s="6" t="s">
        <v>912</v>
      </c>
      <c r="N460" s="6" t="s">
        <v>1094</v>
      </c>
    </row>
    <row r="461" spans="1:15" x14ac:dyDescent="0.3">
      <c r="A461" s="6">
        <v>9660002112</v>
      </c>
      <c r="B461" s="6">
        <v>1460</v>
      </c>
      <c r="C461" s="6" t="s">
        <v>302</v>
      </c>
      <c r="E461" s="6" t="s">
        <v>1460</v>
      </c>
      <c r="F461" s="12">
        <v>10000</v>
      </c>
      <c r="I461" s="6">
        <v>2000</v>
      </c>
      <c r="J461" s="12">
        <f>SUM(G461:I461)-F461</f>
        <v>-8000</v>
      </c>
      <c r="K461" s="14">
        <v>1.0800000000000001E-2</v>
      </c>
      <c r="L461" s="6">
        <v>108</v>
      </c>
      <c r="M461" s="6" t="s">
        <v>299</v>
      </c>
      <c r="N461" s="6" t="s">
        <v>303</v>
      </c>
      <c r="O461" s="13" t="s">
        <v>1996</v>
      </c>
    </row>
    <row r="462" spans="1:15" x14ac:dyDescent="0.3">
      <c r="A462" s="6">
        <v>9660002112</v>
      </c>
      <c r="B462" s="6">
        <v>10</v>
      </c>
      <c r="C462" s="6" t="s">
        <v>7</v>
      </c>
      <c r="E462" s="6" t="s">
        <v>1326</v>
      </c>
      <c r="F462" s="6">
        <v>680</v>
      </c>
      <c r="I462" s="6">
        <v>680</v>
      </c>
      <c r="J462" s="12">
        <f>SUM(G462:I462)-F462</f>
        <v>0</v>
      </c>
      <c r="K462" s="14">
        <v>3.71</v>
      </c>
      <c r="L462" s="14">
        <v>2522.8000000000002</v>
      </c>
      <c r="M462" s="6" t="s">
        <v>9</v>
      </c>
      <c r="N462" s="6" t="s">
        <v>8</v>
      </c>
    </row>
    <row r="463" spans="1:15" x14ac:dyDescent="0.3">
      <c r="A463" s="6">
        <v>9660002112</v>
      </c>
      <c r="B463" s="6">
        <v>4900</v>
      </c>
      <c r="C463" s="6" t="s">
        <v>997</v>
      </c>
      <c r="E463" s="6" t="s">
        <v>1804</v>
      </c>
      <c r="F463" s="12">
        <v>10000</v>
      </c>
      <c r="G463" s="6">
        <v>10000</v>
      </c>
      <c r="J463" s="12">
        <f>SUM(G463:I463)-F463</f>
        <v>0</v>
      </c>
      <c r="K463" s="14">
        <v>2.8600000000000001E-3</v>
      </c>
      <c r="L463" s="6">
        <v>28.6</v>
      </c>
      <c r="M463" s="6" t="s">
        <v>912</v>
      </c>
      <c r="N463" s="6" t="s">
        <v>998</v>
      </c>
    </row>
    <row r="464" spans="1:15" x14ac:dyDescent="0.3">
      <c r="A464" s="6">
        <v>9660002112</v>
      </c>
      <c r="B464" s="6">
        <v>1890</v>
      </c>
      <c r="C464" s="6" t="s">
        <v>393</v>
      </c>
      <c r="E464" s="6" t="s">
        <v>1503</v>
      </c>
      <c r="F464" s="12">
        <v>36000</v>
      </c>
      <c r="H464" s="6">
        <v>36000</v>
      </c>
      <c r="J464" s="12">
        <f>SUM(G464:I464)-F464</f>
        <v>0</v>
      </c>
      <c r="K464" s="14">
        <v>4.9500000000000004E-3</v>
      </c>
      <c r="L464" s="6">
        <v>178.2</v>
      </c>
      <c r="M464" s="6" t="s">
        <v>384</v>
      </c>
      <c r="N464" s="6" t="s">
        <v>394</v>
      </c>
    </row>
    <row r="465" spans="1:15" x14ac:dyDescent="0.3">
      <c r="A465" s="6">
        <v>9660002112</v>
      </c>
      <c r="B465" s="6">
        <v>430</v>
      </c>
      <c r="C465" s="6" t="s">
        <v>90</v>
      </c>
      <c r="E465" s="6" t="s">
        <v>1359</v>
      </c>
      <c r="F465" s="12">
        <v>4950</v>
      </c>
      <c r="G465" s="6">
        <v>4950</v>
      </c>
      <c r="J465" s="12">
        <f>SUM(G465:I465)-F465</f>
        <v>0</v>
      </c>
      <c r="K465" s="14">
        <v>0.45600000000000002</v>
      </c>
      <c r="L465" s="14">
        <v>2257.1999999999998</v>
      </c>
      <c r="M465" s="6" t="s">
        <v>80</v>
      </c>
      <c r="N465" s="6" t="s">
        <v>91</v>
      </c>
    </row>
    <row r="466" spans="1:15" x14ac:dyDescent="0.3">
      <c r="A466" s="6">
        <v>9660002112</v>
      </c>
      <c r="B466" s="6">
        <v>860</v>
      </c>
      <c r="C466" s="6" t="s">
        <v>180</v>
      </c>
      <c r="E466" s="6" t="s">
        <v>1401</v>
      </c>
      <c r="F466" s="12">
        <v>44100</v>
      </c>
      <c r="G466" s="6">
        <v>44100</v>
      </c>
      <c r="J466" s="12">
        <f>SUM(G466:I466)-F466</f>
        <v>0</v>
      </c>
      <c r="K466" s="14">
        <v>0.59499999999999997</v>
      </c>
      <c r="L466" s="14">
        <v>26239.5</v>
      </c>
      <c r="M466" s="6" t="s">
        <v>61</v>
      </c>
      <c r="N466" s="6" t="s">
        <v>181</v>
      </c>
    </row>
    <row r="467" spans="1:15" x14ac:dyDescent="0.3">
      <c r="A467" s="6">
        <v>9660002112</v>
      </c>
      <c r="B467" s="6">
        <v>1010</v>
      </c>
      <c r="C467" s="6" t="s">
        <v>211</v>
      </c>
      <c r="E467" s="6" t="s">
        <v>1416</v>
      </c>
      <c r="F467" s="12">
        <v>62500</v>
      </c>
      <c r="G467" s="6">
        <v>62500</v>
      </c>
      <c r="J467" s="12">
        <f>SUM(G467:I467)-F467</f>
        <v>0</v>
      </c>
      <c r="K467" s="14">
        <v>0.81899999999999995</v>
      </c>
      <c r="L467" s="14">
        <v>51187.5</v>
      </c>
      <c r="M467" s="6" t="s">
        <v>70</v>
      </c>
      <c r="N467" s="6" t="s">
        <v>212</v>
      </c>
    </row>
    <row r="468" spans="1:15" x14ac:dyDescent="0.3">
      <c r="A468" s="6">
        <v>9660002112</v>
      </c>
      <c r="B468" s="6">
        <v>870</v>
      </c>
      <c r="C468" s="6" t="s">
        <v>182</v>
      </c>
      <c r="E468" s="6" t="s">
        <v>1402</v>
      </c>
      <c r="F468" s="12">
        <v>42000</v>
      </c>
      <c r="G468" s="6">
        <v>42000</v>
      </c>
      <c r="J468" s="12">
        <f>SUM(G468:I468)-F468</f>
        <v>0</v>
      </c>
      <c r="K468" s="14">
        <v>0.12</v>
      </c>
      <c r="L468" s="14">
        <v>5040</v>
      </c>
      <c r="M468" s="6" t="s">
        <v>70</v>
      </c>
      <c r="N468" s="6" t="s">
        <v>183</v>
      </c>
    </row>
    <row r="469" spans="1:15" x14ac:dyDescent="0.3">
      <c r="A469" s="6">
        <v>9660002112</v>
      </c>
      <c r="B469" s="6">
        <v>950</v>
      </c>
      <c r="C469" s="6" t="s">
        <v>198</v>
      </c>
      <c r="E469" s="6" t="s">
        <v>1410</v>
      </c>
      <c r="F469" s="12">
        <v>2000</v>
      </c>
      <c r="G469" s="6">
        <v>2000</v>
      </c>
      <c r="J469" s="12">
        <f>SUM(G469:I469)-F469</f>
        <v>0</v>
      </c>
      <c r="K469" s="14">
        <v>0.78600000000000003</v>
      </c>
      <c r="L469" s="14">
        <v>1572</v>
      </c>
      <c r="M469" s="6" t="s">
        <v>42</v>
      </c>
      <c r="N469" s="6" t="s">
        <v>199</v>
      </c>
    </row>
    <row r="470" spans="1:15" x14ac:dyDescent="0.3">
      <c r="A470" s="6">
        <v>9660002112</v>
      </c>
      <c r="B470" s="6">
        <v>1500</v>
      </c>
      <c r="C470" s="6" t="s">
        <v>311</v>
      </c>
      <c r="E470" s="6" t="s">
        <v>1464</v>
      </c>
      <c r="F470" s="12">
        <v>10000</v>
      </c>
      <c r="I470" s="6">
        <v>3000</v>
      </c>
      <c r="J470" s="12">
        <f>SUM(G470:I470)-F470</f>
        <v>-7000</v>
      </c>
      <c r="K470" s="14">
        <v>5.5999999999999999E-3</v>
      </c>
      <c r="L470" s="6">
        <v>56</v>
      </c>
      <c r="M470" s="6" t="s">
        <v>299</v>
      </c>
      <c r="N470" s="6" t="s">
        <v>312</v>
      </c>
      <c r="O470" s="13" t="s">
        <v>1996</v>
      </c>
    </row>
    <row r="471" spans="1:15" x14ac:dyDescent="0.3">
      <c r="A471" s="16">
        <v>9660002112</v>
      </c>
      <c r="B471" s="16">
        <v>1770</v>
      </c>
      <c r="C471" s="16" t="s">
        <v>367</v>
      </c>
      <c r="D471" s="17"/>
      <c r="E471" s="17" t="s">
        <v>1491</v>
      </c>
      <c r="F471" s="18">
        <v>116000</v>
      </c>
      <c r="G471" s="17"/>
      <c r="H471" s="17"/>
      <c r="J471" s="18">
        <f>SUM(G471:I471)-F471</f>
        <v>-116000</v>
      </c>
      <c r="K471" s="19">
        <v>2.2749999999999999E-2</v>
      </c>
      <c r="L471" s="19">
        <v>2639</v>
      </c>
      <c r="M471" s="17" t="s">
        <v>369</v>
      </c>
      <c r="N471" s="17" t="s">
        <v>368</v>
      </c>
    </row>
    <row r="472" spans="1:15" x14ac:dyDescent="0.3">
      <c r="A472" s="6">
        <v>9660002112</v>
      </c>
      <c r="B472" s="6">
        <v>5510</v>
      </c>
      <c r="C472" s="6" t="s">
        <v>1120</v>
      </c>
      <c r="E472" s="6" t="s">
        <v>1865</v>
      </c>
      <c r="F472" s="12">
        <v>63000</v>
      </c>
      <c r="H472" s="6">
        <v>63000</v>
      </c>
      <c r="J472" s="12">
        <f>SUM(G472:I472)-F472</f>
        <v>0</v>
      </c>
      <c r="K472" s="14">
        <v>0.2054</v>
      </c>
      <c r="L472" s="14">
        <v>12940.2</v>
      </c>
      <c r="M472" s="6" t="s">
        <v>1101</v>
      </c>
      <c r="N472" s="6" t="s">
        <v>1121</v>
      </c>
    </row>
    <row r="473" spans="1:15" x14ac:dyDescent="0.3">
      <c r="A473" s="6">
        <v>9660002112</v>
      </c>
      <c r="B473" s="6">
        <v>6140</v>
      </c>
      <c r="C473" s="6" t="s">
        <v>1254</v>
      </c>
      <c r="E473" s="6" t="s">
        <v>1927</v>
      </c>
      <c r="F473" s="12">
        <v>30000</v>
      </c>
      <c r="G473" s="6">
        <v>30000</v>
      </c>
      <c r="J473" s="12">
        <f>SUM(G473:I473)-F473</f>
        <v>0</v>
      </c>
      <c r="K473" s="14">
        <v>1.8200000000000001E-2</v>
      </c>
      <c r="L473" s="6">
        <v>546</v>
      </c>
      <c r="M473" s="6" t="s">
        <v>89</v>
      </c>
      <c r="N473" s="6" t="s">
        <v>1255</v>
      </c>
    </row>
    <row r="474" spans="1:15" x14ac:dyDescent="0.3">
      <c r="A474" s="6">
        <v>9660002112</v>
      </c>
      <c r="B474" s="6">
        <v>6290</v>
      </c>
      <c r="C474" s="6" t="s">
        <v>1284</v>
      </c>
      <c r="E474" s="6" t="s">
        <v>1942</v>
      </c>
      <c r="F474" s="12">
        <v>63000</v>
      </c>
      <c r="G474" s="6">
        <v>63000</v>
      </c>
      <c r="J474" s="12">
        <f>SUM(G474:I474)-F474</f>
        <v>0</v>
      </c>
      <c r="K474" s="14">
        <v>1.677E-2</v>
      </c>
      <c r="L474" s="14">
        <v>1056.51</v>
      </c>
      <c r="M474" s="6" t="s">
        <v>80</v>
      </c>
      <c r="N474" s="6" t="s">
        <v>1285</v>
      </c>
    </row>
    <row r="475" spans="1:15" x14ac:dyDescent="0.3">
      <c r="A475" s="6">
        <v>9660002112</v>
      </c>
      <c r="B475" s="6">
        <v>6300</v>
      </c>
      <c r="C475" s="6" t="s">
        <v>1286</v>
      </c>
      <c r="E475" s="6" t="s">
        <v>1943</v>
      </c>
      <c r="F475" s="12">
        <v>3600</v>
      </c>
      <c r="G475" s="6">
        <v>3600</v>
      </c>
      <c r="J475" s="12">
        <f>SUM(G475:I475)-F475</f>
        <v>0</v>
      </c>
      <c r="K475" s="14">
        <v>6.6170000000000007E-2</v>
      </c>
      <c r="L475" s="6">
        <v>238.21</v>
      </c>
      <c r="M475" s="6" t="s">
        <v>80</v>
      </c>
      <c r="N475" s="6" t="s">
        <v>1287</v>
      </c>
    </row>
    <row r="476" spans="1:15" x14ac:dyDescent="0.3">
      <c r="A476" s="6">
        <v>9660002112</v>
      </c>
      <c r="B476" s="6">
        <v>5530</v>
      </c>
      <c r="C476" s="6" t="s">
        <v>1124</v>
      </c>
      <c r="E476" s="6" t="s">
        <v>1867</v>
      </c>
      <c r="F476" s="12">
        <v>3500</v>
      </c>
      <c r="G476" s="6">
        <v>3500</v>
      </c>
      <c r="J476" s="12">
        <f>SUM(G476:I476)-F476</f>
        <v>0</v>
      </c>
      <c r="K476" s="14">
        <v>9.2170000000000002E-2</v>
      </c>
      <c r="L476" s="6">
        <v>322.60000000000002</v>
      </c>
      <c r="M476" s="6" t="s">
        <v>1101</v>
      </c>
      <c r="N476" s="6" t="s">
        <v>1125</v>
      </c>
    </row>
    <row r="477" spans="1:15" x14ac:dyDescent="0.3">
      <c r="A477" s="6">
        <v>9660002112</v>
      </c>
      <c r="B477" s="6">
        <v>1410</v>
      </c>
      <c r="C477" s="6" t="s">
        <v>291</v>
      </c>
      <c r="E477" s="6" t="s">
        <v>1455</v>
      </c>
      <c r="F477" s="12">
        <v>6000</v>
      </c>
      <c r="G477" s="6">
        <v>6000</v>
      </c>
      <c r="J477" s="12">
        <f>SUM(G477:I477)-F477</f>
        <v>0</v>
      </c>
      <c r="K477" s="14">
        <v>0.4536</v>
      </c>
      <c r="L477" s="14">
        <v>2721.6</v>
      </c>
      <c r="M477" s="6" t="s">
        <v>70</v>
      </c>
      <c r="N477" s="6" t="s">
        <v>292</v>
      </c>
    </row>
    <row r="478" spans="1:15" x14ac:dyDescent="0.3">
      <c r="A478" s="6">
        <v>9660002112</v>
      </c>
      <c r="B478" s="6">
        <v>3320</v>
      </c>
      <c r="C478" s="6" t="s">
        <v>680</v>
      </c>
      <c r="E478" s="6" t="s">
        <v>1646</v>
      </c>
      <c r="F478" s="12">
        <v>17000</v>
      </c>
      <c r="I478" s="6">
        <v>16137</v>
      </c>
      <c r="J478" s="12"/>
      <c r="K478" s="14">
        <v>2.1000000000000001E-4</v>
      </c>
      <c r="L478" s="6">
        <v>3.57</v>
      </c>
      <c r="M478" s="6" t="s">
        <v>399</v>
      </c>
      <c r="N478" s="6" t="s">
        <v>681</v>
      </c>
      <c r="O478" s="13" t="s">
        <v>1997</v>
      </c>
    </row>
    <row r="479" spans="1:15" x14ac:dyDescent="0.3">
      <c r="A479" s="6">
        <v>9660002112</v>
      </c>
      <c r="B479" s="6">
        <v>110</v>
      </c>
      <c r="C479" s="6" t="s">
        <v>28</v>
      </c>
      <c r="E479" s="6" t="s">
        <v>1336</v>
      </c>
      <c r="F479" s="12">
        <v>16201</v>
      </c>
      <c r="G479" s="6">
        <v>9080</v>
      </c>
      <c r="H479" s="6">
        <v>7538</v>
      </c>
      <c r="I479" s="6">
        <v>480</v>
      </c>
      <c r="J479" s="12">
        <f>SUM(G479:I479)-F479</f>
        <v>897</v>
      </c>
      <c r="K479" s="14">
        <v>0.01</v>
      </c>
      <c r="L479" s="6">
        <v>162.01</v>
      </c>
      <c r="M479" s="6" t="s">
        <v>9</v>
      </c>
      <c r="N479" s="6" t="s">
        <v>29</v>
      </c>
    </row>
    <row r="480" spans="1:15" x14ac:dyDescent="0.3">
      <c r="A480" s="6">
        <v>9660002112</v>
      </c>
      <c r="B480" s="6">
        <v>3980</v>
      </c>
      <c r="C480" s="6" t="s">
        <v>812</v>
      </c>
      <c r="E480" s="6" t="s">
        <v>1712</v>
      </c>
      <c r="F480" s="12">
        <v>1000</v>
      </c>
      <c r="I480" s="6">
        <v>842</v>
      </c>
      <c r="J480" s="12"/>
      <c r="K480" s="14">
        <v>2.2000000000000001E-4</v>
      </c>
      <c r="L480" s="6">
        <v>0.22</v>
      </c>
      <c r="M480" s="6" t="s">
        <v>399</v>
      </c>
      <c r="N480" s="6" t="s">
        <v>813</v>
      </c>
      <c r="O480" s="13" t="s">
        <v>1997</v>
      </c>
    </row>
    <row r="481" spans="1:15" x14ac:dyDescent="0.3">
      <c r="A481" s="6">
        <v>9660002112</v>
      </c>
      <c r="B481" s="6">
        <v>80</v>
      </c>
      <c r="C481" s="6" t="s">
        <v>22</v>
      </c>
      <c r="E481" s="6" t="s">
        <v>1333</v>
      </c>
      <c r="F481" s="12">
        <v>15592</v>
      </c>
      <c r="G481" s="6">
        <v>9080</v>
      </c>
      <c r="H481" s="6">
        <v>7538</v>
      </c>
      <c r="J481" s="12">
        <f>SUM(G481:I481)-F481</f>
        <v>1026</v>
      </c>
      <c r="K481" s="14">
        <v>0.01</v>
      </c>
      <c r="L481" s="6">
        <v>155.91999999999999</v>
      </c>
      <c r="M481" s="6" t="s">
        <v>9</v>
      </c>
      <c r="N481" s="6" t="s">
        <v>23</v>
      </c>
    </row>
    <row r="482" spans="1:15" x14ac:dyDescent="0.3">
      <c r="A482" s="6">
        <v>9660002112</v>
      </c>
      <c r="B482" s="6">
        <v>670</v>
      </c>
      <c r="C482" s="6" t="s">
        <v>142</v>
      </c>
      <c r="E482" s="6" t="s">
        <v>1382</v>
      </c>
      <c r="F482" s="12">
        <v>3000</v>
      </c>
      <c r="G482" s="6">
        <v>3000</v>
      </c>
      <c r="J482" s="12">
        <f>SUM(G482:I482)-F482</f>
        <v>0</v>
      </c>
      <c r="K482" s="14">
        <v>2.2100000000000002E-2</v>
      </c>
      <c r="L482" s="6">
        <v>66.3</v>
      </c>
      <c r="M482" s="6" t="s">
        <v>139</v>
      </c>
      <c r="N482" s="6" t="s">
        <v>143</v>
      </c>
    </row>
    <row r="483" spans="1:15" x14ac:dyDescent="0.3">
      <c r="A483" s="6">
        <v>9660002112</v>
      </c>
      <c r="B483" s="6">
        <v>680</v>
      </c>
      <c r="C483" s="6" t="s">
        <v>144</v>
      </c>
      <c r="E483" s="6" t="s">
        <v>1383</v>
      </c>
      <c r="F483" s="12">
        <v>1500</v>
      </c>
      <c r="G483" s="6">
        <v>1500</v>
      </c>
      <c r="J483" s="12">
        <f>SUM(G483:I483)-F483</f>
        <v>0</v>
      </c>
      <c r="K483" s="14">
        <v>2.0669999999999997E-2</v>
      </c>
      <c r="L483" s="6">
        <v>31.01</v>
      </c>
      <c r="M483" s="6" t="s">
        <v>139</v>
      </c>
      <c r="N483" s="6" t="s">
        <v>145</v>
      </c>
    </row>
    <row r="484" spans="1:15" x14ac:dyDescent="0.3">
      <c r="A484" s="6">
        <v>9660002112</v>
      </c>
      <c r="B484" s="6">
        <v>1310</v>
      </c>
      <c r="C484" s="6" t="s">
        <v>271</v>
      </c>
      <c r="E484" s="6" t="s">
        <v>1446</v>
      </c>
      <c r="F484" s="12">
        <v>18000</v>
      </c>
      <c r="G484" s="6">
        <v>18000</v>
      </c>
      <c r="J484" s="12">
        <f>SUM(G484:I484)-F484</f>
        <v>0</v>
      </c>
      <c r="K484" s="14">
        <v>8.8400000000000006E-2</v>
      </c>
      <c r="L484" s="14">
        <v>1591.2</v>
      </c>
      <c r="M484" s="6" t="s">
        <v>70</v>
      </c>
      <c r="N484" s="6" t="s">
        <v>272</v>
      </c>
    </row>
    <row r="485" spans="1:15" x14ac:dyDescent="0.3">
      <c r="A485" s="6">
        <v>9660002112</v>
      </c>
      <c r="B485" s="6">
        <v>5720</v>
      </c>
      <c r="C485" s="6" t="s">
        <v>1164</v>
      </c>
      <c r="E485" s="6" t="s">
        <v>1886</v>
      </c>
      <c r="F485" s="12">
        <v>50000</v>
      </c>
      <c r="G485" s="6">
        <v>50000</v>
      </c>
      <c r="J485" s="12">
        <f>SUM(G485:I485)-F485</f>
        <v>0</v>
      </c>
      <c r="K485" s="14">
        <v>0.17419999999999999</v>
      </c>
      <c r="L485" s="14">
        <v>8710</v>
      </c>
      <c r="M485" s="6" t="s">
        <v>1130</v>
      </c>
      <c r="N485" s="6" t="s">
        <v>1165</v>
      </c>
    </row>
    <row r="486" spans="1:15" x14ac:dyDescent="0.3">
      <c r="A486" s="6">
        <v>9660002112</v>
      </c>
      <c r="B486" s="6">
        <v>1330</v>
      </c>
      <c r="C486" s="6" t="s">
        <v>275</v>
      </c>
      <c r="E486" s="6" t="s">
        <v>1448</v>
      </c>
      <c r="F486" s="12">
        <v>77500</v>
      </c>
      <c r="G486" s="6">
        <v>77500</v>
      </c>
      <c r="J486" s="12">
        <f>SUM(G486:I486)-F486</f>
        <v>0</v>
      </c>
      <c r="K486" s="14">
        <v>0.25480000000000003</v>
      </c>
      <c r="L486" s="14">
        <v>19747</v>
      </c>
      <c r="M486" s="6" t="s">
        <v>70</v>
      </c>
      <c r="N486" s="6" t="s">
        <v>276</v>
      </c>
    </row>
    <row r="487" spans="1:15" x14ac:dyDescent="0.3">
      <c r="A487" s="6">
        <v>9660002112</v>
      </c>
      <c r="B487" s="6">
        <v>5990</v>
      </c>
      <c r="C487" s="6" t="s">
        <v>1223</v>
      </c>
      <c r="D487" s="6" t="s">
        <v>1969</v>
      </c>
      <c r="E487" s="6" t="s">
        <v>1970</v>
      </c>
      <c r="F487" s="12">
        <v>4000</v>
      </c>
      <c r="I487" s="6">
        <v>4000</v>
      </c>
      <c r="J487" s="12">
        <f>SUM(G487:I487)-F487</f>
        <v>0</v>
      </c>
      <c r="K487" s="14">
        <v>1.6999999999999999E-3</v>
      </c>
      <c r="L487" s="6">
        <v>6.8</v>
      </c>
      <c r="M487" s="6" t="s">
        <v>1214</v>
      </c>
      <c r="N487" s="6" t="s">
        <v>1224</v>
      </c>
    </row>
    <row r="488" spans="1:15" x14ac:dyDescent="0.3">
      <c r="A488" s="6">
        <v>9660002112</v>
      </c>
      <c r="B488" s="6">
        <v>6310</v>
      </c>
      <c r="C488" s="6" t="s">
        <v>1288</v>
      </c>
      <c r="E488" s="6" t="s">
        <v>1944</v>
      </c>
      <c r="F488" s="12">
        <v>20000</v>
      </c>
      <c r="G488" s="6">
        <v>20000</v>
      </c>
      <c r="J488" s="12">
        <f>SUM(G488:I488)-F488</f>
        <v>0</v>
      </c>
      <c r="K488" s="14">
        <v>3.4839999999999996E-2</v>
      </c>
      <c r="L488" s="6">
        <v>696.8</v>
      </c>
      <c r="M488" s="6" t="s">
        <v>80</v>
      </c>
      <c r="N488" s="6" t="s">
        <v>1289</v>
      </c>
    </row>
    <row r="489" spans="1:15" x14ac:dyDescent="0.3">
      <c r="A489" s="6">
        <v>9660002112</v>
      </c>
      <c r="B489" s="6">
        <v>5450</v>
      </c>
      <c r="C489" s="6" t="s">
        <v>1998</v>
      </c>
      <c r="D489" s="6" t="s">
        <v>1991</v>
      </c>
      <c r="E489" s="6" t="s">
        <v>1990</v>
      </c>
      <c r="F489" s="12">
        <v>340000</v>
      </c>
      <c r="I489" s="6">
        <v>14000</v>
      </c>
      <c r="J489" s="12">
        <f>SUM(G489:I489)-F489</f>
        <v>-326000</v>
      </c>
      <c r="K489" s="14">
        <v>0.10161000000000001</v>
      </c>
      <c r="L489" s="14">
        <v>34547.4</v>
      </c>
      <c r="M489" s="6" t="s">
        <v>912</v>
      </c>
      <c r="N489" s="6" t="s">
        <v>1109</v>
      </c>
      <c r="O489" s="13" t="s">
        <v>1999</v>
      </c>
    </row>
    <row r="490" spans="1:15" x14ac:dyDescent="0.3">
      <c r="A490" s="6">
        <v>9660002112</v>
      </c>
      <c r="B490" s="6">
        <v>310</v>
      </c>
      <c r="C490" s="6" t="s">
        <v>63</v>
      </c>
      <c r="E490" s="6" t="s">
        <v>1348</v>
      </c>
      <c r="F490" s="12">
        <v>8000</v>
      </c>
      <c r="I490" s="6">
        <v>8000</v>
      </c>
      <c r="J490" s="12">
        <f>SUM(G490:I490)-F490</f>
        <v>0</v>
      </c>
      <c r="K490" s="14">
        <v>0.20799999999999999</v>
      </c>
      <c r="L490" s="14">
        <v>1664</v>
      </c>
      <c r="M490" s="6" t="s">
        <v>42</v>
      </c>
      <c r="N490" s="6" t="s">
        <v>58</v>
      </c>
    </row>
    <row r="491" spans="1:15" x14ac:dyDescent="0.3">
      <c r="A491" s="6">
        <v>9660002112</v>
      </c>
      <c r="B491" s="6">
        <v>270</v>
      </c>
      <c r="C491" s="6" t="s">
        <v>57</v>
      </c>
      <c r="E491" s="6" t="s">
        <v>1348</v>
      </c>
      <c r="F491" s="12">
        <v>34000</v>
      </c>
      <c r="I491" s="6">
        <v>34000</v>
      </c>
      <c r="J491" s="12">
        <f>SUM(G491:I491)-F491</f>
        <v>0</v>
      </c>
      <c r="K491" s="14">
        <v>0.20799999999999999</v>
      </c>
      <c r="L491" s="14">
        <v>7072</v>
      </c>
      <c r="M491" s="6" t="s">
        <v>42</v>
      </c>
      <c r="N491" s="6" t="s">
        <v>58</v>
      </c>
    </row>
    <row r="492" spans="1:15" x14ac:dyDescent="0.3">
      <c r="A492" s="6">
        <v>9660002112</v>
      </c>
      <c r="B492" s="6">
        <v>1470</v>
      </c>
      <c r="C492" s="6" t="s">
        <v>304</v>
      </c>
      <c r="E492" s="6" t="s">
        <v>1461</v>
      </c>
      <c r="F492" s="12">
        <v>75000</v>
      </c>
      <c r="G492" s="6">
        <v>75000</v>
      </c>
      <c r="J492" s="12">
        <f>SUM(G492:I492)-F492</f>
        <v>0</v>
      </c>
      <c r="K492" s="14">
        <v>1.32E-2</v>
      </c>
      <c r="L492" s="6">
        <v>990</v>
      </c>
      <c r="M492" s="6" t="s">
        <v>299</v>
      </c>
      <c r="N492" s="6" t="s">
        <v>305</v>
      </c>
    </row>
    <row r="493" spans="1:15" x14ac:dyDescent="0.3">
      <c r="A493" s="6">
        <v>9660002112</v>
      </c>
      <c r="B493" s="6">
        <v>1650</v>
      </c>
      <c r="C493" s="6" t="s">
        <v>341</v>
      </c>
      <c r="E493" s="6" t="s">
        <v>1479</v>
      </c>
      <c r="F493" s="12">
        <v>145000</v>
      </c>
      <c r="G493" s="6">
        <v>145000</v>
      </c>
      <c r="J493" s="12">
        <f>SUM(G493:I493)-F493</f>
        <v>0</v>
      </c>
      <c r="K493" s="14">
        <v>0.10680000000000001</v>
      </c>
      <c r="L493" s="14">
        <v>15486</v>
      </c>
      <c r="M493" s="6" t="s">
        <v>308</v>
      </c>
      <c r="N493" s="6" t="s">
        <v>342</v>
      </c>
    </row>
    <row r="494" spans="1:15" x14ac:dyDescent="0.3">
      <c r="A494" s="6">
        <v>9660002112</v>
      </c>
      <c r="B494" s="6">
        <v>1630</v>
      </c>
      <c r="C494" s="6" t="s">
        <v>337</v>
      </c>
      <c r="E494" s="6" t="s">
        <v>1477</v>
      </c>
      <c r="F494" s="12">
        <v>3000</v>
      </c>
      <c r="G494" s="6">
        <v>3000</v>
      </c>
      <c r="J494" s="12">
        <f>SUM(G494:I494)-F494</f>
        <v>0</v>
      </c>
      <c r="K494" s="14">
        <v>1.0920000000000001E-2</v>
      </c>
      <c r="L494" s="6">
        <v>32.76</v>
      </c>
      <c r="M494" s="6" t="s">
        <v>299</v>
      </c>
      <c r="N494" s="6" t="s">
        <v>338</v>
      </c>
    </row>
    <row r="495" spans="1:15" x14ac:dyDescent="0.3">
      <c r="A495" s="6">
        <v>9660002112</v>
      </c>
      <c r="B495" s="6">
        <v>1640</v>
      </c>
      <c r="C495" s="6" t="s">
        <v>339</v>
      </c>
      <c r="E495" s="6" t="s">
        <v>1478</v>
      </c>
      <c r="F495" s="12">
        <v>72000</v>
      </c>
      <c r="G495" s="6">
        <v>72000</v>
      </c>
      <c r="J495" s="12">
        <f>SUM(G495:I495)-F495</f>
        <v>0</v>
      </c>
      <c r="K495" s="14">
        <v>1.0920000000000001E-2</v>
      </c>
      <c r="L495" s="6">
        <v>786.24</v>
      </c>
      <c r="M495" s="6" t="s">
        <v>299</v>
      </c>
      <c r="N495" s="6" t="s">
        <v>340</v>
      </c>
    </row>
    <row r="496" spans="1:15" x14ac:dyDescent="0.3">
      <c r="A496" s="6">
        <v>9660002112</v>
      </c>
      <c r="B496" s="6">
        <v>1730</v>
      </c>
      <c r="C496" s="6" t="s">
        <v>357</v>
      </c>
      <c r="E496" s="6" t="s">
        <v>1487</v>
      </c>
      <c r="F496" s="12">
        <v>45000</v>
      </c>
      <c r="G496" s="6">
        <v>45000</v>
      </c>
      <c r="J496" s="12">
        <f>SUM(G496:I496)-F496</f>
        <v>0</v>
      </c>
      <c r="K496" s="14">
        <v>2.6039999999999997E-2</v>
      </c>
      <c r="L496" s="14">
        <v>1171.8</v>
      </c>
      <c r="M496" s="6" t="s">
        <v>359</v>
      </c>
      <c r="N496" s="6" t="s">
        <v>358</v>
      </c>
    </row>
    <row r="497" spans="1:14" x14ac:dyDescent="0.3">
      <c r="A497" s="6">
        <v>9660002112</v>
      </c>
      <c r="B497" s="6">
        <v>1740</v>
      </c>
      <c r="C497" s="6" t="s">
        <v>360</v>
      </c>
      <c r="E497" s="6" t="s">
        <v>1488</v>
      </c>
      <c r="F497" s="12">
        <v>35000</v>
      </c>
      <c r="G497" s="6">
        <v>35000</v>
      </c>
      <c r="J497" s="12">
        <f>SUM(G497:I497)-F497</f>
        <v>0</v>
      </c>
      <c r="K497" s="14">
        <v>8.9999999999999993E-3</v>
      </c>
      <c r="L497" s="6">
        <v>315</v>
      </c>
      <c r="M497" s="6" t="s">
        <v>362</v>
      </c>
      <c r="N497" s="6" t="s">
        <v>361</v>
      </c>
    </row>
    <row r="498" spans="1:14" x14ac:dyDescent="0.3">
      <c r="A498" s="6">
        <v>9660002112</v>
      </c>
      <c r="B498" s="6">
        <v>2160</v>
      </c>
      <c r="C498" s="6" t="s">
        <v>448</v>
      </c>
      <c r="E498" s="6" t="s">
        <v>1530</v>
      </c>
      <c r="F498" s="12">
        <v>90000</v>
      </c>
      <c r="H498" s="6">
        <v>90000</v>
      </c>
      <c r="J498" s="12">
        <f>SUM(G498:I498)-F498</f>
        <v>0</v>
      </c>
      <c r="K498" s="14">
        <v>2.2000000000000001E-4</v>
      </c>
      <c r="L498" s="6">
        <v>19.8</v>
      </c>
      <c r="M498" s="6" t="s">
        <v>399</v>
      </c>
      <c r="N498" s="6" t="s">
        <v>449</v>
      </c>
    </row>
    <row r="499" spans="1:14" x14ac:dyDescent="0.3">
      <c r="A499" s="6">
        <v>9660002112</v>
      </c>
      <c r="B499" s="6">
        <v>2590</v>
      </c>
      <c r="C499" s="6" t="s">
        <v>534</v>
      </c>
      <c r="E499" s="6" t="s">
        <v>1573</v>
      </c>
      <c r="F499" s="12">
        <v>40000</v>
      </c>
      <c r="G499" s="6">
        <v>40000</v>
      </c>
      <c r="J499" s="12">
        <f>SUM(G499:I499)-F499</f>
        <v>0</v>
      </c>
      <c r="K499" s="14">
        <v>6.7999999999999994E-4</v>
      </c>
      <c r="L499" s="6">
        <v>27.2</v>
      </c>
      <c r="M499" s="6" t="s">
        <v>399</v>
      </c>
      <c r="N499" s="6" t="s">
        <v>535</v>
      </c>
    </row>
    <row r="500" spans="1:14" x14ac:dyDescent="0.3">
      <c r="A500" s="6">
        <v>9660002112</v>
      </c>
      <c r="B500" s="6">
        <v>3150</v>
      </c>
      <c r="C500" s="6" t="s">
        <v>646</v>
      </c>
      <c r="E500" s="6" t="s">
        <v>1629</v>
      </c>
      <c r="F500" s="12">
        <v>10000</v>
      </c>
      <c r="G500" s="6">
        <v>10000</v>
      </c>
      <c r="J500" s="12">
        <f>SUM(G500:I500)-F500</f>
        <v>0</v>
      </c>
      <c r="K500" s="14">
        <v>2.2000000000000001E-4</v>
      </c>
      <c r="L500" s="6">
        <v>2.2000000000000002</v>
      </c>
      <c r="M500" s="6" t="s">
        <v>399</v>
      </c>
      <c r="N500" s="6" t="s">
        <v>647</v>
      </c>
    </row>
    <row r="501" spans="1:14" x14ac:dyDescent="0.3">
      <c r="A501" s="6">
        <v>9660002112</v>
      </c>
      <c r="B501" s="6">
        <v>4600</v>
      </c>
      <c r="C501" s="6" t="s">
        <v>937</v>
      </c>
      <c r="E501" s="6" t="s">
        <v>1774</v>
      </c>
      <c r="F501" s="12">
        <v>105000</v>
      </c>
      <c r="G501" s="6">
        <v>105000</v>
      </c>
      <c r="J501" s="12">
        <f>SUM(G501:I501)-F501</f>
        <v>0</v>
      </c>
      <c r="K501" s="14">
        <v>4.7000000000000004E-4</v>
      </c>
      <c r="L501" s="6">
        <v>49.35</v>
      </c>
      <c r="M501" s="6" t="s">
        <v>912</v>
      </c>
      <c r="N501" s="6" t="s">
        <v>938</v>
      </c>
    </row>
    <row r="502" spans="1:14" x14ac:dyDescent="0.3">
      <c r="A502" s="6">
        <v>9660002112</v>
      </c>
      <c r="B502" s="6">
        <v>4770</v>
      </c>
      <c r="C502" s="6" t="s">
        <v>971</v>
      </c>
      <c r="E502" s="6" t="s">
        <v>1791</v>
      </c>
      <c r="F502" s="12">
        <v>40000</v>
      </c>
      <c r="G502" s="6">
        <v>40000</v>
      </c>
      <c r="J502" s="12">
        <f>SUM(G502:I502)-F502</f>
        <v>0</v>
      </c>
      <c r="K502" s="14">
        <v>2.5999999999999999E-3</v>
      </c>
      <c r="L502" s="6">
        <v>104</v>
      </c>
      <c r="M502" s="6" t="s">
        <v>912</v>
      </c>
      <c r="N502" s="6" t="s">
        <v>972</v>
      </c>
    </row>
    <row r="503" spans="1:14" x14ac:dyDescent="0.3">
      <c r="A503" s="6">
        <v>9660002112</v>
      </c>
      <c r="B503" s="6">
        <v>1700</v>
      </c>
      <c r="C503" s="6" t="s">
        <v>351</v>
      </c>
      <c r="E503" s="6" t="s">
        <v>1484</v>
      </c>
      <c r="F503" s="12">
        <v>204000</v>
      </c>
      <c r="G503" s="6">
        <v>204000</v>
      </c>
      <c r="J503" s="12">
        <f>SUM(G503:I503)-F503</f>
        <v>0</v>
      </c>
      <c r="K503" s="14">
        <v>8.8400000000000006E-3</v>
      </c>
      <c r="L503" s="14">
        <v>1803.36</v>
      </c>
      <c r="M503" s="6" t="s">
        <v>299</v>
      </c>
      <c r="N503" s="6" t="s">
        <v>352</v>
      </c>
    </row>
    <row r="504" spans="1:14" x14ac:dyDescent="0.3">
      <c r="A504" s="6">
        <v>9660002112</v>
      </c>
      <c r="B504" s="6">
        <v>50</v>
      </c>
      <c r="C504" s="6" t="s">
        <v>16</v>
      </c>
      <c r="E504" s="6" t="s">
        <v>1330</v>
      </c>
      <c r="F504" s="12">
        <v>6518</v>
      </c>
      <c r="H504" s="6">
        <v>6538</v>
      </c>
      <c r="J504" s="12">
        <f>SUM(G504:I504)-F504</f>
        <v>20</v>
      </c>
      <c r="K504" s="14">
        <v>17.873760000000001</v>
      </c>
      <c r="L504" s="14">
        <v>116501.17</v>
      </c>
      <c r="M504" s="6" t="s">
        <v>9</v>
      </c>
      <c r="N504" s="6" t="s">
        <v>17</v>
      </c>
    </row>
    <row r="505" spans="1:14" x14ac:dyDescent="0.3">
      <c r="A505" s="6">
        <v>9660002112</v>
      </c>
      <c r="B505" s="6">
        <v>1960</v>
      </c>
      <c r="C505" s="6" t="s">
        <v>408</v>
      </c>
      <c r="E505" s="6" t="s">
        <v>1510</v>
      </c>
      <c r="F505" s="12">
        <v>10000</v>
      </c>
      <c r="G505" s="6">
        <v>10000</v>
      </c>
      <c r="J505" s="12">
        <f>SUM(G505:I505)-F505</f>
        <v>0</v>
      </c>
      <c r="K505" s="14">
        <v>2.2000000000000001E-4</v>
      </c>
      <c r="L505" s="6">
        <v>2.2000000000000002</v>
      </c>
      <c r="M505" s="6" t="s">
        <v>399</v>
      </c>
      <c r="N505" s="6" t="s">
        <v>409</v>
      </c>
    </row>
    <row r="506" spans="1:14" x14ac:dyDescent="0.3">
      <c r="A506" s="6">
        <v>9660002112</v>
      </c>
      <c r="B506" s="6">
        <v>3300</v>
      </c>
      <c r="C506" s="6" t="s">
        <v>676</v>
      </c>
      <c r="E506" s="6" t="s">
        <v>1644</v>
      </c>
      <c r="F506" s="12">
        <v>10000</v>
      </c>
      <c r="G506" s="6">
        <v>10000</v>
      </c>
      <c r="J506" s="12">
        <f>SUM(G506:I506)-F506</f>
        <v>0</v>
      </c>
      <c r="K506" s="14">
        <v>2.2000000000000001E-4</v>
      </c>
      <c r="L506" s="6">
        <v>2.2000000000000002</v>
      </c>
      <c r="M506" s="6" t="s">
        <v>399</v>
      </c>
      <c r="N506" s="6" t="s">
        <v>677</v>
      </c>
    </row>
    <row r="507" spans="1:14" x14ac:dyDescent="0.3">
      <c r="A507" s="6">
        <v>9660002112</v>
      </c>
      <c r="B507" s="6">
        <v>4870</v>
      </c>
      <c r="C507" s="6" t="s">
        <v>991</v>
      </c>
      <c r="E507" s="6" t="s">
        <v>1801</v>
      </c>
      <c r="F507" s="12">
        <v>15000</v>
      </c>
      <c r="G507" s="6">
        <v>15000</v>
      </c>
      <c r="J507" s="12">
        <f>SUM(G507:I507)-F507</f>
        <v>0</v>
      </c>
      <c r="K507" s="14">
        <v>4.7000000000000004E-4</v>
      </c>
      <c r="L507" s="6">
        <v>7.05</v>
      </c>
      <c r="M507" s="6" t="s">
        <v>912</v>
      </c>
      <c r="N507" s="6" t="s">
        <v>992</v>
      </c>
    </row>
    <row r="508" spans="1:14" x14ac:dyDescent="0.3">
      <c r="A508" s="6">
        <v>9660002112</v>
      </c>
      <c r="B508" s="6">
        <v>5540</v>
      </c>
      <c r="C508" s="6" t="s">
        <v>1126</v>
      </c>
      <c r="E508" s="6" t="s">
        <v>1868</v>
      </c>
      <c r="F508" s="12">
        <v>175000</v>
      </c>
      <c r="H508" s="6">
        <v>175000</v>
      </c>
      <c r="J508" s="12">
        <f>SUM(G508:I508)-F508</f>
        <v>0</v>
      </c>
      <c r="K508" s="14">
        <v>0.12155000000000001</v>
      </c>
      <c r="L508" s="14">
        <v>21271.25</v>
      </c>
      <c r="M508" s="6" t="s">
        <v>1101</v>
      </c>
      <c r="N508" s="6" t="s">
        <v>1127</v>
      </c>
    </row>
    <row r="509" spans="1:14" x14ac:dyDescent="0.3">
      <c r="A509" s="6">
        <v>9660002112</v>
      </c>
      <c r="B509" s="6">
        <v>5610</v>
      </c>
      <c r="C509" s="6" t="s">
        <v>1141</v>
      </c>
      <c r="E509" s="6" t="s">
        <v>1875</v>
      </c>
      <c r="F509" s="12">
        <v>9000</v>
      </c>
      <c r="G509" s="6">
        <v>9000</v>
      </c>
      <c r="J509" s="12">
        <f>SUM(G509:I509)-F509</f>
        <v>0</v>
      </c>
      <c r="K509" s="14">
        <v>2.145E-2</v>
      </c>
      <c r="L509" s="6">
        <v>193.05</v>
      </c>
      <c r="M509" s="6" t="s">
        <v>1143</v>
      </c>
      <c r="N509" s="6" t="s">
        <v>1142</v>
      </c>
    </row>
    <row r="510" spans="1:14" x14ac:dyDescent="0.3">
      <c r="A510" s="6">
        <v>9660002112</v>
      </c>
      <c r="B510" s="6">
        <v>5890</v>
      </c>
      <c r="C510" s="6" t="s">
        <v>1200</v>
      </c>
      <c r="E510" s="6" t="s">
        <v>1903</v>
      </c>
      <c r="F510" s="12">
        <v>65000</v>
      </c>
      <c r="G510" s="6">
        <v>65000</v>
      </c>
      <c r="J510" s="12">
        <f>SUM(G510:I510)-F510</f>
        <v>0</v>
      </c>
      <c r="K510" s="14">
        <v>0.156</v>
      </c>
      <c r="L510" s="14">
        <v>10140</v>
      </c>
      <c r="M510" s="6" t="s">
        <v>1202</v>
      </c>
      <c r="N510" s="6" t="s">
        <v>1201</v>
      </c>
    </row>
    <row r="511" spans="1:14" x14ac:dyDescent="0.3">
      <c r="A511" s="6">
        <v>9660002112</v>
      </c>
      <c r="B511" s="6">
        <v>70</v>
      </c>
      <c r="C511" s="6" t="s">
        <v>20</v>
      </c>
      <c r="E511" s="6" t="s">
        <v>1332</v>
      </c>
      <c r="F511" s="6">
        <v>986</v>
      </c>
      <c r="H511" s="6">
        <v>1000</v>
      </c>
      <c r="J511" s="12">
        <f>SUM(G511:I511)-F511</f>
        <v>14</v>
      </c>
      <c r="K511" s="14">
        <v>15.739000000000001</v>
      </c>
      <c r="L511" s="14">
        <v>15518.65</v>
      </c>
      <c r="M511" s="6" t="s">
        <v>9</v>
      </c>
      <c r="N511" s="6" t="s">
        <v>21</v>
      </c>
    </row>
    <row r="512" spans="1:14" x14ac:dyDescent="0.3">
      <c r="A512" s="6">
        <v>9660002112</v>
      </c>
      <c r="B512" s="6">
        <v>1250</v>
      </c>
      <c r="C512" s="6" t="s">
        <v>259</v>
      </c>
      <c r="E512" s="6" t="s">
        <v>1440</v>
      </c>
      <c r="F512" s="12">
        <v>2500</v>
      </c>
      <c r="G512" s="6">
        <v>2500</v>
      </c>
      <c r="J512" s="12">
        <f>SUM(G512:I512)-F512</f>
        <v>0</v>
      </c>
      <c r="K512" s="14">
        <v>0.624</v>
      </c>
      <c r="L512" s="14">
        <v>1560</v>
      </c>
      <c r="M512" s="6" t="s">
        <v>70</v>
      </c>
      <c r="N512" s="6" t="s">
        <v>260</v>
      </c>
    </row>
    <row r="513" spans="1:14" x14ac:dyDescent="0.3">
      <c r="A513" s="6">
        <v>9660002112</v>
      </c>
      <c r="B513" s="6">
        <v>3620</v>
      </c>
      <c r="C513" s="6" t="s">
        <v>740</v>
      </c>
      <c r="E513" s="6" t="s">
        <v>1676</v>
      </c>
      <c r="F513" s="12">
        <v>10000</v>
      </c>
      <c r="G513" s="6">
        <v>10000</v>
      </c>
      <c r="J513" s="12">
        <f>SUM(G513:I513)-F513</f>
        <v>0</v>
      </c>
      <c r="K513" s="14">
        <v>2.2000000000000001E-4</v>
      </c>
      <c r="L513" s="6">
        <v>2.2000000000000002</v>
      </c>
      <c r="M513" s="6" t="s">
        <v>399</v>
      </c>
      <c r="N513" s="6" t="s">
        <v>741</v>
      </c>
    </row>
    <row r="514" spans="1:14" x14ac:dyDescent="0.3">
      <c r="A514" s="6">
        <v>9660002112</v>
      </c>
      <c r="B514" s="6">
        <v>60</v>
      </c>
      <c r="C514" s="6" t="s">
        <v>18</v>
      </c>
      <c r="E514" s="6" t="s">
        <v>1331</v>
      </c>
      <c r="F514" s="12">
        <v>9080</v>
      </c>
      <c r="G514" s="6">
        <v>9080</v>
      </c>
      <c r="J514" s="12">
        <f>SUM(G514:I514)-F514</f>
        <v>0</v>
      </c>
      <c r="K514" s="14">
        <v>8.2336799999999997</v>
      </c>
      <c r="L514" s="14">
        <v>74761.81</v>
      </c>
      <c r="M514" s="6" t="s">
        <v>9</v>
      </c>
      <c r="N514" s="6" t="s">
        <v>19</v>
      </c>
    </row>
    <row r="515" spans="1:14" x14ac:dyDescent="0.3">
      <c r="A515" s="6">
        <v>9660002112</v>
      </c>
      <c r="B515" s="6">
        <v>230</v>
      </c>
      <c r="C515" s="6" t="s">
        <v>52</v>
      </c>
      <c r="E515" s="6" t="s">
        <v>1345</v>
      </c>
      <c r="F515" s="12">
        <v>2000</v>
      </c>
      <c r="I515" s="6">
        <v>2000</v>
      </c>
      <c r="J515" s="12">
        <f>SUM(G515:I515)-F515</f>
        <v>0</v>
      </c>
      <c r="K515" s="14">
        <v>0.20799999999999999</v>
      </c>
      <c r="L515" s="6">
        <v>416</v>
      </c>
      <c r="M515" s="6" t="s">
        <v>42</v>
      </c>
      <c r="N515" s="6" t="s">
        <v>48</v>
      </c>
    </row>
    <row r="516" spans="1:14" x14ac:dyDescent="0.3">
      <c r="A516" s="6">
        <v>9660002112</v>
      </c>
      <c r="B516" s="6">
        <v>200</v>
      </c>
      <c r="C516" s="6" t="s">
        <v>47</v>
      </c>
      <c r="E516" s="6" t="s">
        <v>1345</v>
      </c>
      <c r="F516" s="12">
        <v>4000</v>
      </c>
      <c r="I516" s="6">
        <v>4000</v>
      </c>
      <c r="J516" s="12">
        <f>SUM(G516:I516)-F516</f>
        <v>0</v>
      </c>
      <c r="K516" s="14">
        <v>0.20799999999999999</v>
      </c>
      <c r="L516" s="6">
        <v>832</v>
      </c>
      <c r="M516" s="6" t="s">
        <v>42</v>
      </c>
      <c r="N516" s="6" t="s">
        <v>48</v>
      </c>
    </row>
    <row r="517" spans="1:14" x14ac:dyDescent="0.3">
      <c r="A517" s="6">
        <v>9660002112</v>
      </c>
      <c r="B517" s="6">
        <v>240</v>
      </c>
      <c r="C517" s="6" t="s">
        <v>53</v>
      </c>
      <c r="E517" s="6" t="s">
        <v>1344</v>
      </c>
      <c r="F517" s="12">
        <v>2000</v>
      </c>
      <c r="I517" s="6">
        <v>2000</v>
      </c>
      <c r="J517" s="12">
        <f>SUM(G517:I517)-F517</f>
        <v>0</v>
      </c>
      <c r="K517" s="14">
        <v>0.28599999999999998</v>
      </c>
      <c r="L517" s="6">
        <v>572</v>
      </c>
      <c r="M517" s="6" t="s">
        <v>42</v>
      </c>
      <c r="N517" s="6" t="s">
        <v>46</v>
      </c>
    </row>
    <row r="518" spans="1:14" x14ac:dyDescent="0.3">
      <c r="A518" s="6">
        <v>9660002112</v>
      </c>
      <c r="B518" s="6">
        <v>190</v>
      </c>
      <c r="C518" s="6" t="s">
        <v>45</v>
      </c>
      <c r="E518" s="6" t="s">
        <v>1344</v>
      </c>
      <c r="F518" s="12">
        <v>12000</v>
      </c>
      <c r="I518" s="6">
        <v>12000</v>
      </c>
      <c r="J518" s="12">
        <f>SUM(G518:I518)-F518</f>
        <v>0</v>
      </c>
      <c r="K518" s="14">
        <v>0.28599999999999998</v>
      </c>
      <c r="L518" s="14">
        <v>3432</v>
      </c>
      <c r="M518" s="6" t="s">
        <v>42</v>
      </c>
      <c r="N518" s="6" t="s">
        <v>46</v>
      </c>
    </row>
    <row r="519" spans="1:14" x14ac:dyDescent="0.3">
      <c r="A519" s="6">
        <v>9660002112</v>
      </c>
      <c r="B519" s="6">
        <v>220</v>
      </c>
      <c r="C519" s="6" t="s">
        <v>51</v>
      </c>
      <c r="E519" s="6" t="s">
        <v>1344</v>
      </c>
      <c r="F519" s="12">
        <v>4000</v>
      </c>
      <c r="I519" s="6">
        <v>4000</v>
      </c>
      <c r="J519" s="12">
        <f>SUM(G519:I519)-F519</f>
        <v>0</v>
      </c>
      <c r="K519" s="14">
        <v>0.28599999999999998</v>
      </c>
      <c r="L519" s="14">
        <v>1144</v>
      </c>
      <c r="M519" s="6" t="s">
        <v>42</v>
      </c>
      <c r="N519" s="6" t="s">
        <v>46</v>
      </c>
    </row>
    <row r="520" spans="1:14" x14ac:dyDescent="0.3">
      <c r="A520" s="6">
        <v>9660002112</v>
      </c>
      <c r="B520" s="6">
        <v>1340</v>
      </c>
      <c r="C520" s="6" t="s">
        <v>277</v>
      </c>
      <c r="E520" s="6" t="s">
        <v>1449</v>
      </c>
      <c r="F520" s="12">
        <v>15000</v>
      </c>
      <c r="G520" s="6">
        <v>15000</v>
      </c>
      <c r="J520" s="12">
        <f>SUM(G520:I520)-F520</f>
        <v>0</v>
      </c>
      <c r="K520" s="14">
        <v>0.17419999999999999</v>
      </c>
      <c r="L520" s="14">
        <v>2613</v>
      </c>
      <c r="M520" s="6" t="s">
        <v>70</v>
      </c>
      <c r="N520" s="6" t="s">
        <v>278</v>
      </c>
    </row>
    <row r="521" spans="1:14" x14ac:dyDescent="0.3">
      <c r="A521" s="6">
        <v>9660002112</v>
      </c>
      <c r="B521" s="6">
        <v>1370</v>
      </c>
      <c r="C521" s="6" t="s">
        <v>283</v>
      </c>
      <c r="E521" s="6" t="s">
        <v>1451</v>
      </c>
      <c r="F521" s="12">
        <v>12000</v>
      </c>
      <c r="H521" s="6">
        <v>12000</v>
      </c>
      <c r="J521" s="12">
        <f>SUM(G521:I521)-F521</f>
        <v>0</v>
      </c>
      <c r="K521" s="14">
        <v>1.105</v>
      </c>
      <c r="L521" s="14">
        <v>13260</v>
      </c>
      <c r="M521" s="6" t="s">
        <v>70</v>
      </c>
      <c r="N521" s="6" t="s">
        <v>284</v>
      </c>
    </row>
    <row r="522" spans="1:14" x14ac:dyDescent="0.3">
      <c r="A522" s="6">
        <v>9660002112</v>
      </c>
      <c r="B522" s="6">
        <v>1900</v>
      </c>
      <c r="C522" s="6" t="s">
        <v>395</v>
      </c>
      <c r="E522" s="6" t="s">
        <v>1504</v>
      </c>
      <c r="F522" s="12">
        <v>15000</v>
      </c>
      <c r="G522" s="6">
        <v>15000</v>
      </c>
      <c r="J522" s="12">
        <f>SUM(G522:I522)-F522</f>
        <v>0</v>
      </c>
      <c r="K522" s="14">
        <v>6.0000000000000001E-3</v>
      </c>
      <c r="L522" s="6">
        <v>90</v>
      </c>
      <c r="M522" s="6" t="s">
        <v>384</v>
      </c>
      <c r="N522" s="6" t="s">
        <v>396</v>
      </c>
    </row>
    <row r="523" spans="1:14" x14ac:dyDescent="0.3">
      <c r="A523" s="6">
        <v>9660002112</v>
      </c>
      <c r="B523" s="6">
        <v>2010</v>
      </c>
      <c r="C523" s="6" t="s">
        <v>418</v>
      </c>
      <c r="E523" s="6" t="s">
        <v>1515</v>
      </c>
      <c r="F523" s="12">
        <v>30000</v>
      </c>
      <c r="G523" s="6">
        <v>30000</v>
      </c>
      <c r="J523" s="12">
        <f>SUM(G523:I523)-F523</f>
        <v>0</v>
      </c>
      <c r="K523" s="14">
        <v>3.8999999999999999E-4</v>
      </c>
      <c r="L523" s="6">
        <v>11.7</v>
      </c>
      <c r="M523" s="6" t="s">
        <v>399</v>
      </c>
      <c r="N523" s="6" t="s">
        <v>419</v>
      </c>
    </row>
    <row r="524" spans="1:14" x14ac:dyDescent="0.3">
      <c r="A524" s="6">
        <v>9660002112</v>
      </c>
      <c r="B524" s="6">
        <v>2020</v>
      </c>
      <c r="C524" s="6" t="s">
        <v>420</v>
      </c>
      <c r="E524" s="6" t="s">
        <v>1516</v>
      </c>
      <c r="F524" s="12">
        <v>20000</v>
      </c>
      <c r="G524" s="6">
        <v>20000</v>
      </c>
      <c r="J524" s="12">
        <f>SUM(G524:I524)-F524</f>
        <v>0</v>
      </c>
      <c r="K524" s="14">
        <v>3.8999999999999999E-4</v>
      </c>
      <c r="L524" s="6">
        <v>7.8</v>
      </c>
      <c r="M524" s="6" t="s">
        <v>399</v>
      </c>
      <c r="N524" s="6" t="s">
        <v>421</v>
      </c>
    </row>
    <row r="525" spans="1:14" x14ac:dyDescent="0.3">
      <c r="A525" s="6">
        <v>9660002112</v>
      </c>
      <c r="B525" s="6">
        <v>2340</v>
      </c>
      <c r="C525" s="6" t="s">
        <v>484</v>
      </c>
      <c r="E525" s="6" t="s">
        <v>1548</v>
      </c>
      <c r="F525" s="12">
        <v>30000</v>
      </c>
      <c r="G525" s="6">
        <v>30000</v>
      </c>
      <c r="J525" s="12">
        <f>SUM(G525:I525)-F525</f>
        <v>0</v>
      </c>
      <c r="K525" s="14">
        <v>2.9999999999999997E-4</v>
      </c>
      <c r="L525" s="6">
        <v>9</v>
      </c>
      <c r="M525" s="6" t="s">
        <v>399</v>
      </c>
      <c r="N525" s="6" t="s">
        <v>485</v>
      </c>
    </row>
    <row r="526" spans="1:14" x14ac:dyDescent="0.3">
      <c r="A526" s="6">
        <v>9660002112</v>
      </c>
      <c r="B526" s="6">
        <v>2370</v>
      </c>
      <c r="C526" s="6" t="s">
        <v>490</v>
      </c>
      <c r="E526" s="6" t="s">
        <v>1551</v>
      </c>
      <c r="F526" s="12">
        <v>20000</v>
      </c>
      <c r="G526" s="6">
        <v>20000</v>
      </c>
      <c r="J526" s="12">
        <f>SUM(G526:I526)-F526</f>
        <v>0</v>
      </c>
      <c r="K526" s="14">
        <v>3.1E-4</v>
      </c>
      <c r="L526" s="6">
        <v>6.2</v>
      </c>
      <c r="M526" s="6" t="s">
        <v>399</v>
      </c>
      <c r="N526" s="6" t="s">
        <v>491</v>
      </c>
    </row>
    <row r="527" spans="1:14" x14ac:dyDescent="0.3">
      <c r="A527" s="6">
        <v>9660002112</v>
      </c>
      <c r="B527" s="6">
        <v>2430</v>
      </c>
      <c r="C527" s="6" t="s">
        <v>502</v>
      </c>
      <c r="E527" s="6" t="s">
        <v>1557</v>
      </c>
      <c r="F527" s="12">
        <v>480000</v>
      </c>
      <c r="G527" s="6">
        <v>480000</v>
      </c>
      <c r="J527" s="12">
        <f>SUM(G527:I527)-F527</f>
        <v>0</v>
      </c>
      <c r="K527" s="14">
        <v>5.2000000000000006E-4</v>
      </c>
      <c r="L527" s="6">
        <v>249.6</v>
      </c>
      <c r="M527" s="6" t="s">
        <v>399</v>
      </c>
      <c r="N527" s="6" t="s">
        <v>503</v>
      </c>
    </row>
    <row r="528" spans="1:14" x14ac:dyDescent="0.3">
      <c r="A528" s="6">
        <v>9660002112</v>
      </c>
      <c r="B528" s="6">
        <v>2440</v>
      </c>
      <c r="C528" s="6" t="s">
        <v>504</v>
      </c>
      <c r="E528" s="6" t="s">
        <v>1558</v>
      </c>
      <c r="F528" s="12">
        <v>50000</v>
      </c>
      <c r="G528" s="6">
        <v>50000</v>
      </c>
      <c r="J528" s="12">
        <f>SUM(G528:I528)-F528</f>
        <v>0</v>
      </c>
      <c r="K528" s="14">
        <v>2.9999999999999997E-4</v>
      </c>
      <c r="L528" s="6">
        <v>15</v>
      </c>
      <c r="M528" s="6" t="s">
        <v>399</v>
      </c>
      <c r="N528" s="6" t="s">
        <v>505</v>
      </c>
    </row>
    <row r="529" spans="1:15" x14ac:dyDescent="0.3">
      <c r="A529" s="6">
        <v>9660002112</v>
      </c>
      <c r="B529" s="6">
        <v>2530</v>
      </c>
      <c r="C529" s="6" t="s">
        <v>522</v>
      </c>
      <c r="E529" s="6" t="s">
        <v>1567</v>
      </c>
      <c r="F529" s="12">
        <v>20000</v>
      </c>
      <c r="I529" s="6">
        <v>20000</v>
      </c>
      <c r="J529" s="12">
        <f>SUM(G529:I529)-F529</f>
        <v>0</v>
      </c>
      <c r="K529" s="14">
        <v>2.9999999999999997E-4</v>
      </c>
      <c r="L529" s="6">
        <v>6</v>
      </c>
      <c r="M529" s="6" t="s">
        <v>399</v>
      </c>
      <c r="N529" s="6" t="s">
        <v>523</v>
      </c>
    </row>
    <row r="530" spans="1:15" x14ac:dyDescent="0.3">
      <c r="A530" s="6">
        <v>9660002112</v>
      </c>
      <c r="B530" s="6">
        <v>2540</v>
      </c>
      <c r="C530" s="6" t="s">
        <v>524</v>
      </c>
      <c r="E530" s="6" t="s">
        <v>1568</v>
      </c>
      <c r="F530" s="12">
        <v>70000</v>
      </c>
      <c r="G530" s="6">
        <v>70000</v>
      </c>
      <c r="J530" s="12">
        <f>SUM(G530:I530)-F530</f>
        <v>0</v>
      </c>
      <c r="K530" s="14">
        <v>5.1999999999999998E-3</v>
      </c>
      <c r="L530" s="6">
        <v>364</v>
      </c>
      <c r="M530" s="6" t="s">
        <v>399</v>
      </c>
      <c r="N530" s="6" t="s">
        <v>525</v>
      </c>
    </row>
    <row r="531" spans="1:15" x14ac:dyDescent="0.3">
      <c r="A531" s="6">
        <v>9660002112</v>
      </c>
      <c r="B531" s="6">
        <v>4310</v>
      </c>
      <c r="C531" s="6" t="s">
        <v>878</v>
      </c>
      <c r="E531" s="6" t="s">
        <v>1745</v>
      </c>
      <c r="F531" s="12">
        <v>40000</v>
      </c>
      <c r="G531" s="6">
        <v>40000</v>
      </c>
      <c r="J531" s="12">
        <f>SUM(G531:I531)-F531</f>
        <v>0</v>
      </c>
      <c r="K531" s="14">
        <v>3.8999999999999999E-4</v>
      </c>
      <c r="L531" s="6">
        <v>15.6</v>
      </c>
      <c r="M531" s="6" t="s">
        <v>399</v>
      </c>
      <c r="N531" s="6" t="s">
        <v>879</v>
      </c>
    </row>
    <row r="532" spans="1:15" x14ac:dyDescent="0.3">
      <c r="A532" s="6">
        <v>9660002112</v>
      </c>
      <c r="B532" s="6">
        <v>4340</v>
      </c>
      <c r="C532" s="6" t="s">
        <v>884</v>
      </c>
      <c r="E532" s="6" t="s">
        <v>1748</v>
      </c>
      <c r="F532" s="12">
        <v>20000</v>
      </c>
      <c r="G532" s="6">
        <v>20000</v>
      </c>
      <c r="J532" s="12">
        <f>SUM(G532:I532)-F532</f>
        <v>0</v>
      </c>
      <c r="K532" s="14">
        <v>3.8999999999999999E-4</v>
      </c>
      <c r="L532" s="6">
        <v>7.8</v>
      </c>
      <c r="M532" s="6" t="s">
        <v>399</v>
      </c>
      <c r="N532" s="6" t="s">
        <v>885</v>
      </c>
    </row>
    <row r="533" spans="1:15" x14ac:dyDescent="0.3">
      <c r="A533" s="6">
        <v>9660002112</v>
      </c>
      <c r="B533" s="6">
        <v>4430</v>
      </c>
      <c r="C533" s="6" t="s">
        <v>902</v>
      </c>
      <c r="E533" s="6" t="s">
        <v>1757</v>
      </c>
      <c r="F533" s="12">
        <v>120000</v>
      </c>
      <c r="G533" s="6">
        <v>120000</v>
      </c>
      <c r="J533" s="12">
        <f>SUM(G533:I533)-F533</f>
        <v>0</v>
      </c>
      <c r="K533" s="14">
        <v>2.9999999999999997E-4</v>
      </c>
      <c r="L533" s="6">
        <v>36</v>
      </c>
      <c r="M533" s="6" t="s">
        <v>399</v>
      </c>
      <c r="N533" s="6" t="s">
        <v>903</v>
      </c>
    </row>
    <row r="534" spans="1:15" x14ac:dyDescent="0.3">
      <c r="A534" s="6">
        <v>9660002112</v>
      </c>
      <c r="B534" s="6">
        <v>4440</v>
      </c>
      <c r="C534" s="6" t="s">
        <v>904</v>
      </c>
      <c r="E534" s="6" t="s">
        <v>1758</v>
      </c>
      <c r="F534" s="12">
        <v>20000</v>
      </c>
      <c r="I534" s="6">
        <v>20000</v>
      </c>
      <c r="J534" s="12">
        <f>SUM(G534:I534)-F534</f>
        <v>0</v>
      </c>
      <c r="K534" s="14">
        <v>2.9999999999999997E-4</v>
      </c>
      <c r="L534" s="6">
        <v>6</v>
      </c>
      <c r="M534" s="6" t="s">
        <v>399</v>
      </c>
      <c r="N534" s="6" t="s">
        <v>905</v>
      </c>
    </row>
    <row r="535" spans="1:15" x14ac:dyDescent="0.3">
      <c r="A535" s="6">
        <v>9660002112</v>
      </c>
      <c r="B535" s="6">
        <v>4480</v>
      </c>
      <c r="C535" s="6" t="s">
        <v>913</v>
      </c>
      <c r="E535" s="6" t="s">
        <v>1762</v>
      </c>
      <c r="F535" s="12">
        <v>165000</v>
      </c>
      <c r="G535" s="6">
        <v>165000</v>
      </c>
      <c r="J535" s="12">
        <f>SUM(G535:I535)-F535</f>
        <v>0</v>
      </c>
      <c r="K535" s="14">
        <v>5.0999999999999993E-4</v>
      </c>
      <c r="L535" s="6">
        <v>84.15</v>
      </c>
      <c r="M535" s="6" t="s">
        <v>912</v>
      </c>
      <c r="N535" s="6" t="s">
        <v>914</v>
      </c>
    </row>
    <row r="536" spans="1:15" x14ac:dyDescent="0.3">
      <c r="A536" s="6">
        <v>9660002112</v>
      </c>
      <c r="B536" s="6">
        <v>4580</v>
      </c>
      <c r="C536" s="6" t="s">
        <v>933</v>
      </c>
      <c r="E536" s="6" t="s">
        <v>1772</v>
      </c>
      <c r="F536" s="12">
        <v>225000</v>
      </c>
      <c r="G536" s="6">
        <v>225000</v>
      </c>
      <c r="J536" s="12">
        <f>SUM(G536:I536)-F536</f>
        <v>0</v>
      </c>
      <c r="K536" s="14">
        <v>5.5000000000000003E-4</v>
      </c>
      <c r="L536" s="6">
        <v>123.75</v>
      </c>
      <c r="M536" s="6" t="s">
        <v>912</v>
      </c>
      <c r="N536" s="6" t="s">
        <v>934</v>
      </c>
    </row>
    <row r="537" spans="1:15" x14ac:dyDescent="0.3">
      <c r="A537" s="6">
        <v>9660002112</v>
      </c>
      <c r="B537" s="6">
        <v>4640</v>
      </c>
      <c r="C537" s="6" t="s">
        <v>945</v>
      </c>
      <c r="E537" s="6" t="s">
        <v>1778</v>
      </c>
      <c r="F537" s="12">
        <v>90000</v>
      </c>
      <c r="G537" s="6">
        <v>90000</v>
      </c>
      <c r="J537" s="12">
        <f>SUM(G537:I537)-F537</f>
        <v>0</v>
      </c>
      <c r="K537" s="14">
        <v>5.2000000000000006E-4</v>
      </c>
      <c r="L537" s="6">
        <v>46.8</v>
      </c>
      <c r="M537" s="6" t="s">
        <v>912</v>
      </c>
      <c r="N537" s="6" t="s">
        <v>946</v>
      </c>
    </row>
    <row r="538" spans="1:15" x14ac:dyDescent="0.3">
      <c r="A538" s="6">
        <v>9660002112</v>
      </c>
      <c r="B538" s="6">
        <v>4880</v>
      </c>
      <c r="C538" s="6" t="s">
        <v>993</v>
      </c>
      <c r="E538" s="6" t="s">
        <v>1802</v>
      </c>
      <c r="F538" s="12">
        <v>465000</v>
      </c>
      <c r="G538" s="6">
        <v>465000</v>
      </c>
      <c r="J538" s="12">
        <f>SUM(G538:I538)-F538</f>
        <v>0</v>
      </c>
      <c r="K538" s="14">
        <v>3.0600000000000002E-3</v>
      </c>
      <c r="L538" s="14">
        <v>1422.9</v>
      </c>
      <c r="M538" s="6" t="s">
        <v>912</v>
      </c>
      <c r="N538" s="6" t="s">
        <v>994</v>
      </c>
    </row>
    <row r="539" spans="1:15" x14ac:dyDescent="0.3">
      <c r="A539" s="6">
        <v>9660002112</v>
      </c>
      <c r="B539" s="6">
        <v>4920</v>
      </c>
      <c r="C539" s="6" t="s">
        <v>1001</v>
      </c>
      <c r="E539" s="6" t="s">
        <v>1806</v>
      </c>
      <c r="F539" s="12">
        <v>21000</v>
      </c>
      <c r="G539" s="6">
        <v>21000</v>
      </c>
      <c r="J539" s="12">
        <f>SUM(G539:I539)-F539</f>
        <v>0</v>
      </c>
      <c r="K539" s="14">
        <v>1.14E-2</v>
      </c>
      <c r="L539" s="6">
        <v>239.4</v>
      </c>
      <c r="M539" s="6" t="s">
        <v>912</v>
      </c>
      <c r="N539" s="6" t="s">
        <v>1002</v>
      </c>
    </row>
    <row r="540" spans="1:15" x14ac:dyDescent="0.3">
      <c r="A540" s="6">
        <v>9660002112</v>
      </c>
      <c r="B540" s="6">
        <v>4990</v>
      </c>
      <c r="C540" s="6" t="s">
        <v>1015</v>
      </c>
      <c r="E540" s="6" t="s">
        <v>1813</v>
      </c>
      <c r="F540" s="12">
        <v>270000</v>
      </c>
      <c r="I540" s="6">
        <v>270000</v>
      </c>
      <c r="J540" s="12">
        <f>SUM(G540:I540)-F540</f>
        <v>0</v>
      </c>
      <c r="K540" s="14">
        <v>1.898E-2</v>
      </c>
      <c r="L540" s="14">
        <v>5124.6000000000004</v>
      </c>
      <c r="M540" s="6" t="s">
        <v>912</v>
      </c>
      <c r="N540" s="6" t="s">
        <v>1016</v>
      </c>
    </row>
    <row r="541" spans="1:15" x14ac:dyDescent="0.3">
      <c r="A541" s="6">
        <v>9660002112</v>
      </c>
      <c r="B541" s="6">
        <v>5000</v>
      </c>
      <c r="C541" s="6" t="s">
        <v>1017</v>
      </c>
      <c r="E541" s="6" t="s">
        <v>1814</v>
      </c>
      <c r="F541" s="12">
        <v>190000</v>
      </c>
      <c r="G541" s="6">
        <v>190000</v>
      </c>
      <c r="J541" s="12">
        <f>SUM(G541:I541)-F541</f>
        <v>0</v>
      </c>
      <c r="K541" s="14">
        <v>2.5090000000000001E-2</v>
      </c>
      <c r="L541" s="14">
        <v>4767.1000000000004</v>
      </c>
      <c r="M541" s="6" t="s">
        <v>912</v>
      </c>
      <c r="N541" s="6" t="s">
        <v>1018</v>
      </c>
    </row>
    <row r="542" spans="1:15" x14ac:dyDescent="0.3">
      <c r="A542" s="6">
        <v>9660002112</v>
      </c>
      <c r="B542" s="6">
        <v>5680</v>
      </c>
      <c r="C542" s="6" t="s">
        <v>1156</v>
      </c>
      <c r="E542" s="6" t="s">
        <v>1882</v>
      </c>
      <c r="F542" s="12">
        <v>60000</v>
      </c>
      <c r="G542" s="6">
        <v>60000</v>
      </c>
      <c r="J542" s="12">
        <f>SUM(G542:I542)-F542</f>
        <v>0</v>
      </c>
      <c r="K542" s="14">
        <v>1.7940000000000001E-2</v>
      </c>
      <c r="L542" s="14">
        <v>1076.4000000000001</v>
      </c>
      <c r="M542" s="6" t="s">
        <v>1130</v>
      </c>
      <c r="N542" s="6" t="s">
        <v>1157</v>
      </c>
    </row>
    <row r="543" spans="1:15" x14ac:dyDescent="0.3">
      <c r="A543" s="6">
        <v>9660002112</v>
      </c>
      <c r="B543" s="6">
        <v>5460</v>
      </c>
      <c r="C543" s="6" t="s">
        <v>1110</v>
      </c>
      <c r="E543" s="6" t="s">
        <v>1860</v>
      </c>
      <c r="F543" s="12">
        <v>1000</v>
      </c>
      <c r="J543" s="12"/>
      <c r="K543" s="14">
        <v>9.2170000000000002E-2</v>
      </c>
      <c r="L543" s="6">
        <v>92.17</v>
      </c>
      <c r="M543" s="6" t="s">
        <v>1101</v>
      </c>
      <c r="N543" s="6" t="s">
        <v>1111</v>
      </c>
      <c r="O543" s="13" t="s">
        <v>2000</v>
      </c>
    </row>
    <row r="544" spans="1:15" x14ac:dyDescent="0.3">
      <c r="A544" s="6">
        <v>9660002112</v>
      </c>
      <c r="B544" s="6">
        <v>6490</v>
      </c>
      <c r="C544" s="15" t="s">
        <v>1965</v>
      </c>
      <c r="D544" s="15"/>
      <c r="E544" s="15" t="s">
        <v>1966</v>
      </c>
      <c r="F544" s="6">
        <v>18000</v>
      </c>
      <c r="H544" s="6">
        <v>18000</v>
      </c>
      <c r="J544" s="12">
        <f>SUM(G544:I544)-F544</f>
        <v>0</v>
      </c>
    </row>
    <row r="545" spans="1:15" x14ac:dyDescent="0.3">
      <c r="A545" s="6">
        <v>9660002112</v>
      </c>
      <c r="B545" s="6">
        <v>5780</v>
      </c>
      <c r="C545" s="6" t="s">
        <v>1176</v>
      </c>
      <c r="E545" s="6" t="s">
        <v>1892</v>
      </c>
      <c r="F545" s="12">
        <v>10000</v>
      </c>
      <c r="J545" s="12"/>
      <c r="K545" s="14">
        <v>4.3680000000000004E-2</v>
      </c>
      <c r="L545" s="6">
        <v>436.8</v>
      </c>
      <c r="M545" s="6" t="s">
        <v>1130</v>
      </c>
      <c r="N545" s="6" t="s">
        <v>1177</v>
      </c>
      <c r="O545" s="13" t="s">
        <v>2001</v>
      </c>
    </row>
    <row r="546" spans="1:15" x14ac:dyDescent="0.3">
      <c r="A546" s="6">
        <v>9660002112</v>
      </c>
      <c r="B546" s="6">
        <v>5840</v>
      </c>
      <c r="C546" s="6" t="s">
        <v>1188</v>
      </c>
      <c r="E546" s="6" t="s">
        <v>1898</v>
      </c>
      <c r="F546" s="12">
        <v>39000</v>
      </c>
      <c r="H546" s="6">
        <v>6000</v>
      </c>
      <c r="J546" s="12">
        <f>SUM(G546:I546)-F546</f>
        <v>-33000</v>
      </c>
      <c r="K546" s="14">
        <v>4.0639999999999996E-2</v>
      </c>
      <c r="L546" s="14">
        <v>1584.96</v>
      </c>
      <c r="M546" s="6" t="s">
        <v>1190</v>
      </c>
      <c r="N546" s="6" t="s">
        <v>1189</v>
      </c>
      <c r="O546" s="13" t="s">
        <v>2002</v>
      </c>
    </row>
    <row r="547" spans="1:15" x14ac:dyDescent="0.3">
      <c r="A547" s="6">
        <v>9660002112</v>
      </c>
      <c r="B547" s="6">
        <v>1750</v>
      </c>
      <c r="C547" s="6" t="s">
        <v>363</v>
      </c>
      <c r="E547" s="6" t="s">
        <v>1489</v>
      </c>
      <c r="F547" s="12">
        <v>36000</v>
      </c>
      <c r="H547" s="6">
        <v>36000</v>
      </c>
      <c r="J547" s="12">
        <f>SUM(G547:I547)-F547</f>
        <v>0</v>
      </c>
      <c r="K547" s="14">
        <v>2.7689999999999999E-2</v>
      </c>
      <c r="L547" s="6">
        <v>996.84</v>
      </c>
      <c r="M547" s="6" t="s">
        <v>362</v>
      </c>
      <c r="N547" s="6" t="s">
        <v>364</v>
      </c>
    </row>
    <row r="548" spans="1:15" x14ac:dyDescent="0.3">
      <c r="A548" s="6">
        <v>9660002112</v>
      </c>
      <c r="B548" s="6">
        <v>1760</v>
      </c>
      <c r="C548" s="6" t="s">
        <v>365</v>
      </c>
      <c r="E548" s="6" t="s">
        <v>1490</v>
      </c>
      <c r="F548" s="12">
        <v>336000</v>
      </c>
      <c r="H548" s="6">
        <v>336000</v>
      </c>
      <c r="J548" s="12">
        <f>SUM(G548:I548)-F548</f>
        <v>0</v>
      </c>
      <c r="K548" s="14">
        <v>2.7689999999999999E-2</v>
      </c>
      <c r="L548" s="14">
        <v>9303.84</v>
      </c>
      <c r="M548" s="6" t="s">
        <v>362</v>
      </c>
      <c r="N548" s="6" t="s">
        <v>366</v>
      </c>
    </row>
    <row r="549" spans="1:15" x14ac:dyDescent="0.3">
      <c r="A549" s="6">
        <v>9660002112</v>
      </c>
      <c r="B549" s="6">
        <v>1040</v>
      </c>
      <c r="C549" s="6" t="s">
        <v>217</v>
      </c>
      <c r="E549" s="6" t="s">
        <v>1419</v>
      </c>
      <c r="F549" s="12">
        <v>42000</v>
      </c>
      <c r="G549" s="6">
        <v>42000</v>
      </c>
      <c r="J549" s="12">
        <f>SUM(G549:I549)-F549</f>
        <v>0</v>
      </c>
      <c r="K549" s="14">
        <v>0.55652999999999997</v>
      </c>
      <c r="L549" s="14">
        <v>23374.26</v>
      </c>
      <c r="M549" s="6" t="s">
        <v>70</v>
      </c>
      <c r="N549" s="6" t="s">
        <v>218</v>
      </c>
    </row>
    <row r="550" spans="1:15" x14ac:dyDescent="0.3">
      <c r="A550" s="6">
        <v>9660002112</v>
      </c>
      <c r="B550" s="6">
        <v>1050</v>
      </c>
      <c r="C550" s="6" t="s">
        <v>219</v>
      </c>
      <c r="E550" s="6" t="s">
        <v>1420</v>
      </c>
      <c r="F550" s="12">
        <v>24000</v>
      </c>
      <c r="G550" s="6">
        <v>24000</v>
      </c>
      <c r="J550" s="12">
        <f>SUM(G550:I550)-F550</f>
        <v>0</v>
      </c>
      <c r="K550" s="14">
        <v>0.55652999999999997</v>
      </c>
      <c r="L550" s="14">
        <v>13356.72</v>
      </c>
      <c r="M550" s="6" t="s">
        <v>70</v>
      </c>
      <c r="N550" s="6" t="s">
        <v>220</v>
      </c>
    </row>
    <row r="551" spans="1:15" x14ac:dyDescent="0.3">
      <c r="A551" s="6">
        <v>9660002112</v>
      </c>
      <c r="B551" s="6">
        <v>1290</v>
      </c>
      <c r="C551" s="6" t="s">
        <v>267</v>
      </c>
      <c r="E551" s="6" t="s">
        <v>1444</v>
      </c>
      <c r="F551" s="12">
        <v>3000</v>
      </c>
      <c r="H551" s="6">
        <v>3000</v>
      </c>
      <c r="J551" s="12">
        <f>SUM(G551:I551)-F551</f>
        <v>0</v>
      </c>
      <c r="K551" s="14">
        <v>0.29770000000000002</v>
      </c>
      <c r="L551" s="6">
        <v>893.1</v>
      </c>
      <c r="M551" s="6" t="s">
        <v>70</v>
      </c>
      <c r="N551" s="6" t="s">
        <v>268</v>
      </c>
    </row>
    <row r="552" spans="1:15" x14ac:dyDescent="0.3">
      <c r="A552" s="6">
        <v>9660002112</v>
      </c>
      <c r="B552" s="6">
        <v>1300</v>
      </c>
      <c r="C552" s="6" t="s">
        <v>269</v>
      </c>
      <c r="E552" s="6" t="s">
        <v>1445</v>
      </c>
      <c r="F552" s="12">
        <v>17500</v>
      </c>
      <c r="G552" s="6">
        <v>17500</v>
      </c>
      <c r="J552" s="12">
        <f>SUM(G552:I552)-F552</f>
        <v>0</v>
      </c>
      <c r="K552" s="14">
        <v>0.61060999999999999</v>
      </c>
      <c r="L552" s="14">
        <v>10685.68</v>
      </c>
      <c r="M552" s="6" t="s">
        <v>70</v>
      </c>
      <c r="N552" s="6" t="s">
        <v>270</v>
      </c>
    </row>
    <row r="553" spans="1:15" x14ac:dyDescent="0.3">
      <c r="A553" s="6">
        <v>9660002112</v>
      </c>
      <c r="B553" s="6">
        <v>1690</v>
      </c>
      <c r="C553" s="6" t="s">
        <v>349</v>
      </c>
      <c r="E553" s="6" t="s">
        <v>1483</v>
      </c>
      <c r="F553" s="12">
        <v>10000</v>
      </c>
      <c r="G553" s="6">
        <v>10000</v>
      </c>
      <c r="J553" s="12">
        <f>SUM(G553:I553)-F553</f>
        <v>0</v>
      </c>
      <c r="K553" s="14">
        <v>0.24310000000000001</v>
      </c>
      <c r="L553" s="14">
        <v>2431</v>
      </c>
      <c r="M553" s="6" t="s">
        <v>308</v>
      </c>
      <c r="N553" s="6" t="s">
        <v>350</v>
      </c>
    </row>
    <row r="554" spans="1:15" x14ac:dyDescent="0.3">
      <c r="A554" s="6">
        <v>9660002112</v>
      </c>
      <c r="B554" s="6">
        <v>2700</v>
      </c>
      <c r="C554" s="6" t="s">
        <v>556</v>
      </c>
      <c r="E554" s="6" t="s">
        <v>1584</v>
      </c>
      <c r="F554" s="12">
        <v>70000</v>
      </c>
      <c r="G554" s="6">
        <v>70000</v>
      </c>
      <c r="J554" s="12">
        <f>SUM(G554:I554)-F554</f>
        <v>0</v>
      </c>
      <c r="K554" s="14">
        <v>4.7000000000000004E-4</v>
      </c>
      <c r="L554" s="6">
        <v>32.9</v>
      </c>
      <c r="M554" s="6" t="s">
        <v>399</v>
      </c>
      <c r="N554" s="6" t="s">
        <v>557</v>
      </c>
    </row>
    <row r="555" spans="1:15" x14ac:dyDescent="0.3">
      <c r="A555" s="6">
        <v>9660002112</v>
      </c>
      <c r="B555" s="6">
        <v>2730</v>
      </c>
      <c r="C555" s="6" t="s">
        <v>562</v>
      </c>
      <c r="E555" s="6" t="s">
        <v>1587</v>
      </c>
      <c r="F555" s="12">
        <v>20000</v>
      </c>
      <c r="G555" s="6">
        <v>20000</v>
      </c>
      <c r="J555" s="12">
        <f>SUM(G555:I555)-F555</f>
        <v>0</v>
      </c>
      <c r="K555" s="14">
        <v>4.7000000000000004E-4</v>
      </c>
      <c r="L555" s="6">
        <v>9.4</v>
      </c>
      <c r="M555" s="6" t="s">
        <v>399</v>
      </c>
      <c r="N555" s="6" t="s">
        <v>563</v>
      </c>
    </row>
    <row r="556" spans="1:15" x14ac:dyDescent="0.3">
      <c r="A556" s="6">
        <v>9660002112</v>
      </c>
      <c r="B556" s="6">
        <v>3610</v>
      </c>
      <c r="C556" s="6" t="s">
        <v>738</v>
      </c>
      <c r="E556" s="6" t="s">
        <v>1675</v>
      </c>
      <c r="F556" s="12">
        <v>10000</v>
      </c>
      <c r="G556" s="6">
        <v>10000</v>
      </c>
      <c r="J556" s="12">
        <f>SUM(G556:I556)-F556</f>
        <v>0</v>
      </c>
      <c r="K556" s="14">
        <v>2.2999999999999998E-4</v>
      </c>
      <c r="L556" s="6">
        <v>2.2999999999999998</v>
      </c>
      <c r="M556" s="6" t="s">
        <v>399</v>
      </c>
      <c r="N556" s="6" t="s">
        <v>739</v>
      </c>
    </row>
    <row r="557" spans="1:15" x14ac:dyDescent="0.3">
      <c r="A557" s="6">
        <v>9660002112</v>
      </c>
      <c r="B557" s="6">
        <v>3640</v>
      </c>
      <c r="C557" s="6" t="s">
        <v>744</v>
      </c>
      <c r="E557" s="6" t="s">
        <v>1678</v>
      </c>
      <c r="F557" s="12">
        <v>10000</v>
      </c>
      <c r="G557" s="6">
        <v>10000</v>
      </c>
      <c r="J557" s="12">
        <f>SUM(G557:I557)-F557</f>
        <v>0</v>
      </c>
      <c r="K557" s="14">
        <v>2.2999999999999998E-4</v>
      </c>
      <c r="L557" s="6">
        <v>2.2999999999999998</v>
      </c>
      <c r="M557" s="6" t="s">
        <v>399</v>
      </c>
      <c r="N557" s="6" t="s">
        <v>745</v>
      </c>
    </row>
    <row r="558" spans="1:15" x14ac:dyDescent="0.3">
      <c r="A558" s="6">
        <v>9660002112</v>
      </c>
      <c r="B558" s="6">
        <v>5790</v>
      </c>
      <c r="C558" s="6" t="s">
        <v>1178</v>
      </c>
      <c r="E558" s="6" t="s">
        <v>1893</v>
      </c>
      <c r="F558" s="12">
        <v>77000</v>
      </c>
      <c r="G558" s="6">
        <v>77000</v>
      </c>
      <c r="J558" s="12">
        <f>SUM(G558:I558)-F558</f>
        <v>0</v>
      </c>
      <c r="K558" s="14">
        <v>7.7740000000000004E-2</v>
      </c>
      <c r="L558" s="14">
        <v>5985.98</v>
      </c>
      <c r="M558" s="6" t="s">
        <v>1130</v>
      </c>
      <c r="N558" s="6" t="s">
        <v>1179</v>
      </c>
    </row>
    <row r="559" spans="1:15" x14ac:dyDescent="0.3">
      <c r="A559" s="6">
        <v>9660002112</v>
      </c>
      <c r="B559" s="6">
        <v>460</v>
      </c>
      <c r="C559" s="6" t="s">
        <v>96</v>
      </c>
      <c r="E559" s="6" t="s">
        <v>1361</v>
      </c>
      <c r="F559" s="12">
        <v>4000</v>
      </c>
      <c r="G559" s="6">
        <v>4000</v>
      </c>
      <c r="J559" s="12">
        <f>SUM(G559:I559)-F559</f>
        <v>0</v>
      </c>
      <c r="K559" s="14">
        <v>0.42</v>
      </c>
      <c r="L559" s="14">
        <v>1680</v>
      </c>
      <c r="M559" s="6" t="s">
        <v>80</v>
      </c>
      <c r="N559" s="6" t="s">
        <v>97</v>
      </c>
    </row>
    <row r="560" spans="1:15" x14ac:dyDescent="0.3">
      <c r="A560" s="6">
        <v>9660002112</v>
      </c>
      <c r="B560" s="6">
        <v>6190</v>
      </c>
      <c r="C560" s="6" t="s">
        <v>1264</v>
      </c>
      <c r="E560" s="6" t="s">
        <v>1932</v>
      </c>
      <c r="F560" s="12">
        <v>24000</v>
      </c>
      <c r="G560" s="6">
        <v>24000</v>
      </c>
      <c r="J560" s="12">
        <f>SUM(G560:I560)-F560</f>
        <v>0</v>
      </c>
      <c r="K560" s="14">
        <v>4.7320000000000001E-2</v>
      </c>
      <c r="L560" s="14">
        <v>1135.68</v>
      </c>
      <c r="M560" s="6" t="s">
        <v>80</v>
      </c>
      <c r="N560" s="6" t="s">
        <v>1265</v>
      </c>
    </row>
    <row r="561" spans="1:14" x14ac:dyDescent="0.3">
      <c r="A561" s="6">
        <v>9660002112</v>
      </c>
      <c r="B561" s="6">
        <v>6200</v>
      </c>
      <c r="C561" s="6" t="s">
        <v>1266</v>
      </c>
      <c r="E561" s="6" t="s">
        <v>1933</v>
      </c>
      <c r="F561" s="12">
        <v>72000</v>
      </c>
      <c r="G561" s="6">
        <v>72000</v>
      </c>
      <c r="J561" s="12">
        <f>SUM(G561:I561)-F561</f>
        <v>0</v>
      </c>
      <c r="K561" s="14">
        <v>8.7099999999999997E-2</v>
      </c>
      <c r="L561" s="14">
        <v>6271.2</v>
      </c>
      <c r="M561" s="6" t="s">
        <v>80</v>
      </c>
      <c r="N561" s="6" t="s">
        <v>1267</v>
      </c>
    </row>
    <row r="562" spans="1:14" x14ac:dyDescent="0.3">
      <c r="A562" s="6">
        <v>9660002112</v>
      </c>
      <c r="B562" s="6">
        <v>6340</v>
      </c>
      <c r="C562" s="6" t="s">
        <v>1296</v>
      </c>
      <c r="E562" s="6" t="s">
        <v>1947</v>
      </c>
      <c r="F562" s="12">
        <v>37500</v>
      </c>
      <c r="G562" s="6">
        <v>37500</v>
      </c>
      <c r="J562" s="12">
        <f>SUM(G562:I562)-F562</f>
        <v>0</v>
      </c>
      <c r="K562" s="14">
        <v>0.71499999999999997</v>
      </c>
      <c r="L562" s="14">
        <v>26812.5</v>
      </c>
      <c r="M562" s="6" t="s">
        <v>80</v>
      </c>
      <c r="N562" s="6" t="s">
        <v>1297</v>
      </c>
    </row>
    <row r="563" spans="1:14" x14ac:dyDescent="0.3">
      <c r="A563" s="6">
        <v>9660002112</v>
      </c>
      <c r="B563" s="6">
        <v>1180</v>
      </c>
      <c r="C563" s="6" t="s">
        <v>245</v>
      </c>
      <c r="E563" s="6" t="s">
        <v>1433</v>
      </c>
      <c r="F563" s="12">
        <v>6000</v>
      </c>
      <c r="H563" s="6">
        <v>6000</v>
      </c>
      <c r="J563" s="12">
        <f>SUM(G563:I563)-F563</f>
        <v>0</v>
      </c>
      <c r="K563" s="14">
        <v>2.6160000000000003E-2</v>
      </c>
      <c r="L563" s="6">
        <v>156.96</v>
      </c>
      <c r="M563" s="6" t="s">
        <v>70</v>
      </c>
      <c r="N563" s="6" t="s">
        <v>246</v>
      </c>
    </row>
    <row r="564" spans="1:14" x14ac:dyDescent="0.3">
      <c r="A564" s="6">
        <v>9660002112</v>
      </c>
      <c r="B564" s="6">
        <v>1350</v>
      </c>
      <c r="C564" s="6" t="s">
        <v>279</v>
      </c>
      <c r="D564" s="6" t="s">
        <v>1967</v>
      </c>
      <c r="E564" s="6" t="s">
        <v>1968</v>
      </c>
      <c r="F564" s="12">
        <v>3000</v>
      </c>
      <c r="H564" s="6">
        <v>3000</v>
      </c>
      <c r="J564" s="12">
        <f>SUM(G564:I564)-F564</f>
        <v>0</v>
      </c>
      <c r="K564" s="14">
        <v>1.2276</v>
      </c>
      <c r="L564" s="14">
        <v>3682.8</v>
      </c>
      <c r="M564" s="6" t="s">
        <v>42</v>
      </c>
      <c r="N564" s="6" t="s">
        <v>280</v>
      </c>
    </row>
    <row r="565" spans="1:14" x14ac:dyDescent="0.3">
      <c r="A565" s="6">
        <v>9660002112</v>
      </c>
      <c r="B565" s="6">
        <v>1430</v>
      </c>
      <c r="C565" s="6" t="s">
        <v>295</v>
      </c>
      <c r="E565" s="6" t="s">
        <v>1457</v>
      </c>
      <c r="F565" s="12">
        <v>3000</v>
      </c>
      <c r="G565" s="6">
        <v>3000</v>
      </c>
      <c r="J565" s="12">
        <f>SUM(G565:I565)-F565</f>
        <v>0</v>
      </c>
      <c r="K565" s="14">
        <v>0.4536</v>
      </c>
      <c r="L565" s="14">
        <v>1360.8</v>
      </c>
      <c r="M565" s="6" t="s">
        <v>70</v>
      </c>
      <c r="N565" s="6" t="s">
        <v>296</v>
      </c>
    </row>
    <row r="566" spans="1:14" x14ac:dyDescent="0.3">
      <c r="A566" s="6">
        <v>9660002112</v>
      </c>
      <c r="B566" s="6">
        <v>730</v>
      </c>
      <c r="C566" s="6" t="s">
        <v>154</v>
      </c>
      <c r="E566" s="6" t="s">
        <v>1388</v>
      </c>
      <c r="F566" s="12">
        <v>36000</v>
      </c>
      <c r="G566" s="6">
        <v>36000</v>
      </c>
      <c r="J566" s="12">
        <f>SUM(G566:I566)-F566</f>
        <v>0</v>
      </c>
      <c r="K566" s="14">
        <v>2.1600000000000001E-2</v>
      </c>
      <c r="L566" s="6">
        <v>777.6</v>
      </c>
      <c r="M566" s="6" t="s">
        <v>70</v>
      </c>
      <c r="N566" s="6" t="s">
        <v>155</v>
      </c>
    </row>
    <row r="567" spans="1:14" x14ac:dyDescent="0.3">
      <c r="A567" s="6">
        <v>9660002112</v>
      </c>
      <c r="B567" s="6">
        <v>6460</v>
      </c>
      <c r="C567" s="6" t="s">
        <v>1321</v>
      </c>
      <c r="E567" s="6" t="s">
        <v>1959</v>
      </c>
      <c r="F567" s="12">
        <v>1000</v>
      </c>
      <c r="G567" s="6">
        <v>1000</v>
      </c>
      <c r="J567" s="12">
        <f>SUM(G567:I567)-F567</f>
        <v>0</v>
      </c>
      <c r="K567" s="14">
        <v>0.56399999999999995</v>
      </c>
      <c r="L567" s="6">
        <v>564</v>
      </c>
      <c r="M567" s="6" t="s">
        <v>1320</v>
      </c>
      <c r="N567" s="6" t="s">
        <v>1322</v>
      </c>
    </row>
    <row r="568" spans="1:14" x14ac:dyDescent="0.3">
      <c r="A568" s="6">
        <v>9660002112</v>
      </c>
      <c r="B568" s="6">
        <v>6470</v>
      </c>
      <c r="C568" s="6" t="s">
        <v>1323</v>
      </c>
      <c r="E568" s="6" t="s">
        <v>1960</v>
      </c>
      <c r="F568" s="12">
        <v>1000</v>
      </c>
      <c r="G568" s="6">
        <v>1000</v>
      </c>
      <c r="J568" s="12">
        <f>SUM(G568:I568)-F568</f>
        <v>0</v>
      </c>
      <c r="K568" s="14">
        <v>0.56399999999999995</v>
      </c>
      <c r="L568" s="6">
        <v>564</v>
      </c>
      <c r="M568" s="6" t="s">
        <v>1320</v>
      </c>
      <c r="N568" s="6" t="s">
        <v>1324</v>
      </c>
    </row>
    <row r="569" spans="1:14" x14ac:dyDescent="0.3">
      <c r="A569" s="6">
        <v>9660002112</v>
      </c>
      <c r="B569" s="6">
        <v>350</v>
      </c>
      <c r="C569" s="6" t="s">
        <v>71</v>
      </c>
      <c r="E569" s="6" t="s">
        <v>1351</v>
      </c>
      <c r="F569" s="12">
        <v>2700</v>
      </c>
      <c r="H569" s="6">
        <v>2700</v>
      </c>
      <c r="J569" s="12">
        <f>SUM(G569:I569)-F569</f>
        <v>0</v>
      </c>
      <c r="K569" s="14">
        <v>0.23179</v>
      </c>
      <c r="L569" s="6">
        <v>625.83000000000004</v>
      </c>
      <c r="M569" s="6" t="s">
        <v>73</v>
      </c>
      <c r="N569" s="6" t="s">
        <v>72</v>
      </c>
    </row>
    <row r="570" spans="1:14" x14ac:dyDescent="0.3">
      <c r="A570" s="6">
        <v>9660002112</v>
      </c>
      <c r="B570" s="6">
        <v>360</v>
      </c>
      <c r="C570" s="6" t="s">
        <v>74</v>
      </c>
      <c r="E570" s="6" t="s">
        <v>1352</v>
      </c>
      <c r="F570" s="12">
        <v>2640</v>
      </c>
      <c r="H570" s="6">
        <v>2640</v>
      </c>
      <c r="J570" s="12">
        <f>SUM(G570:I570)-F570</f>
        <v>0</v>
      </c>
      <c r="K570" s="14">
        <v>0.40936999999999996</v>
      </c>
      <c r="L570" s="14">
        <v>1080.74</v>
      </c>
      <c r="M570" s="6" t="s">
        <v>73</v>
      </c>
      <c r="N570" s="6" t="s">
        <v>75</v>
      </c>
    </row>
    <row r="571" spans="1:14" x14ac:dyDescent="0.3">
      <c r="A571" s="6">
        <v>9660002112</v>
      </c>
      <c r="B571" s="6">
        <v>370</v>
      </c>
      <c r="C571" s="6" t="s">
        <v>76</v>
      </c>
      <c r="E571" s="6" t="s">
        <v>1353</v>
      </c>
      <c r="F571" s="12">
        <v>2400</v>
      </c>
      <c r="H571" s="6">
        <v>2400</v>
      </c>
      <c r="J571" s="12">
        <f>SUM(G571:I571)-F571</f>
        <v>0</v>
      </c>
      <c r="K571" s="14">
        <v>0.21229000000000001</v>
      </c>
      <c r="L571" s="6">
        <v>509.5</v>
      </c>
      <c r="M571" s="6" t="s">
        <v>73</v>
      </c>
      <c r="N571" s="6" t="s">
        <v>77</v>
      </c>
    </row>
    <row r="572" spans="1:14" x14ac:dyDescent="0.3">
      <c r="A572" s="6">
        <v>9660002112</v>
      </c>
      <c r="B572" s="6">
        <v>130</v>
      </c>
      <c r="C572" s="6" t="s">
        <v>32</v>
      </c>
      <c r="E572" s="6" t="s">
        <v>1338</v>
      </c>
      <c r="F572" s="12">
        <v>3000</v>
      </c>
      <c r="I572" s="6">
        <v>3000</v>
      </c>
      <c r="J572" s="12">
        <f>SUM(G572:I572)-F572</f>
        <v>0</v>
      </c>
      <c r="K572" s="14">
        <v>0.01</v>
      </c>
      <c r="L572" s="6">
        <v>30</v>
      </c>
      <c r="M572" s="6" t="s">
        <v>9</v>
      </c>
      <c r="N572" s="6" t="s">
        <v>33</v>
      </c>
    </row>
    <row r="573" spans="1:14" x14ac:dyDescent="0.3">
      <c r="A573" s="6">
        <v>9660002112</v>
      </c>
      <c r="B573" s="6">
        <v>140</v>
      </c>
      <c r="C573" s="6" t="s">
        <v>34</v>
      </c>
      <c r="E573" s="6" t="s">
        <v>1339</v>
      </c>
      <c r="F573" s="12">
        <v>3000</v>
      </c>
      <c r="I573" s="6">
        <v>3000</v>
      </c>
      <c r="J573" s="12">
        <f>SUM(G573:I573)-F573</f>
        <v>0</v>
      </c>
      <c r="K573" s="14">
        <v>0.01</v>
      </c>
      <c r="L573" s="6">
        <v>30</v>
      </c>
      <c r="M573" s="6" t="s">
        <v>9</v>
      </c>
      <c r="N573" s="6" t="s">
        <v>35</v>
      </c>
    </row>
    <row r="574" spans="1:14" x14ac:dyDescent="0.3">
      <c r="A574" s="6">
        <v>9660002112</v>
      </c>
      <c r="B574" s="6">
        <v>120</v>
      </c>
      <c r="C574" s="6" t="s">
        <v>30</v>
      </c>
      <c r="E574" s="6" t="s">
        <v>1337</v>
      </c>
      <c r="F574" s="12">
        <v>3000</v>
      </c>
      <c r="I574" s="6">
        <v>3000</v>
      </c>
      <c r="J574" s="12">
        <f>SUM(G574:I574)-F574</f>
        <v>0</v>
      </c>
      <c r="K574" s="14">
        <v>18.388000000000002</v>
      </c>
      <c r="L574" s="14">
        <v>55164</v>
      </c>
      <c r="M574" s="6" t="s">
        <v>9</v>
      </c>
      <c r="N574" s="6" t="s">
        <v>31</v>
      </c>
    </row>
    <row r="575" spans="1:14" x14ac:dyDescent="0.3">
      <c r="A575" s="6">
        <v>9660002112</v>
      </c>
      <c r="B575" s="6">
        <v>410</v>
      </c>
      <c r="C575" s="6" t="s">
        <v>85</v>
      </c>
      <c r="E575" s="6" t="s">
        <v>1357</v>
      </c>
      <c r="F575" s="12">
        <v>2400</v>
      </c>
      <c r="G575" s="6">
        <v>2400</v>
      </c>
      <c r="J575" s="12">
        <f>SUM(G575:I575)-F575</f>
        <v>0</v>
      </c>
      <c r="K575" s="14">
        <v>0.19188</v>
      </c>
      <c r="L575" s="6">
        <v>460.51</v>
      </c>
      <c r="M575" s="6" t="s">
        <v>80</v>
      </c>
      <c r="N575" s="6" t="s">
        <v>86</v>
      </c>
    </row>
    <row r="576" spans="1:14" x14ac:dyDescent="0.3">
      <c r="A576" s="6">
        <v>9660002112</v>
      </c>
      <c r="B576" s="6">
        <v>530</v>
      </c>
      <c r="C576" s="6" t="s">
        <v>110</v>
      </c>
      <c r="E576" s="6" t="s">
        <v>1368</v>
      </c>
      <c r="F576" s="12">
        <v>4800</v>
      </c>
      <c r="G576" s="6">
        <v>4800</v>
      </c>
      <c r="J576" s="12">
        <f>SUM(G576:I576)-F576</f>
        <v>0</v>
      </c>
      <c r="K576" s="14">
        <v>0.24959999999999999</v>
      </c>
      <c r="L576" s="14">
        <v>1198.08</v>
      </c>
      <c r="M576" s="6" t="s">
        <v>80</v>
      </c>
      <c r="N576" s="6" t="s">
        <v>111</v>
      </c>
    </row>
    <row r="577" spans="1:14" x14ac:dyDescent="0.3">
      <c r="A577" s="6">
        <v>9660002112</v>
      </c>
      <c r="B577" s="6">
        <v>580</v>
      </c>
      <c r="C577" s="6" t="s">
        <v>121</v>
      </c>
      <c r="E577" s="6" t="s">
        <v>1373</v>
      </c>
      <c r="F577" s="12">
        <v>3511</v>
      </c>
      <c r="G577" s="6">
        <v>3511</v>
      </c>
      <c r="J577" s="12">
        <f>SUM(G577:I577)-F577</f>
        <v>0</v>
      </c>
      <c r="K577" s="14">
        <v>0.72253999999999996</v>
      </c>
      <c r="L577" s="14">
        <v>2536.84</v>
      </c>
      <c r="M577" s="6" t="s">
        <v>123</v>
      </c>
      <c r="N577" s="6" t="s">
        <v>122</v>
      </c>
    </row>
    <row r="578" spans="1:14" x14ac:dyDescent="0.3">
      <c r="A578" s="6">
        <v>9660002112</v>
      </c>
      <c r="B578" s="6">
        <v>590</v>
      </c>
      <c r="C578" s="6" t="s">
        <v>124</v>
      </c>
      <c r="E578" s="6" t="s">
        <v>1374</v>
      </c>
      <c r="F578" s="12">
        <v>2569</v>
      </c>
      <c r="G578" s="6">
        <v>2569</v>
      </c>
      <c r="J578" s="12">
        <f>SUM(G578:I578)-F578</f>
        <v>0</v>
      </c>
      <c r="K578" s="14">
        <v>0.50634999999999997</v>
      </c>
      <c r="L578" s="14">
        <v>1300.81</v>
      </c>
      <c r="M578" s="6" t="s">
        <v>123</v>
      </c>
      <c r="N578" s="6" t="s">
        <v>125</v>
      </c>
    </row>
    <row r="579" spans="1:14" x14ac:dyDescent="0.3">
      <c r="A579" s="6">
        <v>9660002112</v>
      </c>
      <c r="B579" s="6">
        <v>600</v>
      </c>
      <c r="C579" s="6" t="s">
        <v>126</v>
      </c>
      <c r="E579" s="6" t="s">
        <v>1375</v>
      </c>
      <c r="F579" s="12">
        <v>3000</v>
      </c>
      <c r="G579" s="6">
        <v>3000</v>
      </c>
      <c r="J579" s="12">
        <f>SUM(G579:I579)-F579</f>
        <v>0</v>
      </c>
      <c r="K579" s="14">
        <v>0.11115</v>
      </c>
      <c r="L579" s="6">
        <v>333.45</v>
      </c>
      <c r="M579" s="6" t="s">
        <v>123</v>
      </c>
      <c r="N579" s="6" t="s">
        <v>127</v>
      </c>
    </row>
    <row r="580" spans="1:14" x14ac:dyDescent="0.3">
      <c r="A580" s="6">
        <v>9660002112</v>
      </c>
      <c r="B580" s="6">
        <v>610</v>
      </c>
      <c r="C580" s="6" t="s">
        <v>128</v>
      </c>
      <c r="E580" s="6" t="s">
        <v>1376</v>
      </c>
      <c r="F580" s="12">
        <v>2134</v>
      </c>
      <c r="G580" s="6">
        <v>2134</v>
      </c>
      <c r="J580" s="12">
        <f>SUM(G580:I580)-F580</f>
        <v>0</v>
      </c>
      <c r="K580" s="14">
        <v>7.4099999999999999E-2</v>
      </c>
      <c r="L580" s="6">
        <v>158.13</v>
      </c>
      <c r="M580" s="6" t="s">
        <v>123</v>
      </c>
      <c r="N580" s="6" t="s">
        <v>129</v>
      </c>
    </row>
    <row r="581" spans="1:14" x14ac:dyDescent="0.3">
      <c r="A581" s="6">
        <v>9660002112</v>
      </c>
      <c r="B581" s="6">
        <v>620</v>
      </c>
      <c r="C581" s="6" t="s">
        <v>130</v>
      </c>
      <c r="E581" s="6" t="s">
        <v>1377</v>
      </c>
      <c r="F581" s="12">
        <v>2000</v>
      </c>
      <c r="G581" s="6">
        <v>2000</v>
      </c>
      <c r="J581" s="12">
        <f>SUM(G581:I581)-F581</f>
        <v>0</v>
      </c>
      <c r="K581" s="14">
        <v>5.5639999999999995E-2</v>
      </c>
      <c r="L581" s="6">
        <v>111.28</v>
      </c>
      <c r="M581" s="6" t="s">
        <v>123</v>
      </c>
      <c r="N581" s="6" t="s">
        <v>131</v>
      </c>
    </row>
    <row r="582" spans="1:14" x14ac:dyDescent="0.3">
      <c r="A582" s="6">
        <v>9660002112</v>
      </c>
      <c r="B582" s="6">
        <v>630</v>
      </c>
      <c r="C582" s="6" t="s">
        <v>132</v>
      </c>
      <c r="E582" s="6" t="s">
        <v>1378</v>
      </c>
      <c r="F582" s="12">
        <v>3000</v>
      </c>
      <c r="G582" s="6">
        <v>3000</v>
      </c>
      <c r="J582" s="12">
        <f>SUM(G582:I582)-F582</f>
        <v>0</v>
      </c>
      <c r="K582" s="14">
        <v>8.7099999999999997E-2</v>
      </c>
      <c r="L582" s="6">
        <v>261.3</v>
      </c>
      <c r="M582" s="6" t="s">
        <v>123</v>
      </c>
      <c r="N582" s="6" t="s">
        <v>133</v>
      </c>
    </row>
    <row r="583" spans="1:14" x14ac:dyDescent="0.3">
      <c r="A583" s="6">
        <v>9660002112</v>
      </c>
      <c r="B583" s="6">
        <v>690</v>
      </c>
      <c r="C583" s="6" t="s">
        <v>146</v>
      </c>
      <c r="E583" s="6" t="s">
        <v>1384</v>
      </c>
      <c r="F583" s="12">
        <v>2500</v>
      </c>
      <c r="G583" s="6">
        <v>2500</v>
      </c>
      <c r="J583" s="12">
        <f>SUM(G583:I583)-F583</f>
        <v>0</v>
      </c>
      <c r="K583" s="14">
        <v>0.34439999999999998</v>
      </c>
      <c r="L583" s="6">
        <v>861</v>
      </c>
      <c r="M583" s="6" t="s">
        <v>70</v>
      </c>
      <c r="N583" s="6" t="s">
        <v>147</v>
      </c>
    </row>
    <row r="584" spans="1:14" x14ac:dyDescent="0.3">
      <c r="A584" s="6">
        <v>9660002112</v>
      </c>
      <c r="B584" s="6">
        <v>710</v>
      </c>
      <c r="C584" s="6" t="s">
        <v>150</v>
      </c>
      <c r="E584" s="6" t="s">
        <v>1386</v>
      </c>
      <c r="F584" s="12">
        <v>3000</v>
      </c>
      <c r="G584" s="6">
        <v>3000</v>
      </c>
      <c r="J584" s="12">
        <f>SUM(G584:I584)-F584</f>
        <v>0</v>
      </c>
      <c r="K584" s="14">
        <v>0.192</v>
      </c>
      <c r="L584" s="6">
        <v>576</v>
      </c>
      <c r="M584" s="6" t="s">
        <v>70</v>
      </c>
      <c r="N584" s="6" t="s">
        <v>151</v>
      </c>
    </row>
    <row r="585" spans="1:14" x14ac:dyDescent="0.3">
      <c r="A585" s="6">
        <v>9660002112</v>
      </c>
      <c r="B585" s="6">
        <v>880</v>
      </c>
      <c r="C585" s="6" t="s">
        <v>184</v>
      </c>
      <c r="E585" s="6" t="s">
        <v>1403</v>
      </c>
      <c r="F585" s="12">
        <v>36000</v>
      </c>
      <c r="I585" s="6">
        <v>36000</v>
      </c>
      <c r="J585" s="12">
        <f>SUM(G585:I585)-F585</f>
        <v>0</v>
      </c>
      <c r="K585" s="14">
        <v>0.09</v>
      </c>
      <c r="L585" s="14">
        <v>3240</v>
      </c>
      <c r="M585" s="6" t="s">
        <v>70</v>
      </c>
      <c r="N585" s="6" t="s">
        <v>185</v>
      </c>
    </row>
    <row r="586" spans="1:14" x14ac:dyDescent="0.3">
      <c r="A586" s="6">
        <v>9660002112</v>
      </c>
      <c r="B586" s="6">
        <v>210</v>
      </c>
      <c r="C586" s="6" t="s">
        <v>49</v>
      </c>
      <c r="E586" s="6" t="s">
        <v>1346</v>
      </c>
      <c r="F586" s="12">
        <v>3600</v>
      </c>
      <c r="I586" s="6">
        <v>3600</v>
      </c>
      <c r="J586" s="12">
        <f>SUM(G586:I586)-F586</f>
        <v>0</v>
      </c>
      <c r="K586" s="14">
        <v>0.96599999999999997</v>
      </c>
      <c r="L586" s="14">
        <v>3477.6</v>
      </c>
      <c r="M586" s="6" t="s">
        <v>42</v>
      </c>
      <c r="N586" s="6" t="s">
        <v>50</v>
      </c>
    </row>
    <row r="587" spans="1:14" x14ac:dyDescent="0.3">
      <c r="A587" s="6">
        <v>9660002112</v>
      </c>
      <c r="B587" s="6">
        <v>1130</v>
      </c>
      <c r="C587" s="6" t="s">
        <v>235</v>
      </c>
      <c r="E587" s="6" t="s">
        <v>1428</v>
      </c>
      <c r="F587" s="12">
        <v>49500</v>
      </c>
      <c r="I587" s="6">
        <v>49500</v>
      </c>
      <c r="J587" s="12">
        <f>SUM(G587:I587)-F587</f>
        <v>0</v>
      </c>
      <c r="K587" s="14">
        <v>0.31187999999999999</v>
      </c>
      <c r="L587" s="14">
        <v>15438.06</v>
      </c>
      <c r="M587" s="6" t="s">
        <v>70</v>
      </c>
      <c r="N587" s="6" t="s">
        <v>236</v>
      </c>
    </row>
    <row r="588" spans="1:14" x14ac:dyDescent="0.3">
      <c r="A588" s="6">
        <v>9660002112</v>
      </c>
      <c r="B588" s="6">
        <v>1170</v>
      </c>
      <c r="C588" s="6" t="s">
        <v>243</v>
      </c>
      <c r="E588" s="6" t="s">
        <v>1432</v>
      </c>
      <c r="F588" s="12">
        <v>45000</v>
      </c>
      <c r="G588" s="6">
        <v>45000</v>
      </c>
      <c r="J588" s="12">
        <f>SUM(G588:I588)-F588</f>
        <v>0</v>
      </c>
      <c r="K588" s="14">
        <v>0.22800000000000001</v>
      </c>
      <c r="L588" s="14">
        <v>10260</v>
      </c>
      <c r="M588" s="6" t="s">
        <v>70</v>
      </c>
      <c r="N588" s="6" t="s">
        <v>244</v>
      </c>
    </row>
    <row r="589" spans="1:14" x14ac:dyDescent="0.3">
      <c r="A589" s="6">
        <v>9660002112</v>
      </c>
      <c r="B589" s="6">
        <v>1420</v>
      </c>
      <c r="C589" s="6" t="s">
        <v>293</v>
      </c>
      <c r="E589" s="6" t="s">
        <v>1456</v>
      </c>
      <c r="F589" s="12">
        <v>48000</v>
      </c>
      <c r="H589" s="6">
        <v>48000</v>
      </c>
      <c r="J589" s="12">
        <f>SUM(G589:I589)-F589</f>
        <v>0</v>
      </c>
      <c r="K589" s="14">
        <v>0.216</v>
      </c>
      <c r="L589" s="14">
        <v>10368</v>
      </c>
      <c r="M589" s="6" t="s">
        <v>70</v>
      </c>
      <c r="N589" s="6" t="s">
        <v>294</v>
      </c>
    </row>
    <row r="590" spans="1:14" x14ac:dyDescent="0.3">
      <c r="A590" s="6">
        <v>9660002112</v>
      </c>
      <c r="B590" s="6">
        <v>1230</v>
      </c>
      <c r="C590" s="6" t="s">
        <v>255</v>
      </c>
      <c r="E590" s="6" t="s">
        <v>1438</v>
      </c>
      <c r="F590" s="12">
        <v>48000</v>
      </c>
      <c r="G590" s="6">
        <v>48000</v>
      </c>
      <c r="J590" s="12">
        <f>SUM(G590:I590)-F590</f>
        <v>0</v>
      </c>
      <c r="K590" s="14">
        <v>1.1759999999999999</v>
      </c>
      <c r="L590" s="14">
        <v>56448</v>
      </c>
      <c r="M590" s="6" t="s">
        <v>42</v>
      </c>
      <c r="N590" s="6" t="s">
        <v>256</v>
      </c>
    </row>
    <row r="591" spans="1:14" x14ac:dyDescent="0.3">
      <c r="A591" s="6">
        <v>9660002112</v>
      </c>
      <c r="B591" s="6">
        <v>1270</v>
      </c>
      <c r="C591" s="6" t="s">
        <v>263</v>
      </c>
      <c r="E591" s="6" t="s">
        <v>1442</v>
      </c>
      <c r="F591" s="12">
        <v>3000</v>
      </c>
      <c r="G591" s="6">
        <v>3000</v>
      </c>
      <c r="J591" s="12">
        <f>SUM(G591:I591)-F591</f>
        <v>0</v>
      </c>
      <c r="K591" s="14">
        <v>0.4536</v>
      </c>
      <c r="L591" s="14">
        <v>1360.8</v>
      </c>
      <c r="M591" s="6" t="s">
        <v>70</v>
      </c>
      <c r="N591" s="6" t="s">
        <v>264</v>
      </c>
    </row>
    <row r="592" spans="1:14" x14ac:dyDescent="0.3">
      <c r="A592" s="6">
        <v>9660002112</v>
      </c>
      <c r="B592" s="6">
        <v>340</v>
      </c>
      <c r="C592" s="6" t="s">
        <v>68</v>
      </c>
      <c r="E592" s="6" t="s">
        <v>1350</v>
      </c>
      <c r="F592" s="12">
        <v>4900</v>
      </c>
      <c r="G592" s="6">
        <v>4900</v>
      </c>
      <c r="J592" s="12">
        <f>SUM(G592:I592)-F592</f>
        <v>0</v>
      </c>
      <c r="K592" s="14">
        <v>1.224</v>
      </c>
      <c r="L592" s="14">
        <v>5997.6</v>
      </c>
      <c r="M592" s="6" t="s">
        <v>70</v>
      </c>
      <c r="N592" s="6" t="s">
        <v>69</v>
      </c>
    </row>
    <row r="593" spans="1:14" x14ac:dyDescent="0.3">
      <c r="A593" s="6">
        <v>9660002112</v>
      </c>
      <c r="B593" s="6">
        <v>1360</v>
      </c>
      <c r="C593" s="6" t="s">
        <v>281</v>
      </c>
      <c r="E593" s="6" t="s">
        <v>1450</v>
      </c>
      <c r="F593" s="12">
        <v>36000</v>
      </c>
      <c r="G593" s="6">
        <v>36000</v>
      </c>
      <c r="J593" s="12">
        <f>SUM(G593:I593)-F593</f>
        <v>0</v>
      </c>
      <c r="K593" s="14">
        <v>0.3</v>
      </c>
      <c r="L593" s="14">
        <v>10800</v>
      </c>
      <c r="M593" s="6" t="s">
        <v>70</v>
      </c>
      <c r="N593" s="6" t="s">
        <v>282</v>
      </c>
    </row>
    <row r="594" spans="1:14" x14ac:dyDescent="0.3">
      <c r="A594" s="6">
        <v>9660002112</v>
      </c>
      <c r="B594" s="6">
        <v>1380</v>
      </c>
      <c r="C594" s="6" t="s">
        <v>285</v>
      </c>
      <c r="E594" s="6" t="s">
        <v>1452</v>
      </c>
      <c r="F594" s="12">
        <v>45000</v>
      </c>
      <c r="G594" s="6">
        <v>45000</v>
      </c>
      <c r="J594" s="12">
        <f>SUM(G594:I594)-F594</f>
        <v>0</v>
      </c>
      <c r="K594" s="14">
        <v>0.68759999999999999</v>
      </c>
      <c r="L594" s="14">
        <v>30942</v>
      </c>
      <c r="M594" s="6" t="s">
        <v>70</v>
      </c>
      <c r="N594" s="6" t="s">
        <v>286</v>
      </c>
    </row>
    <row r="595" spans="1:14" x14ac:dyDescent="0.3">
      <c r="A595" s="6">
        <v>9660002112</v>
      </c>
      <c r="B595" s="6">
        <v>1390</v>
      </c>
      <c r="C595" s="6" t="s">
        <v>287</v>
      </c>
      <c r="E595" s="6" t="s">
        <v>1453</v>
      </c>
      <c r="F595" s="12">
        <v>15000</v>
      </c>
      <c r="G595" s="6">
        <v>15000</v>
      </c>
      <c r="J595" s="12">
        <f>SUM(G595:I595)-F595</f>
        <v>0</v>
      </c>
      <c r="K595" s="14">
        <v>0.53459999999999996</v>
      </c>
      <c r="L595" s="14">
        <v>8019</v>
      </c>
      <c r="M595" s="6" t="s">
        <v>70</v>
      </c>
      <c r="N595" s="6" t="s">
        <v>288</v>
      </c>
    </row>
    <row r="596" spans="1:14" x14ac:dyDescent="0.3">
      <c r="A596" s="6">
        <v>9660002112</v>
      </c>
      <c r="B596" s="6">
        <v>1400</v>
      </c>
      <c r="C596" s="6" t="s">
        <v>289</v>
      </c>
      <c r="E596" s="6" t="s">
        <v>1454</v>
      </c>
      <c r="F596" s="12">
        <v>5000</v>
      </c>
      <c r="G596" s="6">
        <v>5000</v>
      </c>
      <c r="J596" s="12">
        <f>SUM(G596:I596)-F596</f>
        <v>0</v>
      </c>
      <c r="K596" s="14">
        <v>0.06</v>
      </c>
      <c r="L596" s="6">
        <v>300</v>
      </c>
      <c r="M596" s="6" t="s">
        <v>70</v>
      </c>
      <c r="N596" s="6" t="s">
        <v>290</v>
      </c>
    </row>
    <row r="597" spans="1:14" x14ac:dyDescent="0.3">
      <c r="A597" s="6">
        <v>9660002112</v>
      </c>
      <c r="B597" s="6">
        <v>1660</v>
      </c>
      <c r="C597" s="6" t="s">
        <v>343</v>
      </c>
      <c r="E597" s="6" t="s">
        <v>1480</v>
      </c>
      <c r="F597" s="12">
        <v>5000</v>
      </c>
      <c r="G597" s="6">
        <v>5000</v>
      </c>
      <c r="J597" s="12">
        <f>SUM(G597:I597)-F597</f>
        <v>0</v>
      </c>
      <c r="K597" s="14">
        <v>6.2279999999999995E-2</v>
      </c>
      <c r="L597" s="6">
        <v>311.39999999999998</v>
      </c>
      <c r="M597" s="6" t="s">
        <v>308</v>
      </c>
      <c r="N597" s="6" t="s">
        <v>344</v>
      </c>
    </row>
    <row r="598" spans="1:14" x14ac:dyDescent="0.3">
      <c r="A598" s="6">
        <v>9660002112</v>
      </c>
      <c r="B598" s="6">
        <v>1780</v>
      </c>
      <c r="C598" s="6" t="s">
        <v>370</v>
      </c>
      <c r="E598" s="6" t="s">
        <v>1492</v>
      </c>
      <c r="F598" s="12">
        <v>6000</v>
      </c>
      <c r="G598" s="6">
        <v>6000</v>
      </c>
      <c r="J598" s="12">
        <f>SUM(G598:I598)-F598</f>
        <v>0</v>
      </c>
      <c r="K598" s="14">
        <v>3.5999999999999997E-2</v>
      </c>
      <c r="L598" s="6">
        <v>216</v>
      </c>
      <c r="M598" s="6" t="s">
        <v>369</v>
      </c>
      <c r="N598" s="6" t="s">
        <v>371</v>
      </c>
    </row>
    <row r="599" spans="1:14" x14ac:dyDescent="0.3">
      <c r="A599" s="6">
        <v>9660002112</v>
      </c>
      <c r="B599" s="6">
        <v>1880</v>
      </c>
      <c r="C599" s="6" t="s">
        <v>391</v>
      </c>
      <c r="E599" s="6" t="s">
        <v>1502</v>
      </c>
      <c r="F599" s="12">
        <v>3000</v>
      </c>
      <c r="G599" s="6">
        <v>3000</v>
      </c>
      <c r="J599" s="12">
        <f>SUM(G599:I599)-F599</f>
        <v>0</v>
      </c>
      <c r="K599" s="14">
        <v>3.2399999999999998E-2</v>
      </c>
      <c r="L599" s="6">
        <v>97.2</v>
      </c>
      <c r="M599" s="6" t="s">
        <v>359</v>
      </c>
      <c r="N599" s="6" t="s">
        <v>392</v>
      </c>
    </row>
    <row r="600" spans="1:14" x14ac:dyDescent="0.3">
      <c r="A600" s="6">
        <v>9660002112</v>
      </c>
      <c r="B600" s="6">
        <v>1910</v>
      </c>
      <c r="C600" s="6" t="s">
        <v>397</v>
      </c>
      <c r="E600" s="6" t="s">
        <v>1505</v>
      </c>
      <c r="F600" s="12">
        <v>50000</v>
      </c>
      <c r="G600" s="6">
        <v>50000</v>
      </c>
      <c r="J600" s="12">
        <f>SUM(G600:I600)-F600</f>
        <v>0</v>
      </c>
      <c r="K600" s="14">
        <v>1.8999999999999998E-4</v>
      </c>
      <c r="L600" s="6">
        <v>9.5</v>
      </c>
      <c r="M600" s="6" t="s">
        <v>399</v>
      </c>
      <c r="N600" s="6" t="s">
        <v>398</v>
      </c>
    </row>
    <row r="601" spans="1:14" x14ac:dyDescent="0.3">
      <c r="A601" s="6">
        <v>9660002112</v>
      </c>
      <c r="B601" s="6">
        <v>1990</v>
      </c>
      <c r="C601" s="6" t="s">
        <v>414</v>
      </c>
      <c r="E601" s="6" t="s">
        <v>1513</v>
      </c>
      <c r="F601" s="12">
        <v>10000</v>
      </c>
      <c r="G601" s="6">
        <v>10000</v>
      </c>
      <c r="J601" s="12">
        <f>SUM(G601:I601)-F601</f>
        <v>0</v>
      </c>
      <c r="K601" s="14">
        <v>1.8999999999999998E-4</v>
      </c>
      <c r="L601" s="6">
        <v>1.9</v>
      </c>
      <c r="M601" s="6" t="s">
        <v>399</v>
      </c>
      <c r="N601" s="6" t="s">
        <v>415</v>
      </c>
    </row>
    <row r="602" spans="1:14" x14ac:dyDescent="0.3">
      <c r="A602" s="6">
        <v>9660002112</v>
      </c>
      <c r="B602" s="6">
        <v>2210</v>
      </c>
      <c r="C602" s="6" t="s">
        <v>458</v>
      </c>
      <c r="E602" s="6" t="s">
        <v>1535</v>
      </c>
      <c r="F602" s="12">
        <v>100000</v>
      </c>
      <c r="G602" s="6">
        <v>100000</v>
      </c>
      <c r="J602" s="12">
        <f>SUM(G602:I602)-F602</f>
        <v>0</v>
      </c>
      <c r="K602" s="14">
        <v>2.6000000000000003E-4</v>
      </c>
      <c r="L602" s="6">
        <v>26</v>
      </c>
      <c r="M602" s="6" t="s">
        <v>399</v>
      </c>
      <c r="N602" s="6" t="s">
        <v>459</v>
      </c>
    </row>
    <row r="603" spans="1:14" x14ac:dyDescent="0.3">
      <c r="A603" s="6">
        <v>9660002112</v>
      </c>
      <c r="B603" s="6">
        <v>2240</v>
      </c>
      <c r="C603" s="6" t="s">
        <v>464</v>
      </c>
      <c r="E603" s="6" t="s">
        <v>1538</v>
      </c>
      <c r="F603" s="12">
        <v>10000</v>
      </c>
      <c r="G603" s="6">
        <v>10000</v>
      </c>
      <c r="J603" s="12">
        <f>SUM(G603:I603)-F603</f>
        <v>0</v>
      </c>
      <c r="K603" s="14">
        <v>1.8999999999999998E-4</v>
      </c>
      <c r="L603" s="6">
        <v>1.9</v>
      </c>
      <c r="M603" s="6" t="s">
        <v>399</v>
      </c>
      <c r="N603" s="6" t="s">
        <v>465</v>
      </c>
    </row>
    <row r="604" spans="1:14" x14ac:dyDescent="0.3">
      <c r="A604" s="6">
        <v>9660002112</v>
      </c>
      <c r="B604" s="6">
        <v>2460</v>
      </c>
      <c r="C604" s="6" t="s">
        <v>508</v>
      </c>
      <c r="E604" s="6" t="s">
        <v>1560</v>
      </c>
      <c r="F604" s="12">
        <v>40000</v>
      </c>
      <c r="G604" s="6">
        <v>40000</v>
      </c>
      <c r="J604" s="12">
        <f>SUM(G604:I604)-F604</f>
        <v>0</v>
      </c>
      <c r="K604" s="14">
        <v>3.5E-4</v>
      </c>
      <c r="L604" s="6">
        <v>14</v>
      </c>
      <c r="M604" s="6" t="s">
        <v>399</v>
      </c>
      <c r="N604" s="6" t="s">
        <v>509</v>
      </c>
    </row>
    <row r="605" spans="1:14" x14ac:dyDescent="0.3">
      <c r="A605" s="6">
        <v>9660002112</v>
      </c>
      <c r="B605" s="6">
        <v>2520</v>
      </c>
      <c r="C605" s="6" t="s">
        <v>520</v>
      </c>
      <c r="E605" s="6" t="s">
        <v>1566</v>
      </c>
      <c r="F605" s="12">
        <v>30000</v>
      </c>
      <c r="G605" s="6">
        <v>30000</v>
      </c>
      <c r="J605" s="12">
        <f>SUM(G605:I605)-F605</f>
        <v>0</v>
      </c>
      <c r="K605" s="14">
        <v>4.7999999999999996E-4</v>
      </c>
      <c r="L605" s="6">
        <v>14.4</v>
      </c>
      <c r="M605" s="6" t="s">
        <v>399</v>
      </c>
      <c r="N605" s="6" t="s">
        <v>521</v>
      </c>
    </row>
    <row r="606" spans="1:14" x14ac:dyDescent="0.3">
      <c r="A606" s="6">
        <v>9660002112</v>
      </c>
      <c r="B606" s="6">
        <v>2690</v>
      </c>
      <c r="C606" s="6" t="s">
        <v>554</v>
      </c>
      <c r="E606" s="6" t="s">
        <v>1583</v>
      </c>
      <c r="F606" s="12">
        <v>300000</v>
      </c>
      <c r="G606" s="6">
        <v>300000</v>
      </c>
      <c r="J606" s="12">
        <f>SUM(G606:I606)-F606</f>
        <v>0</v>
      </c>
      <c r="K606" s="14">
        <v>4.2999999999999999E-4</v>
      </c>
      <c r="L606" s="6">
        <v>129</v>
      </c>
      <c r="M606" s="6" t="s">
        <v>399</v>
      </c>
      <c r="N606" s="6" t="s">
        <v>555</v>
      </c>
    </row>
    <row r="607" spans="1:14" x14ac:dyDescent="0.3">
      <c r="A607" s="6">
        <v>9660002112</v>
      </c>
      <c r="B607" s="6">
        <v>3140</v>
      </c>
      <c r="C607" s="6" t="s">
        <v>644</v>
      </c>
      <c r="E607" s="6" t="s">
        <v>1628</v>
      </c>
      <c r="F607" s="12">
        <v>50000</v>
      </c>
      <c r="G607" s="6">
        <v>50000</v>
      </c>
      <c r="J607" s="12">
        <f>SUM(G607:I607)-F607</f>
        <v>0</v>
      </c>
      <c r="K607" s="14">
        <v>1.8999999999999998E-4</v>
      </c>
      <c r="L607" s="6">
        <v>9.5</v>
      </c>
      <c r="M607" s="6" t="s">
        <v>399</v>
      </c>
      <c r="N607" s="6" t="s">
        <v>645</v>
      </c>
    </row>
    <row r="608" spans="1:14" x14ac:dyDescent="0.3">
      <c r="A608" s="6">
        <v>9660002112</v>
      </c>
      <c r="B608" s="6">
        <v>3470</v>
      </c>
      <c r="C608" s="6" t="s">
        <v>710</v>
      </c>
      <c r="E608" s="6" t="s">
        <v>1661</v>
      </c>
      <c r="F608" s="12">
        <v>10000</v>
      </c>
      <c r="G608" s="6">
        <v>10000</v>
      </c>
      <c r="J608" s="12">
        <f>SUM(G608:I608)-F608</f>
        <v>0</v>
      </c>
      <c r="K608" s="14">
        <v>1.8999999999999998E-4</v>
      </c>
      <c r="L608" s="6">
        <v>1.9</v>
      </c>
      <c r="M608" s="6" t="s">
        <v>399</v>
      </c>
      <c r="N608" s="6" t="s">
        <v>711</v>
      </c>
    </row>
    <row r="609" spans="1:14" x14ac:dyDescent="0.3">
      <c r="A609" s="6">
        <v>9660002112</v>
      </c>
      <c r="B609" s="6">
        <v>3510</v>
      </c>
      <c r="C609" s="6" t="s">
        <v>718</v>
      </c>
      <c r="E609" s="6" t="s">
        <v>1665</v>
      </c>
      <c r="F609" s="12">
        <v>10000</v>
      </c>
      <c r="G609" s="6">
        <v>10000</v>
      </c>
      <c r="J609" s="12">
        <f>SUM(G609:I609)-F609</f>
        <v>0</v>
      </c>
      <c r="K609" s="14">
        <v>1.8999999999999998E-4</v>
      </c>
      <c r="L609" s="6">
        <v>1.9</v>
      </c>
      <c r="M609" s="6" t="s">
        <v>399</v>
      </c>
      <c r="N609" s="6" t="s">
        <v>719</v>
      </c>
    </row>
    <row r="610" spans="1:14" x14ac:dyDescent="0.3">
      <c r="A610" s="6">
        <v>9660002112</v>
      </c>
      <c r="B610" s="6">
        <v>3690</v>
      </c>
      <c r="C610" s="6" t="s">
        <v>754</v>
      </c>
      <c r="E610" s="6" t="s">
        <v>1683</v>
      </c>
      <c r="F610" s="12">
        <v>20000</v>
      </c>
      <c r="G610" s="6">
        <v>20000</v>
      </c>
      <c r="J610" s="12">
        <f>SUM(G610:I610)-F610</f>
        <v>0</v>
      </c>
      <c r="K610" s="14">
        <v>1.8999999999999998E-4</v>
      </c>
      <c r="L610" s="6">
        <v>3.8</v>
      </c>
      <c r="M610" s="6" t="s">
        <v>399</v>
      </c>
      <c r="N610" s="6" t="s">
        <v>755</v>
      </c>
    </row>
    <row r="611" spans="1:14" x14ac:dyDescent="0.3">
      <c r="A611" s="6">
        <v>9660002112</v>
      </c>
      <c r="B611" s="6">
        <v>3800</v>
      </c>
      <c r="C611" s="6" t="s">
        <v>776</v>
      </c>
      <c r="E611" s="6" t="s">
        <v>1694</v>
      </c>
      <c r="F611" s="12">
        <v>10000</v>
      </c>
      <c r="G611" s="6">
        <v>10000</v>
      </c>
      <c r="J611" s="12">
        <f>SUM(G611:I611)-F611</f>
        <v>0</v>
      </c>
      <c r="K611" s="14">
        <v>1.8999999999999998E-4</v>
      </c>
      <c r="L611" s="6">
        <v>1.9</v>
      </c>
      <c r="M611" s="6" t="s">
        <v>399</v>
      </c>
      <c r="N611" s="6" t="s">
        <v>777</v>
      </c>
    </row>
    <row r="612" spans="1:14" x14ac:dyDescent="0.3">
      <c r="A612" s="6">
        <v>9660002112</v>
      </c>
      <c r="B612" s="6">
        <v>3880</v>
      </c>
      <c r="C612" s="6" t="s">
        <v>792</v>
      </c>
      <c r="E612" s="6" t="s">
        <v>1702</v>
      </c>
      <c r="F612" s="12">
        <v>10000</v>
      </c>
      <c r="G612" s="6">
        <v>10000</v>
      </c>
      <c r="J612" s="12">
        <f>SUM(G612:I612)-F612</f>
        <v>0</v>
      </c>
      <c r="K612" s="14">
        <v>1.8999999999999998E-4</v>
      </c>
      <c r="L612" s="6">
        <v>1.9</v>
      </c>
      <c r="M612" s="6" t="s">
        <v>399</v>
      </c>
      <c r="N612" s="6" t="s">
        <v>793</v>
      </c>
    </row>
    <row r="613" spans="1:14" x14ac:dyDescent="0.3">
      <c r="A613" s="6">
        <v>9660002112</v>
      </c>
      <c r="B613" s="6">
        <v>4260</v>
      </c>
      <c r="C613" s="6" t="s">
        <v>868</v>
      </c>
      <c r="E613" s="6" t="s">
        <v>1740</v>
      </c>
      <c r="F613" s="12">
        <v>10000</v>
      </c>
      <c r="G613" s="6">
        <v>10000</v>
      </c>
      <c r="J613" s="12">
        <f>SUM(G613:I613)-F613</f>
        <v>0</v>
      </c>
      <c r="K613" s="14">
        <v>1.8999999999999998E-4</v>
      </c>
      <c r="L613" s="6">
        <v>1.9</v>
      </c>
      <c r="M613" s="6" t="s">
        <v>399</v>
      </c>
      <c r="N613" s="6" t="s">
        <v>869</v>
      </c>
    </row>
    <row r="614" spans="1:14" x14ac:dyDescent="0.3">
      <c r="A614" s="6">
        <v>9660002112</v>
      </c>
      <c r="B614" s="6">
        <v>4550</v>
      </c>
      <c r="C614" s="6" t="s">
        <v>927</v>
      </c>
      <c r="E614" s="6" t="s">
        <v>1769</v>
      </c>
      <c r="F614" s="12">
        <v>195000</v>
      </c>
      <c r="G614" s="6">
        <v>195000</v>
      </c>
      <c r="J614" s="12">
        <f>SUM(G614:I614)-F614</f>
        <v>0</v>
      </c>
      <c r="K614" s="14">
        <v>3.6999999999999999E-4</v>
      </c>
      <c r="L614" s="6">
        <v>72.150000000000006</v>
      </c>
      <c r="M614" s="6" t="s">
        <v>912</v>
      </c>
      <c r="N614" s="6" t="s">
        <v>928</v>
      </c>
    </row>
    <row r="615" spans="1:14" x14ac:dyDescent="0.3">
      <c r="A615" s="6">
        <v>9660002112</v>
      </c>
      <c r="B615" s="6">
        <v>4570</v>
      </c>
      <c r="C615" s="6" t="s">
        <v>931</v>
      </c>
      <c r="E615" s="6" t="s">
        <v>1771</v>
      </c>
      <c r="F615" s="12">
        <v>345000</v>
      </c>
      <c r="G615" s="6">
        <v>345000</v>
      </c>
      <c r="J615" s="12">
        <f>SUM(G615:I615)-F615</f>
        <v>0</v>
      </c>
      <c r="K615" s="14">
        <v>3.6999999999999999E-4</v>
      </c>
      <c r="L615" s="6">
        <v>127.65</v>
      </c>
      <c r="M615" s="6" t="s">
        <v>912</v>
      </c>
      <c r="N615" s="6" t="s">
        <v>932</v>
      </c>
    </row>
    <row r="616" spans="1:14" x14ac:dyDescent="0.3">
      <c r="A616" s="6">
        <v>9660002112</v>
      </c>
      <c r="B616" s="6">
        <v>4670</v>
      </c>
      <c r="C616" s="6" t="s">
        <v>951</v>
      </c>
      <c r="E616" s="6" t="s">
        <v>1781</v>
      </c>
      <c r="F616" s="12">
        <v>195000</v>
      </c>
      <c r="G616" s="6">
        <v>195000</v>
      </c>
      <c r="J616" s="12">
        <f>SUM(G616:I616)-F616</f>
        <v>0</v>
      </c>
      <c r="K616" s="14">
        <v>8.5999999999999998E-4</v>
      </c>
      <c r="L616" s="6">
        <v>167.7</v>
      </c>
      <c r="M616" s="6" t="s">
        <v>912</v>
      </c>
      <c r="N616" s="6" t="s">
        <v>952</v>
      </c>
    </row>
    <row r="617" spans="1:14" x14ac:dyDescent="0.3">
      <c r="A617" s="6">
        <v>9660002112</v>
      </c>
      <c r="B617" s="6">
        <v>4710</v>
      </c>
      <c r="C617" s="6" t="s">
        <v>959</v>
      </c>
      <c r="E617" s="6" t="s">
        <v>1785</v>
      </c>
      <c r="F617" s="12">
        <v>8000</v>
      </c>
      <c r="G617" s="6">
        <v>8000</v>
      </c>
      <c r="J617" s="12">
        <f>SUM(G617:I617)-F617</f>
        <v>0</v>
      </c>
      <c r="K617" s="14">
        <v>3.4799999999999996E-3</v>
      </c>
      <c r="L617" s="6">
        <v>27.84</v>
      </c>
      <c r="M617" s="6" t="s">
        <v>912</v>
      </c>
      <c r="N617" s="6" t="s">
        <v>960</v>
      </c>
    </row>
    <row r="618" spans="1:14" x14ac:dyDescent="0.3">
      <c r="A618" s="6">
        <v>9660002112</v>
      </c>
      <c r="B618" s="6">
        <v>4840</v>
      </c>
      <c r="C618" s="6" t="s">
        <v>985</v>
      </c>
      <c r="E618" s="6" t="s">
        <v>1798</v>
      </c>
      <c r="F618" s="12">
        <v>795000</v>
      </c>
      <c r="G618" s="6">
        <v>795000</v>
      </c>
      <c r="J618" s="12">
        <f>SUM(G618:I618)-F618</f>
        <v>0</v>
      </c>
      <c r="K618" s="14">
        <v>2.5200000000000001E-3</v>
      </c>
      <c r="L618" s="14">
        <v>2003.4</v>
      </c>
      <c r="M618" s="6" t="s">
        <v>912</v>
      </c>
      <c r="N618" s="6" t="s">
        <v>986</v>
      </c>
    </row>
    <row r="619" spans="1:14" x14ac:dyDescent="0.3">
      <c r="A619" s="6">
        <v>9660002112</v>
      </c>
      <c r="B619" s="6">
        <v>5550</v>
      </c>
      <c r="C619" s="6" t="s">
        <v>1128</v>
      </c>
      <c r="E619" s="6" t="s">
        <v>1869</v>
      </c>
      <c r="F619" s="12">
        <v>4000</v>
      </c>
      <c r="G619" s="6">
        <v>4000</v>
      </c>
      <c r="J619" s="12">
        <f>SUM(G619:I619)-F619</f>
        <v>0</v>
      </c>
      <c r="K619" s="14">
        <v>9.3600000000000003E-2</v>
      </c>
      <c r="L619" s="6">
        <v>374.4</v>
      </c>
      <c r="M619" s="6" t="s">
        <v>1130</v>
      </c>
      <c r="N619" s="6" t="s">
        <v>1129</v>
      </c>
    </row>
    <row r="620" spans="1:14" x14ac:dyDescent="0.3">
      <c r="A620" s="6">
        <v>9660002112</v>
      </c>
      <c r="B620" s="6">
        <v>5580</v>
      </c>
      <c r="C620" s="6" t="s">
        <v>1135</v>
      </c>
      <c r="E620" s="6" t="s">
        <v>1872</v>
      </c>
      <c r="F620" s="12">
        <v>10000</v>
      </c>
      <c r="G620" s="6">
        <v>10000</v>
      </c>
      <c r="J620" s="12">
        <f>SUM(G620:I620)-F620</f>
        <v>0</v>
      </c>
      <c r="K620" s="14">
        <v>3.5999999999999997E-2</v>
      </c>
      <c r="L620" s="6">
        <v>360</v>
      </c>
      <c r="M620" s="6" t="s">
        <v>1130</v>
      </c>
      <c r="N620" s="6" t="s">
        <v>1136</v>
      </c>
    </row>
    <row r="621" spans="1:14" x14ac:dyDescent="0.3">
      <c r="A621" s="6">
        <v>9660002112</v>
      </c>
      <c r="B621" s="6">
        <v>5800</v>
      </c>
      <c r="C621" s="6" t="s">
        <v>1180</v>
      </c>
      <c r="E621" s="6" t="s">
        <v>1894</v>
      </c>
      <c r="F621" s="12">
        <v>8000</v>
      </c>
      <c r="G621" s="6">
        <v>8000</v>
      </c>
      <c r="J621" s="12">
        <f>SUM(G621:I621)-F621</f>
        <v>0</v>
      </c>
      <c r="K621" s="14">
        <v>5.5E-2</v>
      </c>
      <c r="L621" s="6">
        <v>440</v>
      </c>
      <c r="M621" s="6" t="s">
        <v>1130</v>
      </c>
      <c r="N621" s="6" t="s">
        <v>1181</v>
      </c>
    </row>
    <row r="622" spans="1:14" x14ac:dyDescent="0.3">
      <c r="A622" s="6">
        <v>9660002112</v>
      </c>
      <c r="B622" s="6">
        <v>5810</v>
      </c>
      <c r="C622" s="6" t="s">
        <v>1182</v>
      </c>
      <c r="E622" s="6" t="s">
        <v>1895</v>
      </c>
      <c r="F622" s="12">
        <v>10000</v>
      </c>
      <c r="G622" s="6">
        <v>10000</v>
      </c>
      <c r="J622" s="12">
        <f>SUM(G622:I622)-F622</f>
        <v>0</v>
      </c>
      <c r="K622" s="14">
        <v>6.9599999999999995E-2</v>
      </c>
      <c r="L622" s="6">
        <v>696</v>
      </c>
      <c r="M622" s="6" t="s">
        <v>1130</v>
      </c>
      <c r="N622" s="6" t="s">
        <v>1183</v>
      </c>
    </row>
    <row r="623" spans="1:14" x14ac:dyDescent="0.3">
      <c r="A623" s="6">
        <v>9660002112</v>
      </c>
      <c r="B623" s="6">
        <v>5730</v>
      </c>
      <c r="C623" s="6" t="s">
        <v>1166</v>
      </c>
      <c r="E623" s="6" t="s">
        <v>1887</v>
      </c>
      <c r="F623" s="12">
        <v>4000</v>
      </c>
      <c r="G623" s="6">
        <v>4000</v>
      </c>
      <c r="J623" s="12">
        <f>SUM(G623:I623)-F623</f>
        <v>0</v>
      </c>
      <c r="K623" s="14">
        <v>0.16067999999999999</v>
      </c>
      <c r="L623" s="6">
        <v>642.72</v>
      </c>
      <c r="M623" s="6" t="s">
        <v>1130</v>
      </c>
      <c r="N623" s="6" t="s">
        <v>1167</v>
      </c>
    </row>
    <row r="624" spans="1:14" x14ac:dyDescent="0.3">
      <c r="A624" s="6">
        <v>9660002112</v>
      </c>
      <c r="B624" s="6">
        <v>5820</v>
      </c>
      <c r="C624" s="6" t="s">
        <v>1184</v>
      </c>
      <c r="E624" s="6" t="s">
        <v>1896</v>
      </c>
      <c r="F624" s="12">
        <v>45000</v>
      </c>
      <c r="G624" s="6">
        <v>45000</v>
      </c>
      <c r="J624" s="12">
        <f>SUM(G624:I624)-F624</f>
        <v>0</v>
      </c>
      <c r="K624" s="14">
        <v>5.4729999999999994E-2</v>
      </c>
      <c r="L624" s="14">
        <v>2462.85</v>
      </c>
      <c r="M624" s="6" t="s">
        <v>1130</v>
      </c>
      <c r="N624" s="6" t="s">
        <v>1185</v>
      </c>
    </row>
    <row r="625" spans="1:15" x14ac:dyDescent="0.3">
      <c r="A625" s="6">
        <v>9660002112</v>
      </c>
      <c r="B625" s="6">
        <v>5830</v>
      </c>
      <c r="C625" s="6" t="s">
        <v>1186</v>
      </c>
      <c r="E625" s="6" t="s">
        <v>1897</v>
      </c>
      <c r="F625" s="12">
        <v>50000</v>
      </c>
      <c r="G625" s="6">
        <v>50000</v>
      </c>
      <c r="J625" s="12">
        <f>SUM(G625:I625)-F625</f>
        <v>0</v>
      </c>
      <c r="K625" s="14">
        <v>1.728E-2</v>
      </c>
      <c r="L625" s="6">
        <v>864</v>
      </c>
      <c r="M625" s="6" t="s">
        <v>1130</v>
      </c>
      <c r="N625" s="6" t="s">
        <v>1187</v>
      </c>
    </row>
    <row r="626" spans="1:15" x14ac:dyDescent="0.3">
      <c r="A626" s="6">
        <v>9660002112</v>
      </c>
      <c r="B626" s="6">
        <v>6210</v>
      </c>
      <c r="C626" s="6" t="s">
        <v>1268</v>
      </c>
      <c r="E626" s="6" t="s">
        <v>1934</v>
      </c>
      <c r="F626" s="12">
        <v>2500</v>
      </c>
      <c r="G626" s="6">
        <v>2500</v>
      </c>
      <c r="J626" s="12">
        <f>SUM(G626:I626)-F626</f>
        <v>0</v>
      </c>
      <c r="K626" s="14">
        <v>2.0279999999999999E-2</v>
      </c>
      <c r="L626" s="6">
        <v>50.7</v>
      </c>
      <c r="M626" s="6" t="s">
        <v>80</v>
      </c>
      <c r="N626" s="6" t="s">
        <v>1269</v>
      </c>
    </row>
    <row r="627" spans="1:15" x14ac:dyDescent="0.3">
      <c r="A627" s="6">
        <v>9660002112</v>
      </c>
      <c r="B627" s="6">
        <v>6350</v>
      </c>
      <c r="C627" s="6" t="s">
        <v>1298</v>
      </c>
      <c r="E627" s="6" t="s">
        <v>1948</v>
      </c>
      <c r="F627" s="12">
        <v>7500</v>
      </c>
      <c r="G627" s="6">
        <v>7500</v>
      </c>
      <c r="J627" s="12">
        <f>SUM(G627:I627)-F627</f>
        <v>0</v>
      </c>
      <c r="K627" s="14">
        <v>0.56999999999999995</v>
      </c>
      <c r="L627" s="14">
        <v>4275</v>
      </c>
      <c r="M627" s="6" t="s">
        <v>80</v>
      </c>
      <c r="N627" s="6" t="s">
        <v>1299</v>
      </c>
    </row>
    <row r="628" spans="1:15" x14ac:dyDescent="0.3">
      <c r="A628" s="6">
        <v>9660002112</v>
      </c>
      <c r="B628" s="6">
        <v>6450</v>
      </c>
      <c r="C628" s="6" t="s">
        <v>1318</v>
      </c>
      <c r="E628" s="6" t="s">
        <v>1958</v>
      </c>
      <c r="F628" s="12">
        <v>26520</v>
      </c>
      <c r="G628" s="6">
        <v>26520</v>
      </c>
      <c r="J628" s="12">
        <f>SUM(G628:I628)-F628</f>
        <v>0</v>
      </c>
      <c r="K628" s="14">
        <v>0.19188</v>
      </c>
      <c r="L628" s="14">
        <v>5088.66</v>
      </c>
      <c r="M628" s="6" t="s">
        <v>1320</v>
      </c>
      <c r="N628" s="6" t="s">
        <v>1319</v>
      </c>
    </row>
    <row r="629" spans="1:15" x14ac:dyDescent="0.3">
      <c r="A629" s="6">
        <v>9660002112</v>
      </c>
      <c r="B629" s="6">
        <v>1320</v>
      </c>
      <c r="C629" s="6" t="s">
        <v>273</v>
      </c>
      <c r="E629" s="6" t="s">
        <v>1447</v>
      </c>
      <c r="F629" s="12">
        <v>34300</v>
      </c>
      <c r="I629" s="6">
        <v>34300</v>
      </c>
      <c r="J629" s="12">
        <f>SUM(G629:I629)-F629</f>
        <v>0</v>
      </c>
      <c r="K629" s="14">
        <v>1.224</v>
      </c>
      <c r="L629" s="14">
        <v>41983.199999999997</v>
      </c>
      <c r="M629" s="6" t="s">
        <v>70</v>
      </c>
      <c r="N629" s="6" t="s">
        <v>274</v>
      </c>
    </row>
    <row r="630" spans="1:15" x14ac:dyDescent="0.3">
      <c r="A630" s="6">
        <v>9660002112</v>
      </c>
      <c r="B630" s="6">
        <v>740</v>
      </c>
      <c r="C630" s="6" t="s">
        <v>156</v>
      </c>
      <c r="E630" s="6" t="s">
        <v>1389</v>
      </c>
      <c r="F630" s="12">
        <v>3000</v>
      </c>
      <c r="G630" s="6">
        <v>3000</v>
      </c>
      <c r="J630" s="12">
        <f>SUM(G630:I630)-F630</f>
        <v>0</v>
      </c>
      <c r="K630" s="14">
        <v>2.6160000000000003E-2</v>
      </c>
      <c r="L630" s="6">
        <v>78.48</v>
      </c>
      <c r="M630" s="6" t="s">
        <v>70</v>
      </c>
      <c r="N630" s="6" t="s">
        <v>157</v>
      </c>
    </row>
    <row r="631" spans="1:15" x14ac:dyDescent="0.3">
      <c r="A631" s="6">
        <v>9660002112</v>
      </c>
      <c r="B631" s="6">
        <v>150</v>
      </c>
      <c r="C631" s="6" t="s">
        <v>36</v>
      </c>
      <c r="E631" s="6" t="s">
        <v>1340</v>
      </c>
      <c r="F631" s="12">
        <v>41733</v>
      </c>
      <c r="I631" s="6">
        <v>41800</v>
      </c>
      <c r="J631" s="12">
        <f>SUM(G631:I631)-F631</f>
        <v>67</v>
      </c>
      <c r="K631" s="14">
        <v>7.2830000000000004</v>
      </c>
      <c r="L631" s="14">
        <v>303941.44</v>
      </c>
      <c r="M631" s="6" t="s">
        <v>9</v>
      </c>
      <c r="N631" s="6" t="s">
        <v>37</v>
      </c>
    </row>
    <row r="632" spans="1:15" x14ac:dyDescent="0.3">
      <c r="A632" s="6">
        <v>9660002112</v>
      </c>
      <c r="B632" s="6">
        <v>5880</v>
      </c>
      <c r="C632" s="6" t="s">
        <v>1198</v>
      </c>
      <c r="E632" s="6" t="s">
        <v>1902</v>
      </c>
      <c r="F632" s="12">
        <v>60000</v>
      </c>
      <c r="I632" s="6">
        <v>42000</v>
      </c>
      <c r="J632" s="12">
        <f>SUM(G632:I632)-F632</f>
        <v>-18000</v>
      </c>
      <c r="K632" s="14">
        <v>5.33E-2</v>
      </c>
      <c r="L632" s="14">
        <v>3198</v>
      </c>
      <c r="M632" s="6" t="s">
        <v>1193</v>
      </c>
      <c r="N632" s="6" t="s">
        <v>1199</v>
      </c>
      <c r="O632" s="13" t="s">
        <v>2003</v>
      </c>
    </row>
    <row r="633" spans="1:15" x14ac:dyDescent="0.3">
      <c r="A633" s="6">
        <v>9660002112</v>
      </c>
      <c r="B633" s="6">
        <v>2600</v>
      </c>
      <c r="C633" s="6" t="s">
        <v>536</v>
      </c>
      <c r="E633" s="6" t="s">
        <v>1574</v>
      </c>
      <c r="F633" s="12">
        <v>90000</v>
      </c>
      <c r="G633" s="6">
        <v>90000</v>
      </c>
      <c r="J633" s="12">
        <f>SUM(G633:I633)-F633</f>
        <v>0</v>
      </c>
      <c r="K633" s="14">
        <v>6.6E-4</v>
      </c>
      <c r="L633" s="6">
        <v>59.4</v>
      </c>
      <c r="M633" s="6" t="s">
        <v>399</v>
      </c>
      <c r="N633" s="6" t="s">
        <v>537</v>
      </c>
    </row>
    <row r="634" spans="1:15" x14ac:dyDescent="0.3">
      <c r="A634" s="6">
        <v>9660002112</v>
      </c>
      <c r="B634" s="6">
        <v>2720</v>
      </c>
      <c r="C634" s="6" t="s">
        <v>560</v>
      </c>
      <c r="E634" s="6" t="s">
        <v>1586</v>
      </c>
      <c r="F634" s="12">
        <v>90000</v>
      </c>
      <c r="G634" s="6">
        <v>90000</v>
      </c>
      <c r="J634" s="12">
        <f>SUM(G634:I634)-F634</f>
        <v>0</v>
      </c>
      <c r="K634" s="14">
        <v>4.0999999999999999E-4</v>
      </c>
      <c r="L634" s="6">
        <v>36.9</v>
      </c>
      <c r="M634" s="6" t="s">
        <v>399</v>
      </c>
      <c r="N634" s="6" t="s">
        <v>561</v>
      </c>
    </row>
    <row r="635" spans="1:15" x14ac:dyDescent="0.3">
      <c r="A635" s="6">
        <v>9660002112</v>
      </c>
      <c r="B635" s="6">
        <v>3590</v>
      </c>
      <c r="C635" s="6" t="s">
        <v>734</v>
      </c>
      <c r="E635" s="6" t="s">
        <v>1673</v>
      </c>
      <c r="F635" s="12">
        <v>50000</v>
      </c>
      <c r="G635" s="6">
        <v>50000</v>
      </c>
      <c r="J635" s="12">
        <f>SUM(G635:I635)-F635</f>
        <v>0</v>
      </c>
      <c r="K635" s="14">
        <v>1.8000000000000001E-4</v>
      </c>
      <c r="L635" s="6">
        <v>9</v>
      </c>
      <c r="M635" s="6" t="s">
        <v>399</v>
      </c>
      <c r="N635" s="6" t="s">
        <v>735</v>
      </c>
    </row>
    <row r="636" spans="1:15" x14ac:dyDescent="0.3">
      <c r="A636" s="6">
        <v>9660002112</v>
      </c>
      <c r="B636" s="6">
        <v>3730</v>
      </c>
      <c r="C636" s="6" t="s">
        <v>762</v>
      </c>
      <c r="E636" s="6" t="s">
        <v>1687</v>
      </c>
      <c r="F636" s="12">
        <v>50000</v>
      </c>
      <c r="G636" s="6">
        <v>50000</v>
      </c>
      <c r="J636" s="12">
        <f>SUM(G636:I636)-F636</f>
        <v>0</v>
      </c>
      <c r="K636" s="14">
        <v>1.8000000000000001E-4</v>
      </c>
      <c r="L636" s="6">
        <v>9</v>
      </c>
      <c r="M636" s="6" t="s">
        <v>399</v>
      </c>
      <c r="N636" s="6" t="s">
        <v>763</v>
      </c>
    </row>
    <row r="637" spans="1:15" x14ac:dyDescent="0.3">
      <c r="A637" s="6">
        <v>9660002112</v>
      </c>
      <c r="B637" s="6">
        <v>3860</v>
      </c>
      <c r="C637" s="6" t="s">
        <v>788</v>
      </c>
      <c r="E637" s="6" t="s">
        <v>1700</v>
      </c>
      <c r="F637" s="12">
        <v>50000</v>
      </c>
      <c r="G637" s="6">
        <v>50000</v>
      </c>
      <c r="J637" s="12">
        <f>SUM(G637:I637)-F637</f>
        <v>0</v>
      </c>
      <c r="K637" s="14">
        <v>1.8000000000000001E-4</v>
      </c>
      <c r="L637" s="6">
        <v>9</v>
      </c>
      <c r="M637" s="6" t="s">
        <v>399</v>
      </c>
      <c r="N637" s="6" t="s">
        <v>789</v>
      </c>
    </row>
    <row r="638" spans="1:15" x14ac:dyDescent="0.3">
      <c r="A638" s="6">
        <v>9660002112</v>
      </c>
      <c r="B638" s="6">
        <v>4680</v>
      </c>
      <c r="C638" s="6" t="s">
        <v>953</v>
      </c>
      <c r="E638" s="6" t="s">
        <v>1782</v>
      </c>
      <c r="F638" s="12">
        <v>15000</v>
      </c>
      <c r="G638" s="6">
        <v>15000</v>
      </c>
      <c r="J638" s="12">
        <f>SUM(G638:I638)-F638</f>
        <v>0</v>
      </c>
      <c r="K638" s="14">
        <v>9.5999999999999992E-4</v>
      </c>
      <c r="L638" s="6">
        <v>14.4</v>
      </c>
      <c r="M638" s="6" t="s">
        <v>912</v>
      </c>
      <c r="N638" s="6" t="s">
        <v>954</v>
      </c>
    </row>
    <row r="639" spans="1:15" x14ac:dyDescent="0.3">
      <c r="A639" s="6">
        <v>9660002112</v>
      </c>
      <c r="B639" s="6">
        <v>4930</v>
      </c>
      <c r="C639" s="6" t="s">
        <v>1003</v>
      </c>
      <c r="E639" s="6" t="s">
        <v>1807</v>
      </c>
      <c r="F639" s="12">
        <v>40000</v>
      </c>
      <c r="G639" s="6">
        <v>40000</v>
      </c>
      <c r="J639" s="12">
        <f>SUM(G639:I639)-F639</f>
        <v>0</v>
      </c>
      <c r="K639" s="14">
        <v>1.176E-2</v>
      </c>
      <c r="L639" s="6">
        <v>470.4</v>
      </c>
      <c r="M639" s="6" t="s">
        <v>912</v>
      </c>
      <c r="N639" s="6" t="s">
        <v>1004</v>
      </c>
    </row>
    <row r="640" spans="1:15" x14ac:dyDescent="0.3">
      <c r="A640" s="6">
        <v>9660002112</v>
      </c>
      <c r="B640" s="6">
        <v>5760</v>
      </c>
      <c r="C640" s="6" t="s">
        <v>1172</v>
      </c>
      <c r="E640" s="6" t="s">
        <v>1890</v>
      </c>
      <c r="F640" s="12">
        <v>241500</v>
      </c>
      <c r="G640" s="6">
        <v>241500</v>
      </c>
      <c r="J640" s="12">
        <f>SUM(G640:I640)-F640</f>
        <v>0</v>
      </c>
      <c r="K640" s="14">
        <v>6.9599999999999995E-2</v>
      </c>
      <c r="L640" s="14">
        <v>16808.400000000001</v>
      </c>
      <c r="M640" s="6" t="s">
        <v>1130</v>
      </c>
      <c r="N640" s="6" t="s">
        <v>1173</v>
      </c>
    </row>
    <row r="641" spans="1:14" x14ac:dyDescent="0.3">
      <c r="A641" s="6">
        <v>9660002112</v>
      </c>
      <c r="B641" s="6">
        <v>2310</v>
      </c>
      <c r="C641" s="6" t="s">
        <v>478</v>
      </c>
      <c r="E641" s="6" t="s">
        <v>1545</v>
      </c>
      <c r="F641" s="12">
        <v>480000</v>
      </c>
      <c r="G641" s="6">
        <v>480000</v>
      </c>
      <c r="J641" s="12">
        <f>SUM(G641:I641)-F641</f>
        <v>0</v>
      </c>
      <c r="K641" s="14">
        <v>1.8000000000000001E-4</v>
      </c>
      <c r="L641" s="6">
        <v>86.4</v>
      </c>
      <c r="M641" s="6" t="s">
        <v>399</v>
      </c>
      <c r="N641" s="6" t="s">
        <v>479</v>
      </c>
    </row>
    <row r="642" spans="1:14" x14ac:dyDescent="0.3">
      <c r="A642" s="6">
        <v>9660002112</v>
      </c>
      <c r="B642" s="6">
        <v>5360</v>
      </c>
      <c r="C642" s="6" t="s">
        <v>1089</v>
      </c>
      <c r="E642" s="6" t="s">
        <v>1850</v>
      </c>
      <c r="F642" s="12">
        <v>140000</v>
      </c>
      <c r="G642" s="6">
        <v>140000</v>
      </c>
      <c r="J642" s="12">
        <f>SUM(G642:I642)-F642</f>
        <v>0</v>
      </c>
      <c r="K642" s="14">
        <v>3.6000000000000002E-4</v>
      </c>
      <c r="L642" s="6">
        <v>50.4</v>
      </c>
      <c r="M642" s="6" t="s">
        <v>912</v>
      </c>
      <c r="N642" s="6" t="s">
        <v>1090</v>
      </c>
    </row>
    <row r="643" spans="1:14" x14ac:dyDescent="0.3">
      <c r="A643" s="6">
        <v>9660002112</v>
      </c>
      <c r="B643" s="6">
        <v>160</v>
      </c>
      <c r="C643" s="6" t="s">
        <v>38</v>
      </c>
      <c r="E643" s="6" t="s">
        <v>1341</v>
      </c>
      <c r="F643" s="12">
        <v>41733</v>
      </c>
      <c r="I643" s="6">
        <v>41800</v>
      </c>
      <c r="J643" s="12">
        <f>SUM(G643:I643)-F643</f>
        <v>67</v>
      </c>
      <c r="K643" s="14">
        <v>0.01</v>
      </c>
      <c r="L643" s="6">
        <v>417.33</v>
      </c>
      <c r="M643" s="6" t="s">
        <v>9</v>
      </c>
      <c r="N643" s="6" t="s">
        <v>39</v>
      </c>
    </row>
    <row r="644" spans="1:14" x14ac:dyDescent="0.3">
      <c r="A644" s="6">
        <v>9660002112</v>
      </c>
      <c r="B644" s="6">
        <v>390</v>
      </c>
      <c r="C644" s="6" t="s">
        <v>81</v>
      </c>
      <c r="E644" s="6" t="s">
        <v>1355</v>
      </c>
      <c r="F644" s="12">
        <v>42250</v>
      </c>
      <c r="H644" s="6">
        <v>42250</v>
      </c>
      <c r="J644" s="12">
        <f>SUM(G644:I644)-F644</f>
        <v>0</v>
      </c>
      <c r="K644" s="14">
        <v>0.14879999999999999</v>
      </c>
      <c r="L644" s="14">
        <v>6286.8</v>
      </c>
      <c r="M644" s="6" t="s">
        <v>80</v>
      </c>
      <c r="N644" s="6" t="s">
        <v>82</v>
      </c>
    </row>
    <row r="645" spans="1:14" x14ac:dyDescent="0.3">
      <c r="A645" s="6">
        <v>9660002112</v>
      </c>
      <c r="B645" s="6">
        <v>520</v>
      </c>
      <c r="C645" s="6" t="s">
        <v>108</v>
      </c>
      <c r="E645" s="6" t="s">
        <v>1367</v>
      </c>
      <c r="F645" s="12">
        <v>43000</v>
      </c>
      <c r="I645" s="6">
        <v>43000</v>
      </c>
      <c r="J645" s="12">
        <f>SUM(G645:I645)-F645</f>
        <v>0</v>
      </c>
      <c r="K645" s="14">
        <v>9.9599999999999994E-2</v>
      </c>
      <c r="L645" s="14">
        <v>4282.8</v>
      </c>
      <c r="M645" s="6" t="s">
        <v>80</v>
      </c>
      <c r="N645" s="6" t="s">
        <v>109</v>
      </c>
    </row>
    <row r="646" spans="1:14" x14ac:dyDescent="0.3">
      <c r="A646" s="6">
        <v>9660002112</v>
      </c>
      <c r="B646" s="6">
        <v>560</v>
      </c>
      <c r="C646" s="6" t="s">
        <v>116</v>
      </c>
      <c r="E646" s="6" t="s">
        <v>1371</v>
      </c>
      <c r="F646" s="12">
        <v>42800</v>
      </c>
      <c r="G646" s="6">
        <v>42800</v>
      </c>
      <c r="J646" s="12">
        <f>SUM(G646:I646)-F646</f>
        <v>0</v>
      </c>
      <c r="K646" s="14">
        <v>0.16775999999999999</v>
      </c>
      <c r="L646" s="14">
        <v>7180.13</v>
      </c>
      <c r="M646" s="6" t="s">
        <v>80</v>
      </c>
      <c r="N646" s="6" t="s">
        <v>117</v>
      </c>
    </row>
    <row r="647" spans="1:14" x14ac:dyDescent="0.3">
      <c r="A647" s="6">
        <v>9660002112</v>
      </c>
      <c r="B647" s="6">
        <v>1200</v>
      </c>
      <c r="C647" s="6" t="s">
        <v>249</v>
      </c>
      <c r="E647" s="6" t="s">
        <v>1435</v>
      </c>
      <c r="F647" s="12">
        <v>44044</v>
      </c>
      <c r="G647" s="6">
        <v>44044</v>
      </c>
      <c r="J647" s="12">
        <f>SUM(G647:I647)-F647</f>
        <v>0</v>
      </c>
      <c r="K647" s="14">
        <v>1.2</v>
      </c>
      <c r="L647" s="14">
        <v>52852.800000000003</v>
      </c>
      <c r="M647" s="6" t="s">
        <v>61</v>
      </c>
      <c r="N647" s="6" t="s">
        <v>250</v>
      </c>
    </row>
    <row r="648" spans="1:14" x14ac:dyDescent="0.3">
      <c r="A648" s="6">
        <v>9660002112</v>
      </c>
      <c r="B648" s="6">
        <v>3220</v>
      </c>
      <c r="C648" s="6" t="s">
        <v>660</v>
      </c>
      <c r="E648" s="6" t="s">
        <v>1636</v>
      </c>
      <c r="F648" s="12">
        <v>50000</v>
      </c>
      <c r="G648" s="6">
        <v>50000</v>
      </c>
      <c r="J648" s="12">
        <f>SUM(G648:I648)-F648</f>
        <v>0</v>
      </c>
      <c r="K648" s="14">
        <v>1.8000000000000001E-4</v>
      </c>
      <c r="L648" s="6">
        <v>9</v>
      </c>
      <c r="M648" s="6" t="s">
        <v>399</v>
      </c>
      <c r="N648" s="6" t="s">
        <v>661</v>
      </c>
    </row>
    <row r="649" spans="1:14" x14ac:dyDescent="0.3">
      <c r="A649" s="6">
        <v>9660002112</v>
      </c>
      <c r="B649" s="6">
        <v>6150</v>
      </c>
      <c r="C649" s="6" t="s">
        <v>1256</v>
      </c>
      <c r="E649" s="6" t="s">
        <v>1928</v>
      </c>
      <c r="F649" s="12">
        <v>36000</v>
      </c>
      <c r="G649" s="6">
        <v>36000</v>
      </c>
      <c r="J649" s="12">
        <f>SUM(G649:I649)-F649</f>
        <v>0</v>
      </c>
      <c r="K649" s="14">
        <v>2.0279999999999999E-2</v>
      </c>
      <c r="L649" s="6">
        <v>730.08</v>
      </c>
      <c r="M649" s="6" t="s">
        <v>80</v>
      </c>
      <c r="N649" s="6" t="s">
        <v>1257</v>
      </c>
    </row>
    <row r="650" spans="1:14" x14ac:dyDescent="0.3">
      <c r="A650" s="6">
        <v>9660002112</v>
      </c>
      <c r="B650" s="6">
        <v>6160</v>
      </c>
      <c r="C650" s="6" t="s">
        <v>1258</v>
      </c>
      <c r="E650" s="6" t="s">
        <v>1929</v>
      </c>
      <c r="F650" s="12">
        <v>50000</v>
      </c>
      <c r="G650" s="6">
        <v>50000</v>
      </c>
      <c r="J650" s="12">
        <f>SUM(G650:I650)-F650</f>
        <v>0</v>
      </c>
      <c r="K650" s="14">
        <v>2.0279999999999999E-2</v>
      </c>
      <c r="L650" s="14">
        <v>1014</v>
      </c>
      <c r="M650" s="6" t="s">
        <v>80</v>
      </c>
      <c r="N650" s="6" t="s">
        <v>1259</v>
      </c>
    </row>
    <row r="651" spans="1:14" x14ac:dyDescent="0.3">
      <c r="A651" s="6">
        <v>9660002112</v>
      </c>
      <c r="B651" s="6">
        <v>6360</v>
      </c>
      <c r="C651" s="6" t="s">
        <v>1300</v>
      </c>
      <c r="E651" s="6" t="s">
        <v>1949</v>
      </c>
      <c r="F651" s="12">
        <v>1600</v>
      </c>
      <c r="G651" s="6">
        <v>1600</v>
      </c>
      <c r="J651" s="12">
        <f>SUM(G651:I651)-F651</f>
        <v>0</v>
      </c>
      <c r="K651" s="14">
        <v>0.51359999999999995</v>
      </c>
      <c r="L651" s="6">
        <v>821.76</v>
      </c>
      <c r="M651" s="6" t="s">
        <v>80</v>
      </c>
      <c r="N651" s="6" t="s">
        <v>1301</v>
      </c>
    </row>
  </sheetData>
  <autoFilter ref="A1:O651"/>
  <phoneticPr fontId="18" type="noConversion"/>
  <conditionalFormatting sqref="C650:D650 C651:C652">
    <cfRule type="duplicateValues" dxfId="4" priority="2"/>
  </conditionalFormatting>
  <conditionalFormatting sqref="E1:E1048576">
    <cfRule type="duplicateValues" dxfId="3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I61"/>
  <sheetViews>
    <sheetView topLeftCell="A23" workbookViewId="0">
      <selection activeCell="H2" sqref="H2:I56"/>
    </sheetView>
  </sheetViews>
  <sheetFormatPr defaultRowHeight="14.5" x14ac:dyDescent="0.3"/>
  <cols>
    <col min="2" max="2" width="15.69921875" bestFit="1" customWidth="1"/>
    <col min="4" max="4" width="15.5" bestFit="1" customWidth="1"/>
    <col min="5" max="5" width="7.8984375" bestFit="1" customWidth="1"/>
    <col min="8" max="8" width="15.5" bestFit="1" customWidth="1"/>
    <col min="9" max="9" width="11.69921875" bestFit="1" customWidth="1"/>
  </cols>
  <sheetData>
    <row r="1" spans="1:9" x14ac:dyDescent="0.3">
      <c r="A1" s="4" t="s">
        <v>2</v>
      </c>
      <c r="B1" s="4"/>
      <c r="D1" t="s">
        <v>1984</v>
      </c>
      <c r="E1" t="s">
        <v>1973</v>
      </c>
    </row>
    <row r="2" spans="1:9" x14ac:dyDescent="0.3">
      <c r="A2" s="4" t="s">
        <v>66</v>
      </c>
      <c r="B2" s="4">
        <v>87100500010</v>
      </c>
      <c r="D2" t="s">
        <v>1974</v>
      </c>
      <c r="E2" s="8">
        <v>10000</v>
      </c>
      <c r="H2" s="9" t="s">
        <v>1985</v>
      </c>
      <c r="I2" t="s">
        <v>1987</v>
      </c>
    </row>
    <row r="3" spans="1:9" x14ac:dyDescent="0.3">
      <c r="A3" s="4" t="s">
        <v>64</v>
      </c>
      <c r="B3" s="4">
        <v>87108600006</v>
      </c>
      <c r="D3" t="s">
        <v>1975</v>
      </c>
      <c r="E3" s="8">
        <v>9000</v>
      </c>
      <c r="H3" s="10" t="s">
        <v>26</v>
      </c>
      <c r="I3" s="11">
        <v>713</v>
      </c>
    </row>
    <row r="4" spans="1:9" x14ac:dyDescent="0.3">
      <c r="A4" s="4" t="s">
        <v>925</v>
      </c>
      <c r="B4" s="4" t="s">
        <v>1768</v>
      </c>
      <c r="D4" t="s">
        <v>925</v>
      </c>
      <c r="E4" s="8">
        <v>930000</v>
      </c>
      <c r="H4" s="10" t="s">
        <v>32</v>
      </c>
      <c r="I4" s="11">
        <v>3000</v>
      </c>
    </row>
    <row r="5" spans="1:9" x14ac:dyDescent="0.3">
      <c r="A5" s="4" t="s">
        <v>580</v>
      </c>
      <c r="B5" s="4" t="s">
        <v>1596</v>
      </c>
      <c r="D5" t="s">
        <v>580</v>
      </c>
      <c r="E5" s="8">
        <v>20000</v>
      </c>
      <c r="H5" s="10" t="s">
        <v>24</v>
      </c>
      <c r="I5" s="11">
        <v>1167</v>
      </c>
    </row>
    <row r="6" spans="1:9" x14ac:dyDescent="0.3">
      <c r="A6" s="4" t="s">
        <v>367</v>
      </c>
      <c r="B6" s="4" t="s">
        <v>1491</v>
      </c>
      <c r="D6" t="s">
        <v>367</v>
      </c>
      <c r="E6" s="8">
        <v>116000</v>
      </c>
      <c r="H6" s="10" t="s">
        <v>10</v>
      </c>
      <c r="I6" s="11">
        <v>680</v>
      </c>
    </row>
    <row r="7" spans="1:9" x14ac:dyDescent="0.3">
      <c r="A7" s="4" t="s">
        <v>1110</v>
      </c>
      <c r="B7" s="4" t="s">
        <v>1860</v>
      </c>
      <c r="D7" t="s">
        <v>1110</v>
      </c>
      <c r="E7" s="8">
        <v>1000</v>
      </c>
      <c r="H7" s="10" t="s">
        <v>7</v>
      </c>
      <c r="I7" s="11">
        <v>680</v>
      </c>
    </row>
    <row r="8" spans="1:9" x14ac:dyDescent="0.3">
      <c r="A8" s="4" t="s">
        <v>943</v>
      </c>
      <c r="B8" s="4" t="s">
        <v>1777</v>
      </c>
      <c r="D8" t="s">
        <v>943</v>
      </c>
      <c r="E8" s="8">
        <v>170000</v>
      </c>
      <c r="H8" s="10" t="s">
        <v>36</v>
      </c>
      <c r="I8" s="11">
        <v>41733</v>
      </c>
    </row>
    <row r="9" spans="1:9" x14ac:dyDescent="0.3">
      <c r="A9" s="4" t="s">
        <v>60</v>
      </c>
      <c r="B9" s="4" t="s">
        <v>1349</v>
      </c>
      <c r="D9" t="s">
        <v>1976</v>
      </c>
      <c r="E9" s="8">
        <v>900</v>
      </c>
      <c r="H9" s="10" t="s">
        <v>38</v>
      </c>
      <c r="I9" s="11">
        <v>41733</v>
      </c>
    </row>
    <row r="10" spans="1:9" x14ac:dyDescent="0.3">
      <c r="A10" s="4" t="s">
        <v>194</v>
      </c>
      <c r="B10" s="4" t="s">
        <v>1408</v>
      </c>
      <c r="D10" t="s">
        <v>194</v>
      </c>
      <c r="E10" s="8">
        <v>60000</v>
      </c>
      <c r="H10" s="10" t="s">
        <v>34</v>
      </c>
      <c r="I10" s="11">
        <v>3000</v>
      </c>
    </row>
    <row r="11" spans="1:9" x14ac:dyDescent="0.3">
      <c r="A11" s="4" t="s">
        <v>680</v>
      </c>
      <c r="B11" s="4" t="s">
        <v>1646</v>
      </c>
      <c r="D11" t="s">
        <v>680</v>
      </c>
      <c r="E11" s="8">
        <v>17000</v>
      </c>
      <c r="H11" s="10" t="s">
        <v>30</v>
      </c>
      <c r="I11" s="11">
        <v>3000</v>
      </c>
    </row>
    <row r="12" spans="1:9" x14ac:dyDescent="0.3">
      <c r="A12" s="7" t="s">
        <v>1114</v>
      </c>
      <c r="B12" s="7" t="s">
        <v>1862</v>
      </c>
      <c r="D12" t="s">
        <v>1114</v>
      </c>
      <c r="E12" s="8">
        <v>4000</v>
      </c>
      <c r="H12" s="10" t="s">
        <v>14</v>
      </c>
      <c r="I12" s="11">
        <v>500</v>
      </c>
    </row>
    <row r="13" spans="1:9" x14ac:dyDescent="0.3">
      <c r="A13" s="4" t="s">
        <v>876</v>
      </c>
      <c r="B13" s="4" t="s">
        <v>1744</v>
      </c>
      <c r="D13" t="s">
        <v>876</v>
      </c>
      <c r="E13" s="8">
        <v>20000</v>
      </c>
      <c r="H13" s="10" t="s">
        <v>12</v>
      </c>
      <c r="I13" s="11">
        <v>500</v>
      </c>
    </row>
    <row r="14" spans="1:9" x14ac:dyDescent="0.3">
      <c r="A14" s="4" t="s">
        <v>204</v>
      </c>
      <c r="B14" s="4" t="s">
        <v>1413</v>
      </c>
      <c r="D14" t="s">
        <v>204</v>
      </c>
      <c r="E14" s="8">
        <v>232500</v>
      </c>
      <c r="H14" s="10" t="s">
        <v>108</v>
      </c>
      <c r="I14" s="11">
        <v>43000</v>
      </c>
    </row>
    <row r="15" spans="1:9" x14ac:dyDescent="0.3">
      <c r="A15" s="4" t="s">
        <v>812</v>
      </c>
      <c r="B15" s="4" t="s">
        <v>1712</v>
      </c>
      <c r="D15" t="s">
        <v>812</v>
      </c>
      <c r="E15" s="8">
        <v>1000</v>
      </c>
      <c r="H15" s="10" t="s">
        <v>1980</v>
      </c>
      <c r="I15" s="11">
        <v>6000</v>
      </c>
    </row>
    <row r="16" spans="1:9" x14ac:dyDescent="0.3">
      <c r="A16" s="4" t="s">
        <v>1011</v>
      </c>
      <c r="B16" s="4" t="s">
        <v>1811</v>
      </c>
      <c r="D16" t="s">
        <v>1011</v>
      </c>
      <c r="E16" s="8">
        <v>10000</v>
      </c>
      <c r="H16" s="10" t="s">
        <v>1976</v>
      </c>
      <c r="I16" s="11">
        <v>900</v>
      </c>
    </row>
    <row r="17" spans="1:9" x14ac:dyDescent="0.3">
      <c r="A17" s="4" t="s">
        <v>1235</v>
      </c>
      <c r="B17" s="4" t="s">
        <v>1918</v>
      </c>
      <c r="D17" t="s">
        <v>1235</v>
      </c>
      <c r="E17" s="8">
        <v>280000</v>
      </c>
      <c r="H17" s="10" t="s">
        <v>184</v>
      </c>
      <c r="I17" s="11">
        <v>36000</v>
      </c>
    </row>
    <row r="18" spans="1:9" x14ac:dyDescent="0.3">
      <c r="A18" s="4" t="s">
        <v>40</v>
      </c>
      <c r="B18" s="4" t="s">
        <v>1342</v>
      </c>
      <c r="D18" t="s">
        <v>1977</v>
      </c>
      <c r="E18" s="8">
        <v>4000</v>
      </c>
      <c r="H18" s="10" t="s">
        <v>194</v>
      </c>
      <c r="I18" s="11">
        <v>60000</v>
      </c>
    </row>
    <row r="19" spans="1:9" x14ac:dyDescent="0.3">
      <c r="A19" s="4" t="s">
        <v>62</v>
      </c>
      <c r="B19" s="4" t="s">
        <v>1342</v>
      </c>
      <c r="D19" t="s">
        <v>1977</v>
      </c>
      <c r="E19" s="8">
        <v>2000</v>
      </c>
      <c r="H19" s="10" t="s">
        <v>200</v>
      </c>
      <c r="I19" s="11">
        <v>3000</v>
      </c>
    </row>
    <row r="20" spans="1:9" x14ac:dyDescent="0.3">
      <c r="A20" s="4" t="s">
        <v>1176</v>
      </c>
      <c r="B20" s="4" t="s">
        <v>1892</v>
      </c>
      <c r="D20" t="s">
        <v>1176</v>
      </c>
      <c r="E20" s="8">
        <v>10000</v>
      </c>
      <c r="H20" s="10" t="s">
        <v>1977</v>
      </c>
      <c r="I20" s="11">
        <v>6000</v>
      </c>
    </row>
    <row r="21" spans="1:9" x14ac:dyDescent="0.3">
      <c r="A21" s="4" t="s">
        <v>43</v>
      </c>
      <c r="B21" s="4" t="s">
        <v>1972</v>
      </c>
      <c r="D21" t="s">
        <v>1978</v>
      </c>
      <c r="E21" s="8">
        <v>16200</v>
      </c>
      <c r="H21" s="10" t="s">
        <v>204</v>
      </c>
      <c r="I21" s="11">
        <v>232500</v>
      </c>
    </row>
    <row r="22" spans="1:9" x14ac:dyDescent="0.3">
      <c r="A22" s="7" t="s">
        <v>56</v>
      </c>
      <c r="B22" s="4" t="s">
        <v>1343</v>
      </c>
      <c r="D22" t="s">
        <v>1978</v>
      </c>
      <c r="E22" s="8">
        <v>900</v>
      </c>
      <c r="H22" s="10" t="s">
        <v>206</v>
      </c>
      <c r="I22" s="11">
        <v>19600</v>
      </c>
    </row>
    <row r="23" spans="1:9" x14ac:dyDescent="0.3">
      <c r="A23" s="4" t="s">
        <v>59</v>
      </c>
      <c r="B23" s="4" t="s">
        <v>1343</v>
      </c>
      <c r="D23" t="s">
        <v>1978</v>
      </c>
      <c r="E23" s="8">
        <v>34200</v>
      </c>
      <c r="H23" s="10" t="s">
        <v>1979</v>
      </c>
      <c r="I23" s="11">
        <v>42000</v>
      </c>
    </row>
    <row r="24" spans="1:9" x14ac:dyDescent="0.3">
      <c r="A24" s="4" t="s">
        <v>206</v>
      </c>
      <c r="B24" s="4" t="s">
        <v>1414</v>
      </c>
      <c r="D24" t="s">
        <v>206</v>
      </c>
      <c r="E24" s="8">
        <v>19600</v>
      </c>
      <c r="H24" s="10" t="s">
        <v>1978</v>
      </c>
      <c r="I24" s="11">
        <v>51300</v>
      </c>
    </row>
    <row r="25" spans="1:9" x14ac:dyDescent="0.3">
      <c r="A25" s="4" t="s">
        <v>406</v>
      </c>
      <c r="B25" s="4" t="s">
        <v>1509</v>
      </c>
      <c r="D25" t="s">
        <v>406</v>
      </c>
      <c r="E25" s="8">
        <v>10000</v>
      </c>
      <c r="H25" s="10" t="s">
        <v>1983</v>
      </c>
      <c r="I25" s="11">
        <v>8100</v>
      </c>
    </row>
    <row r="26" spans="1:9" x14ac:dyDescent="0.3">
      <c r="A26" s="4" t="s">
        <v>650</v>
      </c>
      <c r="B26" s="4" t="s">
        <v>1631</v>
      </c>
      <c r="D26" t="s">
        <v>650</v>
      </c>
      <c r="E26" s="8">
        <v>20000</v>
      </c>
      <c r="H26" s="10" t="s">
        <v>1982</v>
      </c>
      <c r="I26" s="11">
        <v>3600</v>
      </c>
    </row>
    <row r="27" spans="1:9" x14ac:dyDescent="0.3">
      <c r="A27" s="7" t="s">
        <v>1108</v>
      </c>
      <c r="B27" s="7" t="s">
        <v>1859</v>
      </c>
      <c r="D27" t="s">
        <v>1108</v>
      </c>
      <c r="E27" s="8">
        <v>340000</v>
      </c>
      <c r="H27" s="10" t="s">
        <v>1974</v>
      </c>
      <c r="I27" s="11">
        <v>10000</v>
      </c>
    </row>
    <row r="28" spans="1:9" x14ac:dyDescent="0.3">
      <c r="A28" s="4" t="s">
        <v>10</v>
      </c>
      <c r="B28" s="4" t="s">
        <v>1327</v>
      </c>
      <c r="D28" t="s">
        <v>10</v>
      </c>
      <c r="E28" s="8">
        <v>680</v>
      </c>
      <c r="H28" s="10" t="s">
        <v>235</v>
      </c>
      <c r="I28" s="11">
        <v>49500</v>
      </c>
    </row>
    <row r="29" spans="1:9" x14ac:dyDescent="0.3">
      <c r="A29" s="4" t="s">
        <v>973</v>
      </c>
      <c r="B29" s="4" t="s">
        <v>1792</v>
      </c>
      <c r="D29" t="s">
        <v>973</v>
      </c>
      <c r="E29" s="8">
        <v>10000</v>
      </c>
      <c r="H29" s="10" t="s">
        <v>1981</v>
      </c>
      <c r="I29" s="11">
        <v>18000</v>
      </c>
    </row>
    <row r="30" spans="1:9" x14ac:dyDescent="0.3">
      <c r="A30" s="4" t="s">
        <v>1188</v>
      </c>
      <c r="B30" s="4" t="s">
        <v>1898</v>
      </c>
      <c r="D30" t="s">
        <v>1188</v>
      </c>
      <c r="E30" s="8">
        <v>33000</v>
      </c>
      <c r="H30" s="10" t="s">
        <v>273</v>
      </c>
      <c r="I30" s="11">
        <v>34300</v>
      </c>
    </row>
    <row r="31" spans="1:9" x14ac:dyDescent="0.3">
      <c r="A31" s="4" t="s">
        <v>7</v>
      </c>
      <c r="B31" s="4" t="s">
        <v>1326</v>
      </c>
      <c r="D31" t="s">
        <v>7</v>
      </c>
      <c r="E31" s="8">
        <v>680</v>
      </c>
      <c r="H31" s="10" t="s">
        <v>1975</v>
      </c>
      <c r="I31" s="11">
        <v>9000</v>
      </c>
    </row>
    <row r="32" spans="1:9" x14ac:dyDescent="0.3">
      <c r="A32" s="4" t="s">
        <v>200</v>
      </c>
      <c r="B32" s="4" t="s">
        <v>1411</v>
      </c>
      <c r="D32" t="s">
        <v>200</v>
      </c>
      <c r="E32" s="8">
        <v>3000</v>
      </c>
      <c r="H32" s="10" t="s">
        <v>302</v>
      </c>
      <c r="I32" s="11">
        <v>10000</v>
      </c>
    </row>
    <row r="33" spans="1:9" x14ac:dyDescent="0.3">
      <c r="A33" s="4" t="s">
        <v>302</v>
      </c>
      <c r="B33" s="4" t="s">
        <v>1460</v>
      </c>
      <c r="D33" t="s">
        <v>302</v>
      </c>
      <c r="E33" s="8">
        <v>10000</v>
      </c>
      <c r="H33" s="10" t="s">
        <v>311</v>
      </c>
      <c r="I33" s="11">
        <v>10000</v>
      </c>
    </row>
    <row r="34" spans="1:9" x14ac:dyDescent="0.3">
      <c r="A34" s="4" t="s">
        <v>26</v>
      </c>
      <c r="B34" s="4" t="s">
        <v>1335</v>
      </c>
      <c r="D34" t="s">
        <v>26</v>
      </c>
      <c r="E34" s="8">
        <v>713</v>
      </c>
      <c r="H34" s="10" t="s">
        <v>367</v>
      </c>
      <c r="I34" s="11">
        <v>116000</v>
      </c>
    </row>
    <row r="35" spans="1:9" x14ac:dyDescent="0.3">
      <c r="A35" s="4" t="s">
        <v>24</v>
      </c>
      <c r="B35" s="4" t="s">
        <v>1334</v>
      </c>
      <c r="D35" t="s">
        <v>24</v>
      </c>
      <c r="E35" s="8">
        <v>1167</v>
      </c>
      <c r="H35" s="10" t="s">
        <v>406</v>
      </c>
      <c r="I35" s="11">
        <v>10000</v>
      </c>
    </row>
    <row r="36" spans="1:9" x14ac:dyDescent="0.3">
      <c r="A36" s="7" t="s">
        <v>1223</v>
      </c>
      <c r="B36" s="4" t="s">
        <v>1970</v>
      </c>
      <c r="D36" t="s">
        <v>1223</v>
      </c>
      <c r="E36" s="8">
        <v>4000</v>
      </c>
      <c r="H36" s="10" t="s">
        <v>522</v>
      </c>
      <c r="I36" s="11">
        <v>20000</v>
      </c>
    </row>
    <row r="37" spans="1:9" x14ac:dyDescent="0.3">
      <c r="A37" s="4" t="s">
        <v>311</v>
      </c>
      <c r="B37" s="4" t="s">
        <v>1464</v>
      </c>
      <c r="D37" t="s">
        <v>311</v>
      </c>
      <c r="E37" s="8">
        <v>10000</v>
      </c>
      <c r="H37" s="10" t="s">
        <v>580</v>
      </c>
      <c r="I37" s="11">
        <v>20000</v>
      </c>
    </row>
    <row r="38" spans="1:9" x14ac:dyDescent="0.3">
      <c r="A38" s="4" t="s">
        <v>57</v>
      </c>
      <c r="B38" s="4" t="s">
        <v>1348</v>
      </c>
      <c r="D38" t="s">
        <v>1979</v>
      </c>
      <c r="E38" s="8">
        <v>34000</v>
      </c>
      <c r="H38" s="10" t="s">
        <v>650</v>
      </c>
      <c r="I38" s="11">
        <v>20000</v>
      </c>
    </row>
    <row r="39" spans="1:9" x14ac:dyDescent="0.3">
      <c r="A39" s="4" t="s">
        <v>63</v>
      </c>
      <c r="B39" s="4" t="s">
        <v>1348</v>
      </c>
      <c r="D39" t="s">
        <v>1979</v>
      </c>
      <c r="E39" s="8">
        <v>8000</v>
      </c>
      <c r="H39" s="10" t="s">
        <v>680</v>
      </c>
      <c r="I39" s="11">
        <v>17000</v>
      </c>
    </row>
    <row r="40" spans="1:9" x14ac:dyDescent="0.3">
      <c r="A40" s="4" t="s">
        <v>47</v>
      </c>
      <c r="B40" s="4" t="s">
        <v>1345</v>
      </c>
      <c r="D40" t="s">
        <v>1980</v>
      </c>
      <c r="E40" s="8">
        <v>4000</v>
      </c>
      <c r="H40" s="10" t="s">
        <v>812</v>
      </c>
      <c r="I40" s="11">
        <v>1000</v>
      </c>
    </row>
    <row r="41" spans="1:9" x14ac:dyDescent="0.3">
      <c r="A41" s="4" t="s">
        <v>52</v>
      </c>
      <c r="B41" s="4" t="s">
        <v>1345</v>
      </c>
      <c r="D41" t="s">
        <v>1980</v>
      </c>
      <c r="E41" s="8">
        <v>2000</v>
      </c>
      <c r="H41" s="10" t="s">
        <v>876</v>
      </c>
      <c r="I41" s="11">
        <v>20000</v>
      </c>
    </row>
    <row r="42" spans="1:9" x14ac:dyDescent="0.3">
      <c r="A42" s="4" t="s">
        <v>45</v>
      </c>
      <c r="B42" s="4" t="s">
        <v>1344</v>
      </c>
      <c r="D42" t="s">
        <v>1981</v>
      </c>
      <c r="E42" s="8">
        <v>12000</v>
      </c>
      <c r="H42" s="10" t="s">
        <v>904</v>
      </c>
      <c r="I42" s="11">
        <v>20000</v>
      </c>
    </row>
    <row r="43" spans="1:9" x14ac:dyDescent="0.3">
      <c r="A43" s="4" t="s">
        <v>51</v>
      </c>
      <c r="B43" s="4" t="s">
        <v>1344</v>
      </c>
      <c r="D43" t="s">
        <v>1981</v>
      </c>
      <c r="E43" s="8">
        <v>4000</v>
      </c>
      <c r="H43" s="10" t="s">
        <v>925</v>
      </c>
      <c r="I43" s="11">
        <v>930000</v>
      </c>
    </row>
    <row r="44" spans="1:9" x14ac:dyDescent="0.3">
      <c r="A44" s="4" t="s">
        <v>53</v>
      </c>
      <c r="B44" s="4" t="s">
        <v>1344</v>
      </c>
      <c r="D44" t="s">
        <v>1981</v>
      </c>
      <c r="E44" s="8">
        <v>2000</v>
      </c>
      <c r="H44" s="10" t="s">
        <v>943</v>
      </c>
      <c r="I44" s="11">
        <v>170000</v>
      </c>
    </row>
    <row r="45" spans="1:9" x14ac:dyDescent="0.3">
      <c r="A45" s="4" t="s">
        <v>522</v>
      </c>
      <c r="B45" s="4" t="s">
        <v>1567</v>
      </c>
      <c r="D45" t="s">
        <v>522</v>
      </c>
      <c r="E45" s="8">
        <v>20000</v>
      </c>
      <c r="H45" s="10" t="s">
        <v>973</v>
      </c>
      <c r="I45" s="11">
        <v>10000</v>
      </c>
    </row>
    <row r="46" spans="1:9" x14ac:dyDescent="0.3">
      <c r="A46" s="4" t="s">
        <v>904</v>
      </c>
      <c r="B46" s="4" t="s">
        <v>1758</v>
      </c>
      <c r="D46" t="s">
        <v>904</v>
      </c>
      <c r="E46" s="8">
        <v>20000</v>
      </c>
      <c r="H46" s="10" t="s">
        <v>1011</v>
      </c>
      <c r="I46" s="11">
        <v>10000</v>
      </c>
    </row>
    <row r="47" spans="1:9" x14ac:dyDescent="0.3">
      <c r="A47" s="4" t="s">
        <v>1015</v>
      </c>
      <c r="B47" s="4" t="s">
        <v>1813</v>
      </c>
      <c r="D47" t="s">
        <v>1015</v>
      </c>
      <c r="E47" s="8">
        <v>270000</v>
      </c>
      <c r="H47" s="10" t="s">
        <v>1015</v>
      </c>
      <c r="I47" s="11">
        <v>270000</v>
      </c>
    </row>
    <row r="48" spans="1:9" x14ac:dyDescent="0.3">
      <c r="A48" s="4" t="s">
        <v>1198</v>
      </c>
      <c r="B48" s="4" t="s">
        <v>1902</v>
      </c>
      <c r="D48" t="s">
        <v>1198</v>
      </c>
      <c r="E48" s="8">
        <v>60000</v>
      </c>
      <c r="H48" s="10" t="s">
        <v>1108</v>
      </c>
      <c r="I48" s="11">
        <v>340000</v>
      </c>
    </row>
    <row r="49" spans="1:9" x14ac:dyDescent="0.3">
      <c r="A49" s="4" t="s">
        <v>14</v>
      </c>
      <c r="B49" s="4" t="s">
        <v>1329</v>
      </c>
      <c r="D49" t="s">
        <v>14</v>
      </c>
      <c r="E49" s="8">
        <v>500</v>
      </c>
      <c r="H49" s="10" t="s">
        <v>1110</v>
      </c>
      <c r="I49" s="11">
        <v>1000</v>
      </c>
    </row>
    <row r="50" spans="1:9" x14ac:dyDescent="0.3">
      <c r="A50" s="4" t="s">
        <v>12</v>
      </c>
      <c r="B50" s="4" t="s">
        <v>1328</v>
      </c>
      <c r="D50" t="s">
        <v>12</v>
      </c>
      <c r="E50" s="8">
        <v>500</v>
      </c>
      <c r="H50" s="10" t="s">
        <v>1114</v>
      </c>
      <c r="I50" s="11">
        <v>4000</v>
      </c>
    </row>
    <row r="51" spans="1:9" x14ac:dyDescent="0.3">
      <c r="A51" s="4" t="s">
        <v>32</v>
      </c>
      <c r="B51" s="4" t="s">
        <v>1338</v>
      </c>
      <c r="D51" t="s">
        <v>32</v>
      </c>
      <c r="E51" s="8">
        <v>3000</v>
      </c>
      <c r="H51" s="10" t="s">
        <v>1176</v>
      </c>
      <c r="I51" s="11">
        <v>10000</v>
      </c>
    </row>
    <row r="52" spans="1:9" x14ac:dyDescent="0.3">
      <c r="A52" s="4" t="s">
        <v>34</v>
      </c>
      <c r="B52" s="4" t="s">
        <v>1339</v>
      </c>
      <c r="D52" t="s">
        <v>34</v>
      </c>
      <c r="E52" s="8">
        <v>3000</v>
      </c>
      <c r="H52" s="10" t="s">
        <v>1188</v>
      </c>
      <c r="I52" s="11">
        <v>33000</v>
      </c>
    </row>
    <row r="53" spans="1:9" x14ac:dyDescent="0.3">
      <c r="A53" s="4" t="s">
        <v>30</v>
      </c>
      <c r="B53" s="4" t="s">
        <v>1337</v>
      </c>
      <c r="D53" t="s">
        <v>30</v>
      </c>
      <c r="E53" s="8">
        <v>3000</v>
      </c>
      <c r="H53" s="10" t="s">
        <v>1198</v>
      </c>
      <c r="I53" s="11">
        <v>60000</v>
      </c>
    </row>
    <row r="54" spans="1:9" x14ac:dyDescent="0.3">
      <c r="A54" s="4" t="s">
        <v>184</v>
      </c>
      <c r="B54" s="4" t="s">
        <v>1403</v>
      </c>
      <c r="D54" t="s">
        <v>184</v>
      </c>
      <c r="E54" s="8">
        <v>36000</v>
      </c>
      <c r="H54" s="10" t="s">
        <v>1223</v>
      </c>
      <c r="I54" s="11">
        <v>4000</v>
      </c>
    </row>
    <row r="55" spans="1:9" x14ac:dyDescent="0.3">
      <c r="A55" s="4" t="s">
        <v>49</v>
      </c>
      <c r="B55" s="4" t="s">
        <v>1346</v>
      </c>
      <c r="D55" t="s">
        <v>1982</v>
      </c>
      <c r="E55" s="8">
        <v>3600</v>
      </c>
      <c r="H55" s="10" t="s">
        <v>1235</v>
      </c>
      <c r="I55" s="11">
        <v>280000</v>
      </c>
    </row>
    <row r="56" spans="1:9" x14ac:dyDescent="0.3">
      <c r="A56" s="4" t="s">
        <v>235</v>
      </c>
      <c r="B56" s="4" t="s">
        <v>1428</v>
      </c>
      <c r="D56" t="s">
        <v>235</v>
      </c>
      <c r="E56" s="8">
        <v>49500</v>
      </c>
      <c r="H56" s="10" t="s">
        <v>1986</v>
      </c>
      <c r="I56" s="11">
        <v>3115506</v>
      </c>
    </row>
    <row r="57" spans="1:9" x14ac:dyDescent="0.3">
      <c r="A57" s="4" t="s">
        <v>273</v>
      </c>
      <c r="B57" s="4" t="s">
        <v>1447</v>
      </c>
      <c r="D57" t="s">
        <v>273</v>
      </c>
      <c r="E57" s="8">
        <v>34300</v>
      </c>
    </row>
    <row r="58" spans="1:9" x14ac:dyDescent="0.3">
      <c r="A58" s="4" t="s">
        <v>36</v>
      </c>
      <c r="B58" s="4" t="s">
        <v>1340</v>
      </c>
      <c r="D58" t="s">
        <v>36</v>
      </c>
      <c r="E58" s="8">
        <v>41733</v>
      </c>
    </row>
    <row r="59" spans="1:9" x14ac:dyDescent="0.3">
      <c r="A59" s="7" t="s">
        <v>54</v>
      </c>
      <c r="B59" s="4" t="s">
        <v>1347</v>
      </c>
      <c r="D59" t="s">
        <v>1983</v>
      </c>
      <c r="E59" s="8">
        <v>8100</v>
      </c>
    </row>
    <row r="60" spans="1:9" x14ac:dyDescent="0.3">
      <c r="A60" s="4" t="s">
        <v>38</v>
      </c>
      <c r="B60" s="4" t="s">
        <v>1341</v>
      </c>
      <c r="D60" t="s">
        <v>38</v>
      </c>
      <c r="E60" s="8">
        <v>41733</v>
      </c>
    </row>
    <row r="61" spans="1:9" x14ac:dyDescent="0.3">
      <c r="A61" s="4" t="s">
        <v>108</v>
      </c>
      <c r="B61" s="4" t="s">
        <v>1367</v>
      </c>
      <c r="D61" t="s">
        <v>108</v>
      </c>
      <c r="E61" s="8">
        <v>43000</v>
      </c>
    </row>
  </sheetData>
  <phoneticPr fontId="18" type="noConversion"/>
  <conditionalFormatting sqref="B1:B6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R549"/>
  <sheetViews>
    <sheetView zoomScale="70" zoomScaleNormal="70" workbookViewId="0">
      <selection activeCell="J9" sqref="J9"/>
    </sheetView>
  </sheetViews>
  <sheetFormatPr defaultRowHeight="14.5" x14ac:dyDescent="0.3"/>
  <cols>
    <col min="1" max="1" width="11.5" bestFit="1" customWidth="1"/>
    <col min="2" max="2" width="5.3984375" bestFit="1" customWidth="1"/>
    <col min="3" max="4" width="17.296875" bestFit="1" customWidth="1"/>
    <col min="5" max="5" width="8.3984375" bestFit="1" customWidth="1"/>
    <col min="7" max="7" width="11.5" bestFit="1" customWidth="1"/>
    <col min="8" max="8" width="5.3984375" bestFit="1" customWidth="1"/>
    <col min="9" max="9" width="14.69921875" bestFit="1" customWidth="1"/>
    <col min="10" max="10" width="15.69921875" bestFit="1" customWidth="1"/>
    <col min="14" max="14" width="11.5" bestFit="1" customWidth="1"/>
    <col min="15" max="15" width="5.3984375" bestFit="1" customWidth="1"/>
    <col min="16" max="16" width="18.5" bestFit="1" customWidth="1"/>
    <col min="17" max="17" width="15.09765625" bestFit="1" customWidth="1"/>
  </cols>
  <sheetData>
    <row r="1" spans="1:18" x14ac:dyDescent="0.3">
      <c r="A1" t="s">
        <v>0</v>
      </c>
      <c r="B1" t="s">
        <v>1</v>
      </c>
      <c r="C1" t="s">
        <v>2</v>
      </c>
      <c r="E1" t="s">
        <v>1961</v>
      </c>
      <c r="G1" s="4" t="s">
        <v>0</v>
      </c>
      <c r="H1" s="4" t="s">
        <v>1</v>
      </c>
      <c r="I1" s="4" t="s">
        <v>2</v>
      </c>
      <c r="J1" s="4"/>
      <c r="K1" s="6" t="s">
        <v>1971</v>
      </c>
      <c r="N1" s="4" t="s">
        <v>0</v>
      </c>
      <c r="O1" s="4" t="s">
        <v>1</v>
      </c>
      <c r="P1" s="4" t="s">
        <v>2</v>
      </c>
      <c r="Q1" s="4"/>
      <c r="R1" s="6"/>
    </row>
    <row r="2" spans="1:18" x14ac:dyDescent="0.3">
      <c r="A2" s="1">
        <v>9660002112</v>
      </c>
      <c r="B2" s="1">
        <v>440</v>
      </c>
      <c r="C2" s="1" t="s">
        <v>92</v>
      </c>
      <c r="D2" s="1">
        <v>87098600032</v>
      </c>
      <c r="E2" s="1">
        <v>33000</v>
      </c>
      <c r="G2" s="4">
        <v>9660002112</v>
      </c>
      <c r="H2" s="4">
        <v>520</v>
      </c>
      <c r="I2" s="4" t="s">
        <v>108</v>
      </c>
      <c r="J2" s="4" t="s">
        <v>1367</v>
      </c>
      <c r="K2" s="4">
        <v>43000</v>
      </c>
      <c r="N2" s="4">
        <v>9660002112</v>
      </c>
      <c r="O2" s="4">
        <v>330</v>
      </c>
      <c r="P2" s="4" t="s">
        <v>66</v>
      </c>
      <c r="Q2" s="4">
        <v>87100500010</v>
      </c>
      <c r="R2" s="4">
        <v>10000</v>
      </c>
    </row>
    <row r="3" spans="1:18" x14ac:dyDescent="0.3">
      <c r="A3" s="1">
        <v>9660002112</v>
      </c>
      <c r="B3" s="1">
        <v>2070</v>
      </c>
      <c r="C3" s="1" t="s">
        <v>430</v>
      </c>
      <c r="D3" s="1" t="s">
        <v>1521</v>
      </c>
      <c r="E3" s="1">
        <v>320000</v>
      </c>
      <c r="G3" s="4">
        <v>9660002112</v>
      </c>
      <c r="H3" s="4">
        <v>880</v>
      </c>
      <c r="I3" s="4" t="s">
        <v>184</v>
      </c>
      <c r="J3" s="4" t="s">
        <v>1403</v>
      </c>
      <c r="K3" s="4">
        <v>36000</v>
      </c>
      <c r="N3" s="4">
        <v>9660002112</v>
      </c>
      <c r="O3" s="4">
        <v>320</v>
      </c>
      <c r="P3" s="4" t="s">
        <v>64</v>
      </c>
      <c r="Q3" s="4">
        <v>87108600006</v>
      </c>
      <c r="R3" s="4">
        <v>9000</v>
      </c>
    </row>
    <row r="4" spans="1:18" x14ac:dyDescent="0.3">
      <c r="A4" s="1">
        <v>9660002112</v>
      </c>
      <c r="B4" s="1">
        <v>2560</v>
      </c>
      <c r="C4" s="1" t="s">
        <v>528</v>
      </c>
      <c r="D4" s="1" t="s">
        <v>1570</v>
      </c>
      <c r="E4" s="1">
        <v>70000</v>
      </c>
      <c r="G4" s="4">
        <v>9660002112</v>
      </c>
      <c r="H4" s="4">
        <v>930</v>
      </c>
      <c r="I4" s="4" t="s">
        <v>194</v>
      </c>
      <c r="J4" s="4" t="s">
        <v>1408</v>
      </c>
      <c r="K4" s="4">
        <v>60000</v>
      </c>
      <c r="N4" s="4">
        <v>9660002112</v>
      </c>
      <c r="O4" s="4">
        <v>290</v>
      </c>
      <c r="P4" s="4" t="s">
        <v>60</v>
      </c>
      <c r="Q4" s="4" t="s">
        <v>1349</v>
      </c>
      <c r="R4" s="4">
        <v>900</v>
      </c>
    </row>
    <row r="5" spans="1:18" x14ac:dyDescent="0.3">
      <c r="A5" s="1">
        <v>9660002112</v>
      </c>
      <c r="B5" s="1">
        <v>2630</v>
      </c>
      <c r="C5" s="1" t="s">
        <v>542</v>
      </c>
      <c r="D5" s="1" t="s">
        <v>1577</v>
      </c>
      <c r="E5" s="1">
        <v>470000</v>
      </c>
      <c r="G5" s="4">
        <v>9660002112</v>
      </c>
      <c r="H5" s="4">
        <v>980</v>
      </c>
      <c r="I5" s="4" t="s">
        <v>204</v>
      </c>
      <c r="J5" s="4" t="s">
        <v>1413</v>
      </c>
      <c r="K5" s="4">
        <v>232500</v>
      </c>
      <c r="N5" s="4">
        <v>9660002112</v>
      </c>
      <c r="O5" s="4">
        <v>170</v>
      </c>
      <c r="P5" s="4" t="s">
        <v>40</v>
      </c>
      <c r="Q5" s="4" t="s">
        <v>1342</v>
      </c>
      <c r="R5" s="4">
        <v>4000</v>
      </c>
    </row>
    <row r="6" spans="1:18" x14ac:dyDescent="0.3">
      <c r="A6" s="1">
        <v>9660002112</v>
      </c>
      <c r="B6" s="1">
        <v>2770</v>
      </c>
      <c r="C6" s="1" t="s">
        <v>570</v>
      </c>
      <c r="D6" s="1" t="s">
        <v>1591</v>
      </c>
      <c r="E6" s="1">
        <v>300000</v>
      </c>
      <c r="G6" s="4">
        <v>9660002112</v>
      </c>
      <c r="H6" s="4">
        <v>990</v>
      </c>
      <c r="I6" s="4" t="s">
        <v>206</v>
      </c>
      <c r="J6" s="4" t="s">
        <v>1414</v>
      </c>
      <c r="K6" s="4">
        <v>19600</v>
      </c>
      <c r="N6" s="4">
        <v>9660002112</v>
      </c>
      <c r="O6" s="4">
        <v>300</v>
      </c>
      <c r="P6" s="4" t="s">
        <v>62</v>
      </c>
      <c r="Q6" s="4" t="s">
        <v>1342</v>
      </c>
      <c r="R6" s="4">
        <v>2000</v>
      </c>
    </row>
    <row r="7" spans="1:18" x14ac:dyDescent="0.3">
      <c r="A7" s="1">
        <v>9660002112</v>
      </c>
      <c r="B7" s="1">
        <v>2780</v>
      </c>
      <c r="C7" s="1" t="s">
        <v>572</v>
      </c>
      <c r="D7" s="1" t="s">
        <v>1592</v>
      </c>
      <c r="E7" s="1">
        <v>1500000</v>
      </c>
      <c r="G7" s="4">
        <v>9660002112</v>
      </c>
      <c r="H7" s="4">
        <v>1460</v>
      </c>
      <c r="I7" s="4" t="s">
        <v>302</v>
      </c>
      <c r="J7" s="4" t="s">
        <v>1460</v>
      </c>
      <c r="K7" s="4">
        <v>2000</v>
      </c>
      <c r="N7" s="4">
        <v>9660002112</v>
      </c>
      <c r="O7" s="4">
        <v>180</v>
      </c>
      <c r="P7" s="4" t="s">
        <v>43</v>
      </c>
      <c r="Q7" s="4" t="s">
        <v>1972</v>
      </c>
      <c r="R7" s="4">
        <v>16200</v>
      </c>
    </row>
    <row r="8" spans="1:18" x14ac:dyDescent="0.3">
      <c r="A8" s="1">
        <v>9660002112</v>
      </c>
      <c r="B8" s="1">
        <v>2790</v>
      </c>
      <c r="C8" s="1" t="s">
        <v>574</v>
      </c>
      <c r="D8" s="1" t="s">
        <v>1593</v>
      </c>
      <c r="E8" s="1">
        <v>1160000</v>
      </c>
      <c r="G8" s="4">
        <v>9660002112</v>
      </c>
      <c r="H8" s="4">
        <v>1500</v>
      </c>
      <c r="I8" s="4" t="s">
        <v>311</v>
      </c>
      <c r="J8" s="4" t="s">
        <v>1464</v>
      </c>
      <c r="K8" s="4">
        <v>3000</v>
      </c>
      <c r="N8" s="4">
        <v>9660002112</v>
      </c>
      <c r="O8" s="4">
        <v>260</v>
      </c>
      <c r="P8" s="7" t="s">
        <v>56</v>
      </c>
      <c r="Q8" s="4" t="s">
        <v>1343</v>
      </c>
      <c r="R8" s="4">
        <v>1800</v>
      </c>
    </row>
    <row r="9" spans="1:18" x14ac:dyDescent="0.3">
      <c r="A9" s="1">
        <v>9660002112</v>
      </c>
      <c r="B9" s="1">
        <v>2800</v>
      </c>
      <c r="C9" s="1" t="s">
        <v>576</v>
      </c>
      <c r="D9" s="1" t="s">
        <v>1594</v>
      </c>
      <c r="E9" s="1">
        <v>80000</v>
      </c>
      <c r="G9" s="4">
        <v>9660002112</v>
      </c>
      <c r="H9" s="4">
        <v>1950</v>
      </c>
      <c r="I9" s="4" t="s">
        <v>406</v>
      </c>
      <c r="J9" s="4" t="s">
        <v>1509</v>
      </c>
      <c r="K9" s="4">
        <v>10000</v>
      </c>
      <c r="N9" s="4">
        <v>9660002112</v>
      </c>
      <c r="O9" s="4">
        <v>280</v>
      </c>
      <c r="P9" s="4" t="s">
        <v>59</v>
      </c>
      <c r="Q9" s="4" t="s">
        <v>1343</v>
      </c>
      <c r="R9" s="4">
        <v>34200</v>
      </c>
    </row>
    <row r="10" spans="1:18" x14ac:dyDescent="0.3">
      <c r="A10" s="1">
        <v>9660002112</v>
      </c>
      <c r="B10" s="1">
        <v>2860</v>
      </c>
      <c r="C10" s="1" t="s">
        <v>588</v>
      </c>
      <c r="D10" s="1" t="s">
        <v>1600</v>
      </c>
      <c r="E10" s="1">
        <v>1060000</v>
      </c>
      <c r="G10" s="4">
        <v>9660002112</v>
      </c>
      <c r="H10" s="4">
        <v>2530</v>
      </c>
      <c r="I10" s="4" t="s">
        <v>522</v>
      </c>
      <c r="J10" s="4" t="s">
        <v>1567</v>
      </c>
      <c r="K10" s="4">
        <v>20000</v>
      </c>
      <c r="N10" s="4">
        <v>9660002112</v>
      </c>
      <c r="O10" s="4">
        <v>3170</v>
      </c>
      <c r="P10" s="4" t="s">
        <v>650</v>
      </c>
      <c r="Q10" s="4" t="s">
        <v>1631</v>
      </c>
      <c r="R10" s="4">
        <v>20000</v>
      </c>
    </row>
    <row r="11" spans="1:18" x14ac:dyDescent="0.3">
      <c r="A11" s="1">
        <v>9660002112</v>
      </c>
      <c r="B11" s="1">
        <v>2870</v>
      </c>
      <c r="C11" s="1" t="s">
        <v>590</v>
      </c>
      <c r="D11" s="1" t="s">
        <v>1601</v>
      </c>
      <c r="E11" s="1">
        <v>120000</v>
      </c>
      <c r="G11" s="4">
        <v>9660002112</v>
      </c>
      <c r="H11" s="4">
        <v>2820</v>
      </c>
      <c r="I11" s="4" t="s">
        <v>580</v>
      </c>
      <c r="J11" s="4" t="s">
        <v>1596</v>
      </c>
      <c r="K11" s="4">
        <v>20000</v>
      </c>
      <c r="N11" s="4">
        <v>9660002112</v>
      </c>
      <c r="O11" s="4">
        <v>270</v>
      </c>
      <c r="P11" s="4" t="s">
        <v>57</v>
      </c>
      <c r="Q11" s="4" t="s">
        <v>1348</v>
      </c>
      <c r="R11" s="5">
        <v>34000</v>
      </c>
    </row>
    <row r="12" spans="1:18" x14ac:dyDescent="0.3">
      <c r="A12" s="1">
        <v>9660002112</v>
      </c>
      <c r="B12" s="1">
        <v>2890</v>
      </c>
      <c r="C12" s="1" t="s">
        <v>594</v>
      </c>
      <c r="D12" s="1" t="s">
        <v>1603</v>
      </c>
      <c r="E12" s="1">
        <v>230000</v>
      </c>
      <c r="G12" s="4">
        <v>9660002112</v>
      </c>
      <c r="H12" s="4">
        <v>3320</v>
      </c>
      <c r="I12" s="4" t="s">
        <v>680</v>
      </c>
      <c r="J12" s="4" t="s">
        <v>1646</v>
      </c>
      <c r="K12" s="4">
        <v>16137</v>
      </c>
      <c r="N12" s="4">
        <v>9660002112</v>
      </c>
      <c r="O12" s="4">
        <v>310</v>
      </c>
      <c r="P12" s="4" t="s">
        <v>63</v>
      </c>
      <c r="Q12" s="4" t="s">
        <v>1348</v>
      </c>
      <c r="R12" s="5">
        <v>8000</v>
      </c>
    </row>
    <row r="13" spans="1:18" x14ac:dyDescent="0.3">
      <c r="A13" s="1">
        <v>9660002112</v>
      </c>
      <c r="B13" s="1">
        <v>2920</v>
      </c>
      <c r="C13" s="1" t="s">
        <v>600</v>
      </c>
      <c r="D13" s="1" t="s">
        <v>1606</v>
      </c>
      <c r="E13" s="1">
        <v>640000</v>
      </c>
      <c r="G13" s="4">
        <v>9660002112</v>
      </c>
      <c r="H13" s="4">
        <v>3980</v>
      </c>
      <c r="I13" s="4" t="s">
        <v>812</v>
      </c>
      <c r="J13" s="4" t="s">
        <v>1712</v>
      </c>
      <c r="K13" s="4">
        <v>842</v>
      </c>
      <c r="N13" s="4">
        <v>9660002112</v>
      </c>
      <c r="O13" s="4">
        <v>200</v>
      </c>
      <c r="P13" s="4" t="s">
        <v>47</v>
      </c>
      <c r="Q13" s="4" t="s">
        <v>1345</v>
      </c>
      <c r="R13" s="5">
        <v>4000</v>
      </c>
    </row>
    <row r="14" spans="1:18" x14ac:dyDescent="0.3">
      <c r="A14" s="1">
        <v>9660002112</v>
      </c>
      <c r="B14" s="1">
        <v>2930</v>
      </c>
      <c r="C14" s="1" t="s">
        <v>602</v>
      </c>
      <c r="D14" s="1" t="s">
        <v>1607</v>
      </c>
      <c r="E14" s="1">
        <v>50000</v>
      </c>
      <c r="G14" s="4">
        <v>9660002112</v>
      </c>
      <c r="H14" s="4">
        <v>4300</v>
      </c>
      <c r="I14" s="4" t="s">
        <v>876</v>
      </c>
      <c r="J14" s="4" t="s">
        <v>1744</v>
      </c>
      <c r="K14" s="4">
        <v>20000</v>
      </c>
      <c r="N14" s="4">
        <v>9660002112</v>
      </c>
      <c r="O14" s="4">
        <v>230</v>
      </c>
      <c r="P14" s="4" t="s">
        <v>52</v>
      </c>
      <c r="Q14" s="4" t="s">
        <v>1345</v>
      </c>
      <c r="R14" s="5">
        <v>2000</v>
      </c>
    </row>
    <row r="15" spans="1:18" x14ac:dyDescent="0.3">
      <c r="A15" s="1">
        <v>9660002112</v>
      </c>
      <c r="B15" s="1">
        <v>2960</v>
      </c>
      <c r="C15" s="1" t="s">
        <v>608</v>
      </c>
      <c r="D15" s="1" t="s">
        <v>1610</v>
      </c>
      <c r="E15" s="1">
        <v>120000</v>
      </c>
      <c r="G15" s="4">
        <v>9660002112</v>
      </c>
      <c r="H15" s="4">
        <v>4440</v>
      </c>
      <c r="I15" s="4" t="s">
        <v>904</v>
      </c>
      <c r="J15" s="4" t="s">
        <v>1758</v>
      </c>
      <c r="K15" s="4">
        <v>20000</v>
      </c>
      <c r="N15" s="4">
        <v>9660002112</v>
      </c>
      <c r="O15" s="4">
        <v>190</v>
      </c>
      <c r="P15" s="4" t="s">
        <v>45</v>
      </c>
      <c r="Q15" s="4" t="s">
        <v>1344</v>
      </c>
      <c r="R15" s="5">
        <v>12000</v>
      </c>
    </row>
    <row r="16" spans="1:18" x14ac:dyDescent="0.3">
      <c r="A16" s="1">
        <v>9660002112</v>
      </c>
      <c r="B16" s="1">
        <v>2980</v>
      </c>
      <c r="C16" s="1" t="s">
        <v>612</v>
      </c>
      <c r="D16" s="1" t="s">
        <v>1612</v>
      </c>
      <c r="E16" s="1">
        <v>90000</v>
      </c>
      <c r="G16" s="4">
        <v>9660002112</v>
      </c>
      <c r="H16" s="4">
        <v>4540</v>
      </c>
      <c r="I16" s="4" t="s">
        <v>925</v>
      </c>
      <c r="J16" s="4" t="s">
        <v>1768</v>
      </c>
      <c r="K16" s="4">
        <v>930000</v>
      </c>
      <c r="N16" s="4">
        <v>9660002112</v>
      </c>
      <c r="O16" s="4">
        <v>220</v>
      </c>
      <c r="P16" s="4" t="s">
        <v>51</v>
      </c>
      <c r="Q16" s="4" t="s">
        <v>1344</v>
      </c>
      <c r="R16" s="5">
        <v>4000</v>
      </c>
    </row>
    <row r="17" spans="1:18" x14ac:dyDescent="0.3">
      <c r="A17" s="1">
        <v>9660002112</v>
      </c>
      <c r="B17" s="1">
        <v>3030</v>
      </c>
      <c r="C17" s="1" t="s">
        <v>622</v>
      </c>
      <c r="D17" s="1" t="s">
        <v>1617</v>
      </c>
      <c r="E17" s="1">
        <v>640000</v>
      </c>
      <c r="G17" s="4">
        <v>9660002112</v>
      </c>
      <c r="H17" s="4">
        <v>4630</v>
      </c>
      <c r="I17" s="4" t="s">
        <v>943</v>
      </c>
      <c r="J17" s="4" t="s">
        <v>1777</v>
      </c>
      <c r="K17" s="4">
        <v>170000</v>
      </c>
      <c r="N17" s="4">
        <v>9660002112</v>
      </c>
      <c r="O17" s="4">
        <v>240</v>
      </c>
      <c r="P17" s="4" t="s">
        <v>53</v>
      </c>
      <c r="Q17" s="4" t="s">
        <v>1344</v>
      </c>
      <c r="R17" s="5">
        <v>2000</v>
      </c>
    </row>
    <row r="18" spans="1:18" x14ac:dyDescent="0.3">
      <c r="A18" s="1">
        <v>9660002112</v>
      </c>
      <c r="B18" s="1">
        <v>3040</v>
      </c>
      <c r="C18" s="1" t="s">
        <v>624</v>
      </c>
      <c r="D18" s="1" t="s">
        <v>1618</v>
      </c>
      <c r="E18" s="1">
        <v>760000</v>
      </c>
      <c r="G18" s="4">
        <v>9660002112</v>
      </c>
      <c r="H18" s="4">
        <v>4780</v>
      </c>
      <c r="I18" s="4" t="s">
        <v>973</v>
      </c>
      <c r="J18" s="4" t="s">
        <v>1792</v>
      </c>
      <c r="K18" s="4">
        <v>10000</v>
      </c>
      <c r="N18" s="4">
        <v>9660002112</v>
      </c>
      <c r="O18" s="4">
        <v>130</v>
      </c>
      <c r="P18" s="4" t="s">
        <v>32</v>
      </c>
      <c r="Q18" s="4" t="s">
        <v>1338</v>
      </c>
      <c r="R18" s="4">
        <v>3000</v>
      </c>
    </row>
    <row r="19" spans="1:18" x14ac:dyDescent="0.3">
      <c r="A19" s="1">
        <v>9660002112</v>
      </c>
      <c r="B19" s="1">
        <v>3050</v>
      </c>
      <c r="C19" s="1" t="s">
        <v>626</v>
      </c>
      <c r="D19" s="1" t="s">
        <v>1619</v>
      </c>
      <c r="E19" s="1">
        <v>1420000</v>
      </c>
      <c r="G19" s="4">
        <v>9660002112</v>
      </c>
      <c r="H19" s="4">
        <v>4970</v>
      </c>
      <c r="I19" s="4" t="s">
        <v>1011</v>
      </c>
      <c r="J19" s="4" t="s">
        <v>1811</v>
      </c>
      <c r="K19" s="4">
        <v>15000</v>
      </c>
      <c r="N19" s="4">
        <v>9660002112</v>
      </c>
      <c r="O19" s="4">
        <v>140</v>
      </c>
      <c r="P19" s="4" t="s">
        <v>34</v>
      </c>
      <c r="Q19" s="4" t="s">
        <v>1339</v>
      </c>
      <c r="R19" s="4">
        <v>3000</v>
      </c>
    </row>
    <row r="20" spans="1:18" x14ac:dyDescent="0.3">
      <c r="A20" s="1">
        <v>9660002112</v>
      </c>
      <c r="B20" s="1">
        <v>3190</v>
      </c>
      <c r="C20" s="1" t="s">
        <v>654</v>
      </c>
      <c r="D20" s="1" t="s">
        <v>1633</v>
      </c>
      <c r="E20" s="1">
        <v>10000</v>
      </c>
      <c r="G20" s="4">
        <v>9660002112</v>
      </c>
      <c r="H20" s="4">
        <v>4990</v>
      </c>
      <c r="I20" s="4" t="s">
        <v>1015</v>
      </c>
      <c r="J20" s="4" t="s">
        <v>1813</v>
      </c>
      <c r="K20" s="4">
        <v>270000</v>
      </c>
      <c r="N20" s="4">
        <v>9660002112</v>
      </c>
      <c r="O20" s="4">
        <v>120</v>
      </c>
      <c r="P20" s="4" t="s">
        <v>30</v>
      </c>
      <c r="Q20" s="4" t="s">
        <v>1337</v>
      </c>
      <c r="R20" s="4">
        <v>3000</v>
      </c>
    </row>
    <row r="21" spans="1:18" x14ac:dyDescent="0.3">
      <c r="A21" s="1">
        <v>9660002112</v>
      </c>
      <c r="B21" s="1">
        <v>3360</v>
      </c>
      <c r="C21" s="1" t="s">
        <v>688</v>
      </c>
      <c r="D21" s="1" t="s">
        <v>1650</v>
      </c>
      <c r="E21" s="1">
        <v>50000</v>
      </c>
      <c r="G21" s="4">
        <v>9660002112</v>
      </c>
      <c r="H21" s="4">
        <v>5880</v>
      </c>
      <c r="I21" s="4" t="s">
        <v>1198</v>
      </c>
      <c r="J21" s="4" t="s">
        <v>1902</v>
      </c>
      <c r="K21" s="4">
        <v>42000</v>
      </c>
      <c r="N21" s="4">
        <v>9660002112</v>
      </c>
      <c r="O21" s="4">
        <v>210</v>
      </c>
      <c r="P21" s="4" t="s">
        <v>49</v>
      </c>
      <c r="Q21" s="4" t="s">
        <v>1346</v>
      </c>
      <c r="R21" s="4">
        <v>3600</v>
      </c>
    </row>
    <row r="22" spans="1:18" x14ac:dyDescent="0.3">
      <c r="A22" s="1">
        <v>9660002112</v>
      </c>
      <c r="B22" s="1">
        <v>3490</v>
      </c>
      <c r="C22" s="1" t="s">
        <v>714</v>
      </c>
      <c r="D22" s="1" t="s">
        <v>1663</v>
      </c>
      <c r="E22" s="1">
        <v>10000</v>
      </c>
      <c r="G22" s="4">
        <v>9660002112</v>
      </c>
      <c r="H22" s="4">
        <v>5990</v>
      </c>
      <c r="I22" s="4" t="s">
        <v>1969</v>
      </c>
      <c r="J22" s="4" t="s">
        <v>1970</v>
      </c>
      <c r="K22" s="4">
        <v>4000</v>
      </c>
      <c r="N22" s="4">
        <v>9660002112</v>
      </c>
      <c r="O22" s="4">
        <v>1130</v>
      </c>
      <c r="P22" s="4" t="s">
        <v>235</v>
      </c>
      <c r="Q22" s="4" t="s">
        <v>1428</v>
      </c>
      <c r="R22" s="4">
        <v>19500</v>
      </c>
    </row>
    <row r="23" spans="1:18" x14ac:dyDescent="0.3">
      <c r="A23" s="1">
        <v>9660002112</v>
      </c>
      <c r="B23" s="1">
        <v>3500</v>
      </c>
      <c r="C23" s="1" t="s">
        <v>716</v>
      </c>
      <c r="D23" s="1" t="s">
        <v>1664</v>
      </c>
      <c r="E23" s="1">
        <v>20000</v>
      </c>
      <c r="G23" s="4">
        <v>9660002112</v>
      </c>
      <c r="H23" s="4">
        <v>6050</v>
      </c>
      <c r="I23" s="4" t="s">
        <v>1235</v>
      </c>
      <c r="J23" s="4" t="s">
        <v>1918</v>
      </c>
      <c r="K23" s="4">
        <v>280000</v>
      </c>
      <c r="N23" s="4">
        <v>9660002112</v>
      </c>
      <c r="O23" s="4">
        <v>1320</v>
      </c>
      <c r="P23" s="4" t="s">
        <v>273</v>
      </c>
      <c r="Q23" s="4" t="s">
        <v>1447</v>
      </c>
      <c r="R23" s="4">
        <v>34300</v>
      </c>
    </row>
    <row r="24" spans="1:18" x14ac:dyDescent="0.3">
      <c r="A24" s="1">
        <v>9660002112</v>
      </c>
      <c r="B24" s="1">
        <v>3520</v>
      </c>
      <c r="C24" s="1" t="s">
        <v>720</v>
      </c>
      <c r="D24" s="1" t="s">
        <v>1666</v>
      </c>
      <c r="E24" s="1">
        <v>100000</v>
      </c>
      <c r="N24" s="4">
        <v>9660002112</v>
      </c>
      <c r="O24" s="4">
        <v>150</v>
      </c>
      <c r="P24" s="4" t="s">
        <v>36</v>
      </c>
      <c r="Q24" s="4" t="s">
        <v>1340</v>
      </c>
      <c r="R24" s="4">
        <v>41800</v>
      </c>
    </row>
    <row r="25" spans="1:18" x14ac:dyDescent="0.3">
      <c r="A25" s="1">
        <v>9660002112</v>
      </c>
      <c r="B25" s="1">
        <v>3540</v>
      </c>
      <c r="C25" s="1" t="s">
        <v>724</v>
      </c>
      <c r="D25" s="1" t="s">
        <v>1668</v>
      </c>
      <c r="E25" s="1">
        <v>130000</v>
      </c>
      <c r="N25" s="4">
        <v>9660002112</v>
      </c>
      <c r="O25" s="4">
        <v>250</v>
      </c>
      <c r="P25" s="7" t="s">
        <v>54</v>
      </c>
      <c r="Q25" s="4" t="s">
        <v>1347</v>
      </c>
      <c r="R25" s="4">
        <v>7200</v>
      </c>
    </row>
    <row r="26" spans="1:18" x14ac:dyDescent="0.3">
      <c r="A26" s="1">
        <v>9660002112</v>
      </c>
      <c r="B26" s="1">
        <v>3830</v>
      </c>
      <c r="C26" s="1" t="s">
        <v>782</v>
      </c>
      <c r="D26" s="1" t="s">
        <v>1697</v>
      </c>
      <c r="E26" s="1">
        <v>60000</v>
      </c>
      <c r="N26" s="4">
        <v>9660002112</v>
      </c>
      <c r="O26" s="4">
        <v>160</v>
      </c>
      <c r="P26" s="4" t="s">
        <v>38</v>
      </c>
      <c r="Q26" s="4" t="s">
        <v>1341</v>
      </c>
      <c r="R26" s="4">
        <v>41800</v>
      </c>
    </row>
    <row r="27" spans="1:18" x14ac:dyDescent="0.3">
      <c r="A27" s="1">
        <v>9660002112</v>
      </c>
      <c r="B27" s="1">
        <v>3850</v>
      </c>
      <c r="C27" s="1" t="s">
        <v>786</v>
      </c>
      <c r="D27" s="1" t="s">
        <v>1699</v>
      </c>
      <c r="E27" s="1">
        <v>50000</v>
      </c>
    </row>
    <row r="28" spans="1:18" x14ac:dyDescent="0.3">
      <c r="A28" s="1">
        <v>9660002112</v>
      </c>
      <c r="B28" s="1">
        <v>4010</v>
      </c>
      <c r="C28" s="1" t="s">
        <v>818</v>
      </c>
      <c r="D28" s="1" t="s">
        <v>1715</v>
      </c>
      <c r="E28" s="1">
        <v>290000</v>
      </c>
    </row>
    <row r="29" spans="1:18" x14ac:dyDescent="0.3">
      <c r="A29" s="1">
        <v>9660002112</v>
      </c>
      <c r="B29" s="1">
        <v>4040</v>
      </c>
      <c r="C29" s="1" t="s">
        <v>824</v>
      </c>
      <c r="D29" s="1" t="s">
        <v>1718</v>
      </c>
      <c r="E29" s="1">
        <v>50000</v>
      </c>
    </row>
    <row r="30" spans="1:18" x14ac:dyDescent="0.3">
      <c r="A30" s="1">
        <v>9660002112</v>
      </c>
      <c r="B30" s="1">
        <v>4090</v>
      </c>
      <c r="C30" s="1" t="s">
        <v>834</v>
      </c>
      <c r="D30" s="1" t="s">
        <v>1723</v>
      </c>
      <c r="E30" s="1">
        <v>70000</v>
      </c>
    </row>
    <row r="31" spans="1:18" x14ac:dyDescent="0.3">
      <c r="A31" s="1">
        <v>9660002112</v>
      </c>
      <c r="B31" s="1">
        <v>4220</v>
      </c>
      <c r="C31" s="1" t="s">
        <v>860</v>
      </c>
      <c r="D31" s="1" t="s">
        <v>1736</v>
      </c>
      <c r="E31" s="1">
        <v>250000</v>
      </c>
    </row>
    <row r="32" spans="1:18" x14ac:dyDescent="0.3">
      <c r="A32" s="1">
        <v>9660002112</v>
      </c>
      <c r="B32" s="1">
        <v>4470</v>
      </c>
      <c r="C32" s="1" t="s">
        <v>910</v>
      </c>
      <c r="D32" s="1" t="s">
        <v>1761</v>
      </c>
      <c r="E32" s="1">
        <v>290000</v>
      </c>
    </row>
    <row r="33" spans="1:5" x14ac:dyDescent="0.3">
      <c r="A33" s="1">
        <v>9660002112</v>
      </c>
      <c r="B33" s="1">
        <v>4490</v>
      </c>
      <c r="C33" s="1" t="s">
        <v>915</v>
      </c>
      <c r="D33" s="1" t="s">
        <v>1763</v>
      </c>
      <c r="E33" s="1">
        <v>52000</v>
      </c>
    </row>
    <row r="34" spans="1:5" x14ac:dyDescent="0.3">
      <c r="A34" s="1">
        <v>9660002112</v>
      </c>
      <c r="B34" s="1">
        <v>5020</v>
      </c>
      <c r="C34" s="1" t="s">
        <v>1021</v>
      </c>
      <c r="D34" s="1" t="s">
        <v>1816</v>
      </c>
      <c r="E34" s="1">
        <v>204000</v>
      </c>
    </row>
    <row r="35" spans="1:5" x14ac:dyDescent="0.3">
      <c r="A35" s="1">
        <v>9660002112</v>
      </c>
      <c r="B35" s="1">
        <v>5060</v>
      </c>
      <c r="C35" s="1" t="s">
        <v>1029</v>
      </c>
      <c r="D35" s="1" t="s">
        <v>1820</v>
      </c>
      <c r="E35" s="1">
        <v>70000</v>
      </c>
    </row>
    <row r="36" spans="1:5" x14ac:dyDescent="0.3">
      <c r="A36" s="1">
        <v>9660002112</v>
      </c>
      <c r="B36" s="1">
        <v>5070</v>
      </c>
      <c r="C36" s="1" t="s">
        <v>1031</v>
      </c>
      <c r="D36" s="1" t="s">
        <v>1821</v>
      </c>
      <c r="E36" s="1">
        <v>160000</v>
      </c>
    </row>
    <row r="37" spans="1:5" x14ac:dyDescent="0.3">
      <c r="A37" s="1">
        <v>9660002112</v>
      </c>
      <c r="B37" s="1">
        <v>5080</v>
      </c>
      <c r="C37" s="1" t="s">
        <v>1033</v>
      </c>
      <c r="D37" s="1" t="s">
        <v>1822</v>
      </c>
      <c r="E37" s="1">
        <v>40000</v>
      </c>
    </row>
    <row r="38" spans="1:5" x14ac:dyDescent="0.3">
      <c r="A38" s="1">
        <v>9660002112</v>
      </c>
      <c r="B38" s="1">
        <v>5100</v>
      </c>
      <c r="C38" s="1" t="s">
        <v>1037</v>
      </c>
      <c r="D38" s="1" t="s">
        <v>1824</v>
      </c>
      <c r="E38" s="1">
        <v>40000</v>
      </c>
    </row>
    <row r="39" spans="1:5" x14ac:dyDescent="0.3">
      <c r="A39" s="1">
        <v>9660002112</v>
      </c>
      <c r="B39" s="1">
        <v>5160</v>
      </c>
      <c r="C39" s="1" t="s">
        <v>1049</v>
      </c>
      <c r="D39" s="1" t="s">
        <v>1830</v>
      </c>
      <c r="E39" s="1">
        <v>20000</v>
      </c>
    </row>
    <row r="40" spans="1:5" x14ac:dyDescent="0.3">
      <c r="A40" s="1">
        <v>9660002112</v>
      </c>
      <c r="B40" s="1">
        <v>5180</v>
      </c>
      <c r="C40" s="1" t="s">
        <v>1053</v>
      </c>
      <c r="D40" s="1" t="s">
        <v>1832</v>
      </c>
      <c r="E40" s="1">
        <v>780000</v>
      </c>
    </row>
    <row r="41" spans="1:5" x14ac:dyDescent="0.3">
      <c r="A41" s="1">
        <v>9660002112</v>
      </c>
      <c r="B41" s="1">
        <v>5230</v>
      </c>
      <c r="C41" s="1" t="s">
        <v>1063</v>
      </c>
      <c r="D41" s="1" t="s">
        <v>1837</v>
      </c>
      <c r="E41" s="1">
        <v>100000</v>
      </c>
    </row>
    <row r="42" spans="1:5" x14ac:dyDescent="0.3">
      <c r="A42" s="1">
        <v>9660002112</v>
      </c>
      <c r="B42" s="1">
        <v>5260</v>
      </c>
      <c r="C42" s="1" t="s">
        <v>1069</v>
      </c>
      <c r="D42" s="1" t="s">
        <v>1840</v>
      </c>
      <c r="E42" s="1">
        <v>480000</v>
      </c>
    </row>
    <row r="43" spans="1:5" x14ac:dyDescent="0.3">
      <c r="A43" s="1">
        <v>9660002112</v>
      </c>
      <c r="B43" s="1">
        <v>5290</v>
      </c>
      <c r="C43" s="1" t="s">
        <v>1075</v>
      </c>
      <c r="D43" s="1" t="s">
        <v>1843</v>
      </c>
      <c r="E43" s="1">
        <v>120000</v>
      </c>
    </row>
    <row r="44" spans="1:5" x14ac:dyDescent="0.3">
      <c r="A44" s="1">
        <v>9660002112</v>
      </c>
      <c r="B44" s="1">
        <v>5300</v>
      </c>
      <c r="C44" s="1" t="s">
        <v>1077</v>
      </c>
      <c r="D44" s="1" t="s">
        <v>1844</v>
      </c>
      <c r="E44" s="1">
        <v>680000</v>
      </c>
    </row>
    <row r="45" spans="1:5" x14ac:dyDescent="0.3">
      <c r="A45" s="1">
        <v>9660002112</v>
      </c>
      <c r="B45" s="1">
        <v>5960</v>
      </c>
      <c r="C45" s="1" t="s">
        <v>1217</v>
      </c>
      <c r="D45" s="1" t="s">
        <v>1910</v>
      </c>
      <c r="E45" s="1">
        <v>140000</v>
      </c>
    </row>
    <row r="46" spans="1:5" x14ac:dyDescent="0.3">
      <c r="A46" s="1">
        <v>9660002112</v>
      </c>
      <c r="B46" s="1">
        <v>6320</v>
      </c>
      <c r="C46" s="1" t="s">
        <v>1290</v>
      </c>
      <c r="D46" s="1" t="s">
        <v>1945</v>
      </c>
      <c r="E46" s="1">
        <v>48000</v>
      </c>
    </row>
    <row r="47" spans="1:5" x14ac:dyDescent="0.3">
      <c r="A47" s="1">
        <v>9660002112</v>
      </c>
      <c r="B47" s="1">
        <v>2750</v>
      </c>
      <c r="C47" s="1" t="s">
        <v>566</v>
      </c>
      <c r="D47" s="1" t="s">
        <v>1589</v>
      </c>
      <c r="E47" s="1">
        <v>1860000</v>
      </c>
    </row>
    <row r="48" spans="1:5" x14ac:dyDescent="0.3">
      <c r="A48" s="1">
        <v>9660002112</v>
      </c>
      <c r="B48" s="1">
        <v>700</v>
      </c>
      <c r="C48" s="1" t="s">
        <v>148</v>
      </c>
      <c r="D48" s="1" t="s">
        <v>1385</v>
      </c>
      <c r="E48" s="1">
        <v>48000</v>
      </c>
    </row>
    <row r="49" spans="1:5" x14ac:dyDescent="0.3">
      <c r="A49" s="1">
        <v>9660002112</v>
      </c>
      <c r="B49" s="1">
        <v>1440</v>
      </c>
      <c r="C49" s="1" t="s">
        <v>297</v>
      </c>
      <c r="D49" s="1" t="s">
        <v>1458</v>
      </c>
      <c r="E49" s="1">
        <v>303000</v>
      </c>
    </row>
    <row r="50" spans="1:5" x14ac:dyDescent="0.3">
      <c r="A50" s="1">
        <v>9660002112</v>
      </c>
      <c r="B50" s="1">
        <v>1840</v>
      </c>
      <c r="C50" s="1" t="s">
        <v>382</v>
      </c>
      <c r="D50" s="1" t="s">
        <v>1498</v>
      </c>
      <c r="E50" s="1">
        <v>363000</v>
      </c>
    </row>
    <row r="51" spans="1:5" x14ac:dyDescent="0.3">
      <c r="A51" s="1">
        <v>9660002112</v>
      </c>
      <c r="B51" s="1">
        <v>2050</v>
      </c>
      <c r="C51" s="1" t="s">
        <v>426</v>
      </c>
      <c r="D51" s="1" t="s">
        <v>1519</v>
      </c>
      <c r="E51" s="1">
        <v>50000</v>
      </c>
    </row>
    <row r="52" spans="1:5" x14ac:dyDescent="0.3">
      <c r="A52" s="1">
        <v>9660002112</v>
      </c>
      <c r="B52" s="1">
        <v>2170</v>
      </c>
      <c r="C52" s="1" t="s">
        <v>450</v>
      </c>
      <c r="D52" s="1" t="s">
        <v>1531</v>
      </c>
      <c r="E52" s="1">
        <v>112000</v>
      </c>
    </row>
    <row r="53" spans="1:5" x14ac:dyDescent="0.3">
      <c r="A53" s="1">
        <v>9660002112</v>
      </c>
      <c r="B53" s="1">
        <v>2200</v>
      </c>
      <c r="C53" s="1" t="s">
        <v>456</v>
      </c>
      <c r="D53" s="1" t="s">
        <v>1534</v>
      </c>
      <c r="E53" s="1">
        <v>70000</v>
      </c>
    </row>
    <row r="54" spans="1:5" x14ac:dyDescent="0.3">
      <c r="A54" s="1">
        <v>9660002112</v>
      </c>
      <c r="B54" s="1">
        <v>2550</v>
      </c>
      <c r="C54" s="1" t="s">
        <v>526</v>
      </c>
      <c r="D54" s="1" t="s">
        <v>1569</v>
      </c>
      <c r="E54" s="1">
        <v>390000</v>
      </c>
    </row>
    <row r="55" spans="1:5" x14ac:dyDescent="0.3">
      <c r="A55" s="1">
        <v>9660002112</v>
      </c>
      <c r="B55" s="1">
        <v>2640</v>
      </c>
      <c r="C55" s="1" t="s">
        <v>544</v>
      </c>
      <c r="D55" s="1" t="s">
        <v>1578</v>
      </c>
      <c r="E55" s="1">
        <v>40000</v>
      </c>
    </row>
    <row r="56" spans="1:5" x14ac:dyDescent="0.3">
      <c r="A56" s="1">
        <v>9660002112</v>
      </c>
      <c r="B56" s="1">
        <v>2650</v>
      </c>
      <c r="C56" s="1" t="s">
        <v>546</v>
      </c>
      <c r="D56" s="1" t="s">
        <v>1579</v>
      </c>
      <c r="E56" s="1">
        <v>400000</v>
      </c>
    </row>
    <row r="57" spans="1:5" x14ac:dyDescent="0.3">
      <c r="A57" s="1">
        <v>9660002112</v>
      </c>
      <c r="B57" s="1">
        <v>2670</v>
      </c>
      <c r="C57" s="1" t="s">
        <v>550</v>
      </c>
      <c r="D57" s="1" t="s">
        <v>1581</v>
      </c>
      <c r="E57" s="1">
        <v>150000</v>
      </c>
    </row>
    <row r="58" spans="1:5" x14ac:dyDescent="0.3">
      <c r="A58" s="1">
        <v>9660002112</v>
      </c>
      <c r="B58" s="1">
        <v>2760</v>
      </c>
      <c r="C58" s="1" t="s">
        <v>568</v>
      </c>
      <c r="D58" s="1" t="s">
        <v>1590</v>
      </c>
      <c r="E58" s="1">
        <v>70000</v>
      </c>
    </row>
    <row r="59" spans="1:5" x14ac:dyDescent="0.3">
      <c r="A59" s="1">
        <v>9660002112</v>
      </c>
      <c r="B59" s="1">
        <v>2880</v>
      </c>
      <c r="C59" s="1" t="s">
        <v>592</v>
      </c>
      <c r="D59" s="1" t="s">
        <v>1602</v>
      </c>
      <c r="E59" s="1">
        <v>100000</v>
      </c>
    </row>
    <row r="60" spans="1:5" x14ac:dyDescent="0.3">
      <c r="A60" s="1">
        <v>9660002112</v>
      </c>
      <c r="B60" s="1">
        <v>3060</v>
      </c>
      <c r="C60" s="1" t="s">
        <v>628</v>
      </c>
      <c r="D60" s="1" t="s">
        <v>1620</v>
      </c>
      <c r="E60" s="1">
        <v>440000</v>
      </c>
    </row>
    <row r="61" spans="1:5" x14ac:dyDescent="0.3">
      <c r="A61" s="1">
        <v>9660002112</v>
      </c>
      <c r="B61" s="1">
        <v>3080</v>
      </c>
      <c r="C61" s="1" t="s">
        <v>632</v>
      </c>
      <c r="D61" s="1" t="s">
        <v>1622</v>
      </c>
      <c r="E61" s="1">
        <v>300000</v>
      </c>
    </row>
    <row r="62" spans="1:5" x14ac:dyDescent="0.3">
      <c r="A62" s="1">
        <v>9660002112</v>
      </c>
      <c r="B62" s="1">
        <v>3100</v>
      </c>
      <c r="C62" s="1" t="s">
        <v>636</v>
      </c>
      <c r="D62" s="1" t="s">
        <v>1624</v>
      </c>
      <c r="E62" s="1">
        <v>10000</v>
      </c>
    </row>
    <row r="63" spans="1:5" x14ac:dyDescent="0.3">
      <c r="A63" s="1">
        <v>9660002112</v>
      </c>
      <c r="B63" s="1">
        <v>3200</v>
      </c>
      <c r="C63" s="1" t="s">
        <v>656</v>
      </c>
      <c r="D63" s="1" t="s">
        <v>1634</v>
      </c>
      <c r="E63" s="1">
        <v>40000</v>
      </c>
    </row>
    <row r="64" spans="1:5" x14ac:dyDescent="0.3">
      <c r="A64" s="1">
        <v>9660002112</v>
      </c>
      <c r="B64" s="1">
        <v>3240</v>
      </c>
      <c r="C64" s="1" t="s">
        <v>664</v>
      </c>
      <c r="D64" s="1" t="s">
        <v>1638</v>
      </c>
      <c r="E64" s="1">
        <v>120000</v>
      </c>
    </row>
    <row r="65" spans="1:5" x14ac:dyDescent="0.3">
      <c r="A65" s="1">
        <v>9660002112</v>
      </c>
      <c r="B65" s="1">
        <v>3290</v>
      </c>
      <c r="C65" s="1" t="s">
        <v>674</v>
      </c>
      <c r="D65" s="1" t="s">
        <v>1643</v>
      </c>
      <c r="E65" s="1">
        <v>10000</v>
      </c>
    </row>
    <row r="66" spans="1:5" x14ac:dyDescent="0.3">
      <c r="A66" s="1">
        <v>9660002112</v>
      </c>
      <c r="B66" s="1">
        <v>3350</v>
      </c>
      <c r="C66" s="1" t="s">
        <v>686</v>
      </c>
      <c r="D66" s="1" t="s">
        <v>1649</v>
      </c>
      <c r="E66" s="1">
        <v>30000</v>
      </c>
    </row>
    <row r="67" spans="1:5" x14ac:dyDescent="0.3">
      <c r="A67" s="1">
        <v>9660002112</v>
      </c>
      <c r="B67" s="1">
        <v>3400</v>
      </c>
      <c r="C67" s="1" t="s">
        <v>696</v>
      </c>
      <c r="D67" s="1" t="s">
        <v>1654</v>
      </c>
      <c r="E67" s="1">
        <v>10000</v>
      </c>
    </row>
    <row r="68" spans="1:5" x14ac:dyDescent="0.3">
      <c r="A68" s="1">
        <v>9660002112</v>
      </c>
      <c r="B68" s="1">
        <v>3430</v>
      </c>
      <c r="C68" s="1" t="s">
        <v>702</v>
      </c>
      <c r="D68" s="1" t="s">
        <v>1657</v>
      </c>
      <c r="E68" s="1">
        <v>20000</v>
      </c>
    </row>
    <row r="69" spans="1:5" x14ac:dyDescent="0.3">
      <c r="A69" s="1">
        <v>9660002112</v>
      </c>
      <c r="B69" s="1">
        <v>3630</v>
      </c>
      <c r="C69" s="1" t="s">
        <v>742</v>
      </c>
      <c r="D69" s="1" t="s">
        <v>1677</v>
      </c>
      <c r="E69" s="1">
        <v>20000</v>
      </c>
    </row>
    <row r="70" spans="1:5" x14ac:dyDescent="0.3">
      <c r="A70" s="1">
        <v>9660002112</v>
      </c>
      <c r="B70" s="1">
        <v>3680</v>
      </c>
      <c r="C70" s="1" t="s">
        <v>752</v>
      </c>
      <c r="D70" s="1" t="s">
        <v>1682</v>
      </c>
      <c r="E70" s="1">
        <v>60000</v>
      </c>
    </row>
    <row r="71" spans="1:5" x14ac:dyDescent="0.3">
      <c r="A71" s="1">
        <v>9660002112</v>
      </c>
      <c r="B71" s="1">
        <v>3700</v>
      </c>
      <c r="C71" s="1" t="s">
        <v>756</v>
      </c>
      <c r="D71" s="1" t="s">
        <v>1684</v>
      </c>
      <c r="E71" s="1">
        <v>10000</v>
      </c>
    </row>
    <row r="72" spans="1:5" x14ac:dyDescent="0.3">
      <c r="A72" s="1">
        <v>9660002112</v>
      </c>
      <c r="B72" s="1">
        <v>3790</v>
      </c>
      <c r="C72" s="1" t="s">
        <v>774</v>
      </c>
      <c r="D72" s="1" t="s">
        <v>1693</v>
      </c>
      <c r="E72" s="1">
        <v>50000</v>
      </c>
    </row>
    <row r="73" spans="1:5" x14ac:dyDescent="0.3">
      <c r="A73" s="1">
        <v>9660002112</v>
      </c>
      <c r="B73" s="1">
        <v>3950</v>
      </c>
      <c r="C73" s="1" t="s">
        <v>806</v>
      </c>
      <c r="D73" s="1" t="s">
        <v>1709</v>
      </c>
      <c r="E73" s="1">
        <v>130000</v>
      </c>
    </row>
    <row r="74" spans="1:5" x14ac:dyDescent="0.3">
      <c r="A74" s="1">
        <v>9660002112</v>
      </c>
      <c r="B74" s="1">
        <v>4000</v>
      </c>
      <c r="C74" s="1" t="s">
        <v>816</v>
      </c>
      <c r="D74" s="1" t="s">
        <v>1714</v>
      </c>
      <c r="E74" s="1">
        <v>10000</v>
      </c>
    </row>
    <row r="75" spans="1:5" x14ac:dyDescent="0.3">
      <c r="A75" s="1">
        <v>9660002112</v>
      </c>
      <c r="B75" s="1">
        <v>4030</v>
      </c>
      <c r="C75" s="1" t="s">
        <v>822</v>
      </c>
      <c r="D75" s="1" t="s">
        <v>1717</v>
      </c>
      <c r="E75" s="1">
        <v>170000</v>
      </c>
    </row>
    <row r="76" spans="1:5" x14ac:dyDescent="0.3">
      <c r="A76" s="1">
        <v>9660002112</v>
      </c>
      <c r="B76" s="1">
        <v>4150</v>
      </c>
      <c r="C76" s="1" t="s">
        <v>846</v>
      </c>
      <c r="D76" s="1" t="s">
        <v>1729</v>
      </c>
      <c r="E76" s="1">
        <v>20000</v>
      </c>
    </row>
    <row r="77" spans="1:5" x14ac:dyDescent="0.3">
      <c r="A77" s="1">
        <v>9660002112</v>
      </c>
      <c r="B77" s="1">
        <v>4500</v>
      </c>
      <c r="C77" s="1" t="s">
        <v>917</v>
      </c>
      <c r="D77" s="1" t="s">
        <v>1764</v>
      </c>
      <c r="E77" s="1">
        <v>88000</v>
      </c>
    </row>
    <row r="78" spans="1:5" x14ac:dyDescent="0.3">
      <c r="A78" s="1">
        <v>9660002112</v>
      </c>
      <c r="B78" s="1">
        <v>4510</v>
      </c>
      <c r="C78" s="1" t="s">
        <v>919</v>
      </c>
      <c r="D78" s="1" t="s">
        <v>1765</v>
      </c>
      <c r="E78" s="1">
        <v>64000</v>
      </c>
    </row>
    <row r="79" spans="1:5" x14ac:dyDescent="0.3">
      <c r="A79" s="1">
        <v>9660002112</v>
      </c>
      <c r="B79" s="1">
        <v>4560</v>
      </c>
      <c r="C79" s="1" t="s">
        <v>929</v>
      </c>
      <c r="D79" s="1" t="s">
        <v>1770</v>
      </c>
      <c r="E79" s="1">
        <v>2100000</v>
      </c>
    </row>
    <row r="80" spans="1:5" x14ac:dyDescent="0.3">
      <c r="A80" s="1">
        <v>9660002112</v>
      </c>
      <c r="B80" s="1">
        <v>5050</v>
      </c>
      <c r="C80" s="1" t="s">
        <v>1027</v>
      </c>
      <c r="D80" s="1" t="s">
        <v>1819</v>
      </c>
      <c r="E80" s="1">
        <v>50000</v>
      </c>
    </row>
    <row r="81" spans="1:5" x14ac:dyDescent="0.3">
      <c r="A81" s="1">
        <v>9660002112</v>
      </c>
      <c r="B81" s="1">
        <v>5090</v>
      </c>
      <c r="C81" s="1" t="s">
        <v>1035</v>
      </c>
      <c r="D81" s="1" t="s">
        <v>1823</v>
      </c>
      <c r="E81" s="1">
        <v>20000</v>
      </c>
    </row>
    <row r="82" spans="1:5" x14ac:dyDescent="0.3">
      <c r="A82" s="1">
        <v>9660002112</v>
      </c>
      <c r="B82" s="1">
        <v>5140</v>
      </c>
      <c r="C82" s="1" t="s">
        <v>1045</v>
      </c>
      <c r="D82" s="1" t="s">
        <v>1828</v>
      </c>
      <c r="E82" s="1">
        <v>50000</v>
      </c>
    </row>
    <row r="83" spans="1:5" x14ac:dyDescent="0.3">
      <c r="A83" s="1">
        <v>9660002112</v>
      </c>
      <c r="B83" s="1">
        <v>5190</v>
      </c>
      <c r="C83" s="1" t="s">
        <v>1055</v>
      </c>
      <c r="D83" s="1" t="s">
        <v>1833</v>
      </c>
      <c r="E83" s="1">
        <v>120000</v>
      </c>
    </row>
    <row r="84" spans="1:5" x14ac:dyDescent="0.3">
      <c r="A84" s="1">
        <v>9660002112</v>
      </c>
      <c r="B84" s="1">
        <v>5220</v>
      </c>
      <c r="C84" s="1" t="s">
        <v>1061</v>
      </c>
      <c r="D84" s="1" t="s">
        <v>1836</v>
      </c>
      <c r="E84" s="1">
        <v>920000</v>
      </c>
    </row>
    <row r="85" spans="1:5" x14ac:dyDescent="0.3">
      <c r="A85" s="1">
        <v>9660002112</v>
      </c>
      <c r="B85" s="1">
        <v>5270</v>
      </c>
      <c r="C85" s="1" t="s">
        <v>1071</v>
      </c>
      <c r="D85" s="1" t="s">
        <v>1841</v>
      </c>
      <c r="E85" s="1">
        <v>40000</v>
      </c>
    </row>
    <row r="86" spans="1:5" x14ac:dyDescent="0.3">
      <c r="A86" s="1">
        <v>9660002112</v>
      </c>
      <c r="B86" s="1">
        <v>5320</v>
      </c>
      <c r="C86" s="1" t="s">
        <v>1081</v>
      </c>
      <c r="D86" s="1" t="s">
        <v>1846</v>
      </c>
      <c r="E86" s="1">
        <v>130000</v>
      </c>
    </row>
    <row r="87" spans="1:5" x14ac:dyDescent="0.3">
      <c r="A87" s="1">
        <v>9660002112</v>
      </c>
      <c r="B87" s="1">
        <v>5330</v>
      </c>
      <c r="C87" s="1" t="s">
        <v>1083</v>
      </c>
      <c r="D87" s="1" t="s">
        <v>1847</v>
      </c>
      <c r="E87" s="1">
        <v>20000</v>
      </c>
    </row>
    <row r="88" spans="1:5" x14ac:dyDescent="0.3">
      <c r="A88" s="1">
        <v>9660002112</v>
      </c>
      <c r="B88" s="1">
        <v>5350</v>
      </c>
      <c r="C88" s="1" t="s">
        <v>1087</v>
      </c>
      <c r="D88" s="1" t="s">
        <v>1849</v>
      </c>
      <c r="E88" s="1">
        <v>40000</v>
      </c>
    </row>
    <row r="89" spans="1:5" x14ac:dyDescent="0.3">
      <c r="A89" s="1">
        <v>9660002112</v>
      </c>
      <c r="B89" s="1">
        <v>3090</v>
      </c>
      <c r="C89" s="1" t="s">
        <v>634</v>
      </c>
      <c r="D89" s="1" t="s">
        <v>1623</v>
      </c>
      <c r="E89" s="1">
        <v>20000</v>
      </c>
    </row>
    <row r="90" spans="1:5" x14ac:dyDescent="0.3">
      <c r="A90" s="1">
        <v>9660002112</v>
      </c>
      <c r="B90" s="1">
        <v>3390</v>
      </c>
      <c r="C90" s="1" t="s">
        <v>694</v>
      </c>
      <c r="D90" s="1" t="s">
        <v>1653</v>
      </c>
      <c r="E90" s="1">
        <v>100000</v>
      </c>
    </row>
    <row r="91" spans="1:5" x14ac:dyDescent="0.3">
      <c r="A91" s="1">
        <v>9660002112</v>
      </c>
      <c r="B91" s="1">
        <v>3560</v>
      </c>
      <c r="C91" s="1" t="s">
        <v>728</v>
      </c>
      <c r="D91" s="1" t="s">
        <v>1670</v>
      </c>
      <c r="E91" s="1">
        <v>30000</v>
      </c>
    </row>
    <row r="92" spans="1:5" x14ac:dyDescent="0.3">
      <c r="A92" s="1">
        <v>9660002112</v>
      </c>
      <c r="B92" s="1">
        <v>3750</v>
      </c>
      <c r="C92" s="1" t="s">
        <v>766</v>
      </c>
      <c r="D92" s="1" t="s">
        <v>1689</v>
      </c>
      <c r="E92" s="1">
        <v>20000</v>
      </c>
    </row>
    <row r="93" spans="1:5" x14ac:dyDescent="0.3">
      <c r="A93" s="1">
        <v>9660002112</v>
      </c>
      <c r="B93" s="1">
        <v>5120</v>
      </c>
      <c r="C93" s="1" t="s">
        <v>1041</v>
      </c>
      <c r="D93" s="1" t="s">
        <v>1826</v>
      </c>
      <c r="E93" s="1">
        <v>90000</v>
      </c>
    </row>
    <row r="94" spans="1:5" x14ac:dyDescent="0.3">
      <c r="A94" s="1">
        <v>9660002112</v>
      </c>
      <c r="B94" s="1">
        <v>3890</v>
      </c>
      <c r="C94" s="1" t="s">
        <v>794</v>
      </c>
      <c r="D94" s="1" t="s">
        <v>1703</v>
      </c>
      <c r="E94" s="1">
        <v>10000</v>
      </c>
    </row>
    <row r="95" spans="1:5" x14ac:dyDescent="0.3">
      <c r="A95" s="1">
        <v>9660002112</v>
      </c>
      <c r="B95" s="1">
        <v>2030</v>
      </c>
      <c r="C95" s="1" t="s">
        <v>422</v>
      </c>
      <c r="D95" s="1" t="s">
        <v>1517</v>
      </c>
      <c r="E95" s="1">
        <v>30000</v>
      </c>
    </row>
    <row r="96" spans="1:5" x14ac:dyDescent="0.3">
      <c r="A96" s="1">
        <v>9660002112</v>
      </c>
      <c r="B96" s="1">
        <v>2090</v>
      </c>
      <c r="C96" s="1" t="s">
        <v>434</v>
      </c>
      <c r="D96" s="1" t="s">
        <v>1523</v>
      </c>
      <c r="E96" s="1">
        <v>90000</v>
      </c>
    </row>
    <row r="97" spans="1:5" x14ac:dyDescent="0.3">
      <c r="A97" s="1">
        <v>9660002112</v>
      </c>
      <c r="B97" s="1">
        <v>2660</v>
      </c>
      <c r="C97" s="1" t="s">
        <v>548</v>
      </c>
      <c r="D97" s="1" t="s">
        <v>1580</v>
      </c>
      <c r="E97" s="1">
        <v>20000</v>
      </c>
    </row>
    <row r="98" spans="1:5" x14ac:dyDescent="0.3">
      <c r="A98" s="1">
        <v>9660002112</v>
      </c>
      <c r="B98" s="1">
        <v>2710</v>
      </c>
      <c r="C98" s="1" t="s">
        <v>558</v>
      </c>
      <c r="D98" s="1" t="s">
        <v>1585</v>
      </c>
      <c r="E98" s="1">
        <v>125000</v>
      </c>
    </row>
    <row r="99" spans="1:5" x14ac:dyDescent="0.3">
      <c r="A99" s="1">
        <v>9660002112</v>
      </c>
      <c r="B99" s="1">
        <v>3380</v>
      </c>
      <c r="C99" s="1" t="s">
        <v>692</v>
      </c>
      <c r="D99" s="1" t="s">
        <v>1652</v>
      </c>
      <c r="E99" s="1">
        <v>110000</v>
      </c>
    </row>
    <row r="100" spans="1:5" x14ac:dyDescent="0.3">
      <c r="A100" s="1">
        <v>9660002112</v>
      </c>
      <c r="B100" s="1">
        <v>3410</v>
      </c>
      <c r="C100" s="1" t="s">
        <v>698</v>
      </c>
      <c r="D100" s="1" t="s">
        <v>1655</v>
      </c>
      <c r="E100" s="1">
        <v>20000</v>
      </c>
    </row>
    <row r="101" spans="1:5" x14ac:dyDescent="0.3">
      <c r="A101" s="1">
        <v>9660002112</v>
      </c>
      <c r="B101" s="1">
        <v>4280</v>
      </c>
      <c r="C101" s="1" t="s">
        <v>872</v>
      </c>
      <c r="D101" s="1" t="s">
        <v>1742</v>
      </c>
      <c r="E101" s="1">
        <v>20000</v>
      </c>
    </row>
    <row r="102" spans="1:5" x14ac:dyDescent="0.3">
      <c r="A102" s="1">
        <v>9660002112</v>
      </c>
      <c r="B102" s="1">
        <v>720</v>
      </c>
      <c r="C102" s="1" t="s">
        <v>152</v>
      </c>
      <c r="D102" s="1" t="s">
        <v>1387</v>
      </c>
      <c r="E102" s="1">
        <v>57000</v>
      </c>
    </row>
    <row r="103" spans="1:5" x14ac:dyDescent="0.3">
      <c r="A103" s="1">
        <v>9660002112</v>
      </c>
      <c r="B103" s="1">
        <v>750</v>
      </c>
      <c r="C103" s="1" t="s">
        <v>158</v>
      </c>
      <c r="D103" s="1" t="s">
        <v>1390</v>
      </c>
      <c r="E103" s="1">
        <v>51000</v>
      </c>
    </row>
    <row r="104" spans="1:5" x14ac:dyDescent="0.3">
      <c r="A104" s="1">
        <v>9660002112</v>
      </c>
      <c r="B104" s="1">
        <v>1970</v>
      </c>
      <c r="C104" s="1" t="s">
        <v>410</v>
      </c>
      <c r="D104" s="1" t="s">
        <v>1511</v>
      </c>
      <c r="E104" s="1">
        <v>180000</v>
      </c>
    </row>
    <row r="105" spans="1:5" x14ac:dyDescent="0.3">
      <c r="A105" s="1">
        <v>9660002112</v>
      </c>
      <c r="B105" s="1">
        <v>2230</v>
      </c>
      <c r="C105" s="1" t="s">
        <v>462</v>
      </c>
      <c r="D105" s="1" t="s">
        <v>1537</v>
      </c>
      <c r="E105" s="1">
        <v>40000</v>
      </c>
    </row>
    <row r="106" spans="1:5" x14ac:dyDescent="0.3">
      <c r="A106" s="1">
        <v>9660002112</v>
      </c>
      <c r="B106" s="1">
        <v>1710</v>
      </c>
      <c r="C106" s="1" t="s">
        <v>353</v>
      </c>
      <c r="D106" s="1" t="s">
        <v>1485</v>
      </c>
      <c r="E106" s="1">
        <v>147000</v>
      </c>
    </row>
    <row r="107" spans="1:5" x14ac:dyDescent="0.3">
      <c r="A107" s="1">
        <v>9660002112</v>
      </c>
      <c r="B107" s="1">
        <v>3070</v>
      </c>
      <c r="C107" s="1" t="s">
        <v>630</v>
      </c>
      <c r="D107" s="1" t="s">
        <v>1621</v>
      </c>
      <c r="E107" s="1">
        <v>210000</v>
      </c>
    </row>
    <row r="108" spans="1:5" x14ac:dyDescent="0.3">
      <c r="A108" s="1">
        <v>9660002112</v>
      </c>
      <c r="B108" s="1">
        <v>3260</v>
      </c>
      <c r="C108" s="1" t="s">
        <v>668</v>
      </c>
      <c r="D108" s="1" t="s">
        <v>1640</v>
      </c>
      <c r="E108" s="1">
        <v>10000</v>
      </c>
    </row>
    <row r="109" spans="1:5" x14ac:dyDescent="0.3">
      <c r="A109" s="1">
        <v>9660002112</v>
      </c>
      <c r="B109" s="1">
        <v>3440</v>
      </c>
      <c r="C109" s="1" t="s">
        <v>704</v>
      </c>
      <c r="D109" s="1" t="s">
        <v>1658</v>
      </c>
      <c r="E109" s="1">
        <v>70000</v>
      </c>
    </row>
    <row r="110" spans="1:5" x14ac:dyDescent="0.3">
      <c r="A110" s="1">
        <v>9660002112</v>
      </c>
      <c r="B110" s="1">
        <v>3460</v>
      </c>
      <c r="C110" s="1" t="s">
        <v>708</v>
      </c>
      <c r="D110" s="1" t="s">
        <v>1660</v>
      </c>
      <c r="E110" s="1">
        <v>10000</v>
      </c>
    </row>
    <row r="111" spans="1:5" x14ac:dyDescent="0.3">
      <c r="A111" s="1">
        <v>9660002112</v>
      </c>
      <c r="B111" s="1">
        <v>3530</v>
      </c>
      <c r="C111" s="1" t="s">
        <v>722</v>
      </c>
      <c r="D111" s="1" t="s">
        <v>1667</v>
      </c>
      <c r="E111" s="1">
        <v>10000</v>
      </c>
    </row>
    <row r="112" spans="1:5" x14ac:dyDescent="0.3">
      <c r="A112" s="1">
        <v>9660002112</v>
      </c>
      <c r="B112" s="1">
        <v>3840</v>
      </c>
      <c r="C112" s="1" t="s">
        <v>784</v>
      </c>
      <c r="D112" s="1" t="s">
        <v>1698</v>
      </c>
      <c r="E112" s="1">
        <v>80000</v>
      </c>
    </row>
    <row r="113" spans="1:5" x14ac:dyDescent="0.3">
      <c r="A113" s="1">
        <v>9660002112</v>
      </c>
      <c r="B113" s="1">
        <v>4240</v>
      </c>
      <c r="C113" s="1" t="s">
        <v>864</v>
      </c>
      <c r="D113" s="1" t="s">
        <v>1738</v>
      </c>
      <c r="E113" s="1">
        <v>10000</v>
      </c>
    </row>
    <row r="114" spans="1:5" x14ac:dyDescent="0.3">
      <c r="A114" s="1">
        <v>9660002112</v>
      </c>
      <c r="B114" s="1">
        <v>5200</v>
      </c>
      <c r="C114" s="1" t="s">
        <v>1057</v>
      </c>
      <c r="D114" s="1" t="s">
        <v>1834</v>
      </c>
      <c r="E114" s="1">
        <v>10000</v>
      </c>
    </row>
    <row r="115" spans="1:5" x14ac:dyDescent="0.3">
      <c r="A115" s="1">
        <v>9660002112</v>
      </c>
      <c r="B115" s="1">
        <v>5410</v>
      </c>
      <c r="C115" s="1" t="s">
        <v>1099</v>
      </c>
      <c r="D115" s="1" t="s">
        <v>1855</v>
      </c>
      <c r="E115" s="1">
        <v>6000</v>
      </c>
    </row>
    <row r="116" spans="1:5" x14ac:dyDescent="0.3">
      <c r="A116" s="1">
        <v>9660002112</v>
      </c>
      <c r="B116" s="1">
        <v>3370</v>
      </c>
      <c r="C116" s="1" t="s">
        <v>690</v>
      </c>
      <c r="D116" s="1" t="s">
        <v>1651</v>
      </c>
      <c r="E116" s="1">
        <v>260000</v>
      </c>
    </row>
    <row r="117" spans="1:5" x14ac:dyDescent="0.3">
      <c r="A117" s="1">
        <v>9660002112</v>
      </c>
      <c r="B117" s="1">
        <v>3230</v>
      </c>
      <c r="C117" s="1" t="s">
        <v>662</v>
      </c>
      <c r="D117" s="1" t="s">
        <v>1637</v>
      </c>
      <c r="E117" s="1">
        <v>40000</v>
      </c>
    </row>
    <row r="118" spans="1:5" x14ac:dyDescent="0.3">
      <c r="A118" s="1">
        <v>9660002112</v>
      </c>
      <c r="B118" s="1">
        <v>3280</v>
      </c>
      <c r="C118" s="1" t="s">
        <v>672</v>
      </c>
      <c r="D118" s="1" t="s">
        <v>1642</v>
      </c>
      <c r="E118" s="1">
        <v>10000</v>
      </c>
    </row>
    <row r="119" spans="1:5" x14ac:dyDescent="0.3">
      <c r="A119" s="1">
        <v>9660002112</v>
      </c>
      <c r="B119" s="1">
        <v>3820</v>
      </c>
      <c r="C119" s="1" t="s">
        <v>780</v>
      </c>
      <c r="D119" s="1" t="s">
        <v>1696</v>
      </c>
      <c r="E119" s="1">
        <v>270000</v>
      </c>
    </row>
    <row r="120" spans="1:5" x14ac:dyDescent="0.3">
      <c r="A120" s="1">
        <v>9660002112</v>
      </c>
      <c r="B120" s="1">
        <v>3910</v>
      </c>
      <c r="C120" s="1" t="s">
        <v>798</v>
      </c>
      <c r="D120" s="1" t="s">
        <v>1705</v>
      </c>
      <c r="E120" s="1">
        <v>70000</v>
      </c>
    </row>
    <row r="121" spans="1:5" x14ac:dyDescent="0.3">
      <c r="A121" s="1">
        <v>9660002112</v>
      </c>
      <c r="B121" s="1">
        <v>3930</v>
      </c>
      <c r="C121" s="1" t="s">
        <v>802</v>
      </c>
      <c r="D121" s="1" t="s">
        <v>1707</v>
      </c>
      <c r="E121" s="1">
        <v>10000</v>
      </c>
    </row>
    <row r="122" spans="1:5" x14ac:dyDescent="0.3">
      <c r="A122" s="1">
        <v>9660002112</v>
      </c>
      <c r="B122" s="1">
        <v>4620</v>
      </c>
      <c r="C122" s="1" t="s">
        <v>941</v>
      </c>
      <c r="D122" s="1" t="s">
        <v>1776</v>
      </c>
      <c r="E122" s="1">
        <v>66000</v>
      </c>
    </row>
    <row r="123" spans="1:5" x14ac:dyDescent="0.3">
      <c r="A123" s="1">
        <v>9660002112</v>
      </c>
      <c r="B123" s="1">
        <v>5370</v>
      </c>
      <c r="C123" s="1" t="s">
        <v>1091</v>
      </c>
      <c r="D123" s="1" t="s">
        <v>1851</v>
      </c>
      <c r="E123" s="1">
        <v>100000</v>
      </c>
    </row>
    <row r="124" spans="1:5" x14ac:dyDescent="0.3">
      <c r="A124" s="1">
        <v>9660002112</v>
      </c>
      <c r="B124" s="1">
        <v>5430</v>
      </c>
      <c r="C124" s="1" t="s">
        <v>1104</v>
      </c>
      <c r="D124" s="1" t="s">
        <v>1857</v>
      </c>
      <c r="E124" s="1">
        <v>3500</v>
      </c>
    </row>
    <row r="125" spans="1:5" x14ac:dyDescent="0.3">
      <c r="A125" s="1">
        <v>9660002112</v>
      </c>
      <c r="B125" s="1">
        <v>1940</v>
      </c>
      <c r="C125" s="1" t="s">
        <v>404</v>
      </c>
      <c r="D125" s="1" t="s">
        <v>1508</v>
      </c>
      <c r="E125" s="1">
        <v>40000</v>
      </c>
    </row>
    <row r="126" spans="1:5" x14ac:dyDescent="0.3">
      <c r="A126" s="1">
        <v>9660002112</v>
      </c>
      <c r="B126" s="1">
        <v>2680</v>
      </c>
      <c r="C126" s="1" t="s">
        <v>552</v>
      </c>
      <c r="D126" s="1" t="s">
        <v>1582</v>
      </c>
      <c r="E126" s="1">
        <v>55000</v>
      </c>
    </row>
    <row r="127" spans="1:5" x14ac:dyDescent="0.3">
      <c r="A127" s="1">
        <v>9660002112</v>
      </c>
      <c r="B127" s="1">
        <v>2810</v>
      </c>
      <c r="C127" s="1" t="s">
        <v>578</v>
      </c>
      <c r="D127" s="1" t="s">
        <v>1595</v>
      </c>
      <c r="E127" s="1">
        <v>50000</v>
      </c>
    </row>
    <row r="128" spans="1:5" x14ac:dyDescent="0.3">
      <c r="A128" s="1">
        <v>9660002112</v>
      </c>
      <c r="B128" s="1">
        <v>2830</v>
      </c>
      <c r="C128" s="1" t="s">
        <v>582</v>
      </c>
      <c r="D128" s="1" t="s">
        <v>1597</v>
      </c>
      <c r="E128" s="1">
        <v>150000</v>
      </c>
    </row>
    <row r="129" spans="1:5" x14ac:dyDescent="0.3">
      <c r="A129" s="1">
        <v>9660002112</v>
      </c>
      <c r="B129" s="1">
        <v>2950</v>
      </c>
      <c r="C129" s="1" t="s">
        <v>606</v>
      </c>
      <c r="D129" s="1" t="s">
        <v>1609</v>
      </c>
      <c r="E129" s="1">
        <v>40000</v>
      </c>
    </row>
    <row r="130" spans="1:5" x14ac:dyDescent="0.3">
      <c r="A130" s="1">
        <v>9660002112</v>
      </c>
      <c r="B130" s="1">
        <v>3160</v>
      </c>
      <c r="C130" s="1" t="s">
        <v>648</v>
      </c>
      <c r="D130" s="1" t="s">
        <v>1630</v>
      </c>
      <c r="E130" s="1">
        <v>60000</v>
      </c>
    </row>
    <row r="131" spans="1:5" x14ac:dyDescent="0.3">
      <c r="A131" s="1">
        <v>9660002112</v>
      </c>
      <c r="B131" s="1">
        <v>3340</v>
      </c>
      <c r="C131" s="1" t="s">
        <v>684</v>
      </c>
      <c r="D131" s="1" t="s">
        <v>1648</v>
      </c>
      <c r="E131" s="1">
        <v>110000</v>
      </c>
    </row>
    <row r="132" spans="1:5" x14ac:dyDescent="0.3">
      <c r="A132" s="1">
        <v>9660002112</v>
      </c>
      <c r="B132" s="1">
        <v>3600</v>
      </c>
      <c r="C132" s="1" t="s">
        <v>736</v>
      </c>
      <c r="D132" s="1" t="s">
        <v>1674</v>
      </c>
      <c r="E132" s="1">
        <v>70000</v>
      </c>
    </row>
    <row r="133" spans="1:5" x14ac:dyDescent="0.3">
      <c r="A133" s="1">
        <v>9660002112</v>
      </c>
      <c r="B133" s="1">
        <v>3650</v>
      </c>
      <c r="C133" s="1" t="s">
        <v>746</v>
      </c>
      <c r="D133" s="1" t="s">
        <v>1679</v>
      </c>
      <c r="E133" s="1">
        <v>90000</v>
      </c>
    </row>
    <row r="134" spans="1:5" x14ac:dyDescent="0.3">
      <c r="A134" s="1">
        <v>9660002112</v>
      </c>
      <c r="B134" s="1">
        <v>3770</v>
      </c>
      <c r="C134" s="1" t="s">
        <v>770</v>
      </c>
      <c r="D134" s="1" t="s">
        <v>1691</v>
      </c>
      <c r="E134" s="1">
        <v>20000</v>
      </c>
    </row>
    <row r="135" spans="1:5" x14ac:dyDescent="0.3">
      <c r="A135" s="1">
        <v>9660002112</v>
      </c>
      <c r="B135" s="1">
        <v>4020</v>
      </c>
      <c r="C135" s="1" t="s">
        <v>820</v>
      </c>
      <c r="D135" s="1" t="s">
        <v>1716</v>
      </c>
      <c r="E135" s="1">
        <v>50000</v>
      </c>
    </row>
    <row r="136" spans="1:5" x14ac:dyDescent="0.3">
      <c r="A136" s="1">
        <v>9660002112</v>
      </c>
      <c r="B136" s="1">
        <v>4130</v>
      </c>
      <c r="C136" s="1" t="s">
        <v>842</v>
      </c>
      <c r="D136" s="1" t="s">
        <v>1727</v>
      </c>
      <c r="E136" s="1">
        <v>10000</v>
      </c>
    </row>
    <row r="137" spans="1:5" x14ac:dyDescent="0.3">
      <c r="A137" s="1">
        <v>9660002112</v>
      </c>
      <c r="B137" s="1">
        <v>4590</v>
      </c>
      <c r="C137" s="1" t="s">
        <v>935</v>
      </c>
      <c r="D137" s="1" t="s">
        <v>1773</v>
      </c>
      <c r="E137" s="1">
        <v>5472000</v>
      </c>
    </row>
    <row r="138" spans="1:5" x14ac:dyDescent="0.3">
      <c r="A138" s="1">
        <v>9660002112</v>
      </c>
      <c r="B138" s="1">
        <v>4690</v>
      </c>
      <c r="C138" s="1" t="s">
        <v>955</v>
      </c>
      <c r="D138" s="1" t="s">
        <v>1783</v>
      </c>
      <c r="E138" s="1">
        <v>1450000</v>
      </c>
    </row>
    <row r="139" spans="1:5" x14ac:dyDescent="0.3">
      <c r="A139" s="1">
        <v>9660002112</v>
      </c>
      <c r="B139" s="1">
        <v>5280</v>
      </c>
      <c r="C139" s="1" t="s">
        <v>1073</v>
      </c>
      <c r="D139" s="1" t="s">
        <v>1842</v>
      </c>
      <c r="E139" s="1">
        <v>40000</v>
      </c>
    </row>
    <row r="140" spans="1:5" x14ac:dyDescent="0.3">
      <c r="A140" s="1">
        <v>9660002112</v>
      </c>
      <c r="B140" s="1">
        <v>5590</v>
      </c>
      <c r="C140" s="1" t="s">
        <v>1137</v>
      </c>
      <c r="D140" s="1" t="s">
        <v>1873</v>
      </c>
      <c r="E140" s="1">
        <v>14000</v>
      </c>
    </row>
    <row r="141" spans="1:5" x14ac:dyDescent="0.3">
      <c r="A141" s="1">
        <v>9660002112</v>
      </c>
      <c r="B141" s="1">
        <v>5600</v>
      </c>
      <c r="C141" s="1" t="s">
        <v>1139</v>
      </c>
      <c r="D141" s="1" t="s">
        <v>1874</v>
      </c>
      <c r="E141" s="1">
        <v>3500</v>
      </c>
    </row>
    <row r="142" spans="1:5" x14ac:dyDescent="0.3">
      <c r="A142" s="1">
        <v>9660002112</v>
      </c>
      <c r="B142" s="1">
        <v>5660</v>
      </c>
      <c r="C142" s="1" t="s">
        <v>1152</v>
      </c>
      <c r="D142" s="1" t="s">
        <v>1880</v>
      </c>
      <c r="E142" s="1">
        <v>1000</v>
      </c>
    </row>
    <row r="143" spans="1:5" x14ac:dyDescent="0.3">
      <c r="A143" s="1">
        <v>9660002112</v>
      </c>
      <c r="B143" s="1">
        <v>5910</v>
      </c>
      <c r="C143" s="1" t="s">
        <v>1206</v>
      </c>
      <c r="D143" s="1" t="s">
        <v>1905</v>
      </c>
      <c r="E143" s="1">
        <v>250000</v>
      </c>
    </row>
    <row r="144" spans="1:5" x14ac:dyDescent="0.3">
      <c r="A144" s="1">
        <v>9660002112</v>
      </c>
      <c r="B144" s="1">
        <v>5950</v>
      </c>
      <c r="C144" s="1" t="s">
        <v>1215</v>
      </c>
      <c r="D144" s="1" t="s">
        <v>1909</v>
      </c>
      <c r="E144" s="1">
        <v>232000</v>
      </c>
    </row>
    <row r="145" spans="1:5" x14ac:dyDescent="0.3">
      <c r="A145" s="1">
        <v>9660002112</v>
      </c>
      <c r="B145" s="1">
        <v>1860</v>
      </c>
      <c r="C145" s="1" t="s">
        <v>387</v>
      </c>
      <c r="D145" s="1" t="s">
        <v>1500</v>
      </c>
      <c r="E145" s="1">
        <v>42000</v>
      </c>
    </row>
    <row r="146" spans="1:5" x14ac:dyDescent="0.3">
      <c r="A146" s="1">
        <v>9660002112</v>
      </c>
      <c r="B146" s="1">
        <v>4140</v>
      </c>
      <c r="C146" s="1" t="s">
        <v>844</v>
      </c>
      <c r="D146" s="1" t="s">
        <v>1728</v>
      </c>
      <c r="E146" s="1">
        <v>270000</v>
      </c>
    </row>
    <row r="147" spans="1:5" x14ac:dyDescent="0.3">
      <c r="A147" s="1">
        <v>9660002112</v>
      </c>
      <c r="B147" s="1">
        <v>3020</v>
      </c>
      <c r="C147" s="1" t="s">
        <v>620</v>
      </c>
      <c r="D147" s="1" t="s">
        <v>1616</v>
      </c>
      <c r="E147" s="1">
        <v>150000</v>
      </c>
    </row>
    <row r="148" spans="1:5" x14ac:dyDescent="0.3">
      <c r="A148" s="1">
        <v>9660002112</v>
      </c>
      <c r="B148" s="1">
        <v>5900</v>
      </c>
      <c r="C148" s="1" t="s">
        <v>1203</v>
      </c>
      <c r="D148" s="1" t="s">
        <v>1904</v>
      </c>
      <c r="E148" s="1">
        <v>160000</v>
      </c>
    </row>
    <row r="149" spans="1:5" x14ac:dyDescent="0.3">
      <c r="A149" s="1">
        <v>9660002112</v>
      </c>
      <c r="B149" s="1">
        <v>1490</v>
      </c>
      <c r="C149" s="1" t="s">
        <v>309</v>
      </c>
      <c r="D149" s="1" t="s">
        <v>1463</v>
      </c>
      <c r="E149" s="1">
        <v>63000</v>
      </c>
    </row>
    <row r="150" spans="1:5" x14ac:dyDescent="0.3">
      <c r="A150" s="1">
        <v>9660002112</v>
      </c>
      <c r="B150" s="1">
        <v>780</v>
      </c>
      <c r="C150" s="1" t="s">
        <v>164</v>
      </c>
      <c r="D150" s="1" t="s">
        <v>1393</v>
      </c>
      <c r="E150" s="1">
        <v>492000</v>
      </c>
    </row>
    <row r="151" spans="1:5" x14ac:dyDescent="0.3">
      <c r="A151" s="1">
        <v>9660002112</v>
      </c>
      <c r="B151" s="1">
        <v>840</v>
      </c>
      <c r="C151" s="1" t="s">
        <v>176</v>
      </c>
      <c r="D151" s="1" t="s">
        <v>1399</v>
      </c>
      <c r="E151" s="1">
        <v>186000</v>
      </c>
    </row>
    <row r="152" spans="1:5" x14ac:dyDescent="0.3">
      <c r="A152" s="2">
        <v>9660002112</v>
      </c>
      <c r="B152" s="2">
        <v>1720</v>
      </c>
      <c r="C152" s="2" t="s">
        <v>355</v>
      </c>
      <c r="D152" s="2" t="s">
        <v>1486</v>
      </c>
      <c r="E152" s="2">
        <v>258000</v>
      </c>
    </row>
    <row r="153" spans="1:5" x14ac:dyDescent="0.3">
      <c r="A153" s="2">
        <v>9660002112</v>
      </c>
      <c r="B153" s="2">
        <v>5560</v>
      </c>
      <c r="C153" s="2" t="s">
        <v>1131</v>
      </c>
      <c r="D153" s="2" t="s">
        <v>1870</v>
      </c>
      <c r="E153" s="2">
        <v>20000</v>
      </c>
    </row>
    <row r="154" spans="1:5" x14ac:dyDescent="0.3">
      <c r="A154" s="2">
        <v>9660002112</v>
      </c>
      <c r="B154" s="2">
        <v>2940</v>
      </c>
      <c r="C154" s="2" t="s">
        <v>604</v>
      </c>
      <c r="D154" s="2" t="s">
        <v>1608</v>
      </c>
      <c r="E154" s="2">
        <v>60000</v>
      </c>
    </row>
    <row r="155" spans="1:5" x14ac:dyDescent="0.3">
      <c r="A155" s="2">
        <v>9660002112</v>
      </c>
      <c r="B155" s="2">
        <v>1790</v>
      </c>
      <c r="C155" s="2" t="s">
        <v>372</v>
      </c>
      <c r="D155" s="2" t="s">
        <v>1493</v>
      </c>
      <c r="E155" s="2">
        <v>3000</v>
      </c>
    </row>
    <row r="156" spans="1:5" x14ac:dyDescent="0.3">
      <c r="A156" s="2">
        <v>9660002112</v>
      </c>
      <c r="B156" s="2">
        <v>6010</v>
      </c>
      <c r="C156" s="2" t="s">
        <v>1227</v>
      </c>
      <c r="D156" s="2" t="s">
        <v>1914</v>
      </c>
      <c r="E156" s="2">
        <v>110000</v>
      </c>
    </row>
    <row r="157" spans="1:5" x14ac:dyDescent="0.3">
      <c r="A157" s="2">
        <v>9660002112</v>
      </c>
      <c r="B157" s="2">
        <v>890</v>
      </c>
      <c r="C157" s="2" t="s">
        <v>186</v>
      </c>
      <c r="D157" s="2" t="s">
        <v>1404</v>
      </c>
      <c r="E157" s="2">
        <v>5000</v>
      </c>
    </row>
    <row r="158" spans="1:5" x14ac:dyDescent="0.3">
      <c r="A158" s="2">
        <v>9660002112</v>
      </c>
      <c r="B158" s="2">
        <v>2150</v>
      </c>
      <c r="C158" s="2" t="s">
        <v>446</v>
      </c>
      <c r="D158" s="2" t="s">
        <v>1529</v>
      </c>
      <c r="E158" s="2">
        <v>40000</v>
      </c>
    </row>
    <row r="159" spans="1:5" x14ac:dyDescent="0.3">
      <c r="A159" s="2">
        <v>9660002112</v>
      </c>
      <c r="B159" s="2">
        <v>4230</v>
      </c>
      <c r="C159" s="2" t="s">
        <v>862</v>
      </c>
      <c r="D159" s="2" t="s">
        <v>1737</v>
      </c>
      <c r="E159" s="2">
        <v>50000</v>
      </c>
    </row>
    <row r="160" spans="1:5" x14ac:dyDescent="0.3">
      <c r="A160" s="2">
        <v>9660002112</v>
      </c>
      <c r="B160" s="2">
        <v>5670</v>
      </c>
      <c r="C160" s="2" t="s">
        <v>1154</v>
      </c>
      <c r="D160" s="2" t="s">
        <v>1881</v>
      </c>
      <c r="E160" s="2">
        <v>89000</v>
      </c>
    </row>
    <row r="161" spans="1:5" x14ac:dyDescent="0.3">
      <c r="A161" s="2">
        <v>9660002112</v>
      </c>
      <c r="B161" s="2">
        <v>3570</v>
      </c>
      <c r="C161" s="2" t="s">
        <v>730</v>
      </c>
      <c r="D161" s="2" t="s">
        <v>1671</v>
      </c>
      <c r="E161" s="2">
        <v>20000</v>
      </c>
    </row>
    <row r="162" spans="1:5" x14ac:dyDescent="0.3">
      <c r="A162" s="2">
        <v>9660002112</v>
      </c>
      <c r="B162" s="2">
        <v>6370</v>
      </c>
      <c r="C162" s="2" t="s">
        <v>1302</v>
      </c>
      <c r="D162" s="2" t="s">
        <v>1950</v>
      </c>
      <c r="E162" s="2">
        <v>41400</v>
      </c>
    </row>
    <row r="163" spans="1:5" x14ac:dyDescent="0.3">
      <c r="A163" s="2">
        <v>9660002112</v>
      </c>
      <c r="B163" s="2">
        <v>1450</v>
      </c>
      <c r="C163" s="2" t="s">
        <v>300</v>
      </c>
      <c r="D163" s="2" t="s">
        <v>1459</v>
      </c>
      <c r="E163" s="2">
        <v>222000</v>
      </c>
    </row>
    <row r="164" spans="1:5" x14ac:dyDescent="0.3">
      <c r="A164" s="2">
        <v>9660002112</v>
      </c>
      <c r="B164" s="2">
        <v>1510</v>
      </c>
      <c r="C164" s="2" t="s">
        <v>313</v>
      </c>
      <c r="D164" s="2" t="s">
        <v>1465</v>
      </c>
      <c r="E164" s="2">
        <v>144000</v>
      </c>
    </row>
    <row r="165" spans="1:5" x14ac:dyDescent="0.3">
      <c r="A165" s="2">
        <v>9660002112</v>
      </c>
      <c r="B165" s="2">
        <v>2910</v>
      </c>
      <c r="C165" s="2" t="s">
        <v>598</v>
      </c>
      <c r="D165" s="2" t="s">
        <v>1605</v>
      </c>
      <c r="E165" s="2">
        <v>100000</v>
      </c>
    </row>
    <row r="166" spans="1:5" x14ac:dyDescent="0.3">
      <c r="A166" s="2">
        <v>9660002112</v>
      </c>
      <c r="B166" s="2">
        <v>3000</v>
      </c>
      <c r="C166" s="2" t="s">
        <v>616</v>
      </c>
      <c r="D166" s="2" t="s">
        <v>1614</v>
      </c>
      <c r="E166" s="2">
        <v>130000</v>
      </c>
    </row>
    <row r="167" spans="1:5" x14ac:dyDescent="0.3">
      <c r="A167" s="2">
        <v>9660002112</v>
      </c>
      <c r="B167" s="2">
        <v>3180</v>
      </c>
      <c r="C167" s="2" t="s">
        <v>652</v>
      </c>
      <c r="D167" s="2" t="s">
        <v>1632</v>
      </c>
      <c r="E167" s="2">
        <v>170000</v>
      </c>
    </row>
    <row r="168" spans="1:5" x14ac:dyDescent="0.3">
      <c r="A168" s="2">
        <v>9660002112</v>
      </c>
      <c r="B168" s="2">
        <v>6000</v>
      </c>
      <c r="C168" s="2" t="s">
        <v>1225</v>
      </c>
      <c r="D168" s="2" t="s">
        <v>1913</v>
      </c>
      <c r="E168" s="2">
        <v>4000</v>
      </c>
    </row>
    <row r="169" spans="1:5" x14ac:dyDescent="0.3">
      <c r="A169" s="2">
        <v>9660002112</v>
      </c>
      <c r="B169" s="2">
        <v>810</v>
      </c>
      <c r="C169" s="2" t="s">
        <v>170</v>
      </c>
      <c r="D169" s="2" t="s">
        <v>1396</v>
      </c>
      <c r="E169" s="2">
        <v>18000</v>
      </c>
    </row>
    <row r="170" spans="1:5" x14ac:dyDescent="0.3">
      <c r="A170" s="2">
        <v>9660002112</v>
      </c>
      <c r="B170" s="2">
        <v>910</v>
      </c>
      <c r="C170" s="2" t="s">
        <v>190</v>
      </c>
      <c r="D170" s="2" t="s">
        <v>1406</v>
      </c>
      <c r="E170" s="2">
        <v>10000</v>
      </c>
    </row>
    <row r="171" spans="1:5" x14ac:dyDescent="0.3">
      <c r="A171" s="2">
        <v>9660002112</v>
      </c>
      <c r="B171" s="2">
        <v>3210</v>
      </c>
      <c r="C171" s="2" t="s">
        <v>658</v>
      </c>
      <c r="D171" s="2" t="s">
        <v>1635</v>
      </c>
      <c r="E171" s="2">
        <v>90000</v>
      </c>
    </row>
    <row r="172" spans="1:5" x14ac:dyDescent="0.3">
      <c r="A172" s="2">
        <v>9660002112</v>
      </c>
      <c r="B172" s="2">
        <v>3760</v>
      </c>
      <c r="C172" s="2" t="s">
        <v>768</v>
      </c>
      <c r="D172" s="2" t="s">
        <v>1690</v>
      </c>
      <c r="E172" s="2">
        <v>20000</v>
      </c>
    </row>
    <row r="173" spans="1:5" x14ac:dyDescent="0.3">
      <c r="A173" s="2">
        <v>9660002112</v>
      </c>
      <c r="B173" s="2">
        <v>3970</v>
      </c>
      <c r="C173" s="2" t="s">
        <v>810</v>
      </c>
      <c r="D173" s="2" t="s">
        <v>1711</v>
      </c>
      <c r="E173" s="2">
        <v>30000</v>
      </c>
    </row>
    <row r="174" spans="1:5" x14ac:dyDescent="0.3">
      <c r="A174" s="2">
        <v>9660002112</v>
      </c>
      <c r="B174" s="2">
        <v>3990</v>
      </c>
      <c r="C174" s="2" t="s">
        <v>814</v>
      </c>
      <c r="D174" s="2" t="s">
        <v>1713</v>
      </c>
      <c r="E174" s="2">
        <v>10000</v>
      </c>
    </row>
    <row r="175" spans="1:5" x14ac:dyDescent="0.3">
      <c r="A175" s="2">
        <v>9660002112</v>
      </c>
      <c r="B175" s="2">
        <v>4210</v>
      </c>
      <c r="C175" s="2" t="s">
        <v>858</v>
      </c>
      <c r="D175" s="2" t="s">
        <v>1735</v>
      </c>
      <c r="E175" s="2">
        <v>80000</v>
      </c>
    </row>
    <row r="176" spans="1:5" x14ac:dyDescent="0.3">
      <c r="A176" s="2">
        <v>9660002112</v>
      </c>
      <c r="B176" s="2">
        <v>4750</v>
      </c>
      <c r="C176" s="2" t="s">
        <v>967</v>
      </c>
      <c r="D176" s="2" t="s">
        <v>1789</v>
      </c>
      <c r="E176" s="2">
        <v>6885000</v>
      </c>
    </row>
    <row r="177" spans="1:5" x14ac:dyDescent="0.3">
      <c r="A177" s="2">
        <v>9660002112</v>
      </c>
      <c r="B177" s="2">
        <v>5570</v>
      </c>
      <c r="C177" s="2" t="s">
        <v>1133</v>
      </c>
      <c r="D177" s="2" t="s">
        <v>1871</v>
      </c>
      <c r="E177" s="2">
        <v>50000</v>
      </c>
    </row>
    <row r="178" spans="1:5" x14ac:dyDescent="0.3">
      <c r="A178" s="2">
        <v>9660002112</v>
      </c>
      <c r="B178" s="2">
        <v>5920</v>
      </c>
      <c r="C178" s="2" t="s">
        <v>1208</v>
      </c>
      <c r="D178" s="2" t="s">
        <v>1906</v>
      </c>
      <c r="E178" s="2">
        <v>10000</v>
      </c>
    </row>
    <row r="179" spans="1:5" x14ac:dyDescent="0.3">
      <c r="A179" s="2">
        <v>9660002112</v>
      </c>
      <c r="B179" s="2">
        <v>6220</v>
      </c>
      <c r="C179" s="2" t="s">
        <v>1270</v>
      </c>
      <c r="D179" s="2" t="s">
        <v>1935</v>
      </c>
      <c r="E179" s="2">
        <v>1500</v>
      </c>
    </row>
    <row r="180" spans="1:5" x14ac:dyDescent="0.3">
      <c r="A180" s="2">
        <v>9660002112</v>
      </c>
      <c r="B180" s="2">
        <v>830</v>
      </c>
      <c r="C180" s="2" t="s">
        <v>174</v>
      </c>
      <c r="D180" s="2" t="s">
        <v>1398</v>
      </c>
      <c r="E180" s="2">
        <v>3000</v>
      </c>
    </row>
    <row r="181" spans="1:5" x14ac:dyDescent="0.3">
      <c r="A181" s="2">
        <v>9660002112</v>
      </c>
      <c r="B181" s="2">
        <v>850</v>
      </c>
      <c r="C181" s="2" t="s">
        <v>178</v>
      </c>
      <c r="D181" s="2" t="s">
        <v>1400</v>
      </c>
      <c r="E181" s="2">
        <v>18000</v>
      </c>
    </row>
    <row r="182" spans="1:5" x14ac:dyDescent="0.3">
      <c r="A182" s="2">
        <v>9660002112</v>
      </c>
      <c r="B182" s="2">
        <v>2040</v>
      </c>
      <c r="C182" s="2" t="s">
        <v>424</v>
      </c>
      <c r="D182" s="2" t="s">
        <v>1518</v>
      </c>
      <c r="E182" s="2">
        <v>40000</v>
      </c>
    </row>
    <row r="183" spans="1:5" x14ac:dyDescent="0.3">
      <c r="A183" s="2">
        <v>9660002112</v>
      </c>
      <c r="B183" s="2">
        <v>2300</v>
      </c>
      <c r="C183" s="2" t="s">
        <v>476</v>
      </c>
      <c r="D183" s="2" t="s">
        <v>1544</v>
      </c>
      <c r="E183" s="2">
        <v>50000</v>
      </c>
    </row>
    <row r="184" spans="1:5" x14ac:dyDescent="0.3">
      <c r="A184" s="2">
        <v>9660002112</v>
      </c>
      <c r="B184" s="2">
        <v>3120</v>
      </c>
      <c r="C184" s="2" t="s">
        <v>640</v>
      </c>
      <c r="D184" s="2" t="s">
        <v>1626</v>
      </c>
      <c r="E184" s="2">
        <v>10000</v>
      </c>
    </row>
    <row r="185" spans="1:5" x14ac:dyDescent="0.3">
      <c r="A185" s="2">
        <v>9660002112</v>
      </c>
      <c r="B185" s="2">
        <v>3250</v>
      </c>
      <c r="C185" s="2" t="s">
        <v>666</v>
      </c>
      <c r="D185" s="2" t="s">
        <v>1639</v>
      </c>
      <c r="E185" s="2">
        <v>90000</v>
      </c>
    </row>
    <row r="186" spans="1:5" x14ac:dyDescent="0.3">
      <c r="A186" s="2">
        <v>9660002112</v>
      </c>
      <c r="B186" s="2">
        <v>3550</v>
      </c>
      <c r="C186" s="2" t="s">
        <v>726</v>
      </c>
      <c r="D186" s="2" t="s">
        <v>1669</v>
      </c>
      <c r="E186" s="2">
        <v>10000</v>
      </c>
    </row>
    <row r="187" spans="1:5" x14ac:dyDescent="0.3">
      <c r="A187" s="2">
        <v>9660002112</v>
      </c>
      <c r="B187" s="2">
        <v>3580</v>
      </c>
      <c r="C187" s="2" t="s">
        <v>732</v>
      </c>
      <c r="D187" s="2" t="s">
        <v>1672</v>
      </c>
      <c r="E187" s="2">
        <v>20000</v>
      </c>
    </row>
    <row r="188" spans="1:5" x14ac:dyDescent="0.3">
      <c r="A188" s="2">
        <v>9660002112</v>
      </c>
      <c r="B188" s="2">
        <v>4070</v>
      </c>
      <c r="C188" s="2" t="s">
        <v>830</v>
      </c>
      <c r="D188" s="2" t="s">
        <v>1721</v>
      </c>
      <c r="E188" s="2">
        <v>20000</v>
      </c>
    </row>
    <row r="189" spans="1:5" x14ac:dyDescent="0.3">
      <c r="A189" s="2">
        <v>9660002112</v>
      </c>
      <c r="B189" s="2">
        <v>4270</v>
      </c>
      <c r="C189" s="2" t="s">
        <v>870</v>
      </c>
      <c r="D189" s="2" t="s">
        <v>1741</v>
      </c>
      <c r="E189" s="2">
        <v>10000</v>
      </c>
    </row>
    <row r="190" spans="1:5" x14ac:dyDescent="0.3">
      <c r="A190" s="2">
        <v>9660002112</v>
      </c>
      <c r="B190" s="2">
        <v>4800</v>
      </c>
      <c r="C190" s="2" t="s">
        <v>977</v>
      </c>
      <c r="D190" s="2" t="s">
        <v>1794</v>
      </c>
      <c r="E190" s="2">
        <v>50000</v>
      </c>
    </row>
    <row r="191" spans="1:5" x14ac:dyDescent="0.3">
      <c r="A191" s="2">
        <v>9660002112</v>
      </c>
      <c r="B191" s="2">
        <v>5690</v>
      </c>
      <c r="C191" s="2" t="s">
        <v>1158</v>
      </c>
      <c r="D191" s="2" t="s">
        <v>1883</v>
      </c>
      <c r="E191" s="2">
        <v>16000</v>
      </c>
    </row>
    <row r="192" spans="1:5" x14ac:dyDescent="0.3">
      <c r="A192" s="2">
        <v>9660002112</v>
      </c>
      <c r="B192" s="2">
        <v>5700</v>
      </c>
      <c r="C192" s="2" t="s">
        <v>1160</v>
      </c>
      <c r="D192" s="2" t="s">
        <v>1884</v>
      </c>
      <c r="E192" s="2">
        <v>4000</v>
      </c>
    </row>
    <row r="193" spans="1:5" x14ac:dyDescent="0.3">
      <c r="A193" s="2">
        <v>9660002112</v>
      </c>
      <c r="B193" s="2">
        <v>4100</v>
      </c>
      <c r="C193" s="2" t="s">
        <v>836</v>
      </c>
      <c r="D193" s="2" t="s">
        <v>1724</v>
      </c>
      <c r="E193" s="2">
        <v>20000</v>
      </c>
    </row>
    <row r="194" spans="1:5" x14ac:dyDescent="0.3">
      <c r="A194" s="2">
        <v>9660002112</v>
      </c>
      <c r="B194" s="2">
        <v>5630</v>
      </c>
      <c r="C194" s="2" t="s">
        <v>1146</v>
      </c>
      <c r="D194" s="2" t="s">
        <v>1877</v>
      </c>
      <c r="E194" s="2">
        <v>63000</v>
      </c>
    </row>
    <row r="195" spans="1:5" x14ac:dyDescent="0.3">
      <c r="A195" s="2">
        <v>9660002112</v>
      </c>
      <c r="B195" s="2">
        <v>5420</v>
      </c>
      <c r="C195" s="2" t="s">
        <v>1102</v>
      </c>
      <c r="D195" s="2" t="s">
        <v>1856</v>
      </c>
      <c r="E195" s="2">
        <v>159000</v>
      </c>
    </row>
    <row r="196" spans="1:5" x14ac:dyDescent="0.3">
      <c r="A196" s="2">
        <v>9660002112</v>
      </c>
      <c r="B196" s="2">
        <v>1560</v>
      </c>
      <c r="C196" s="2" t="s">
        <v>323</v>
      </c>
      <c r="D196" s="2" t="s">
        <v>1470</v>
      </c>
      <c r="E196" s="2">
        <v>63000</v>
      </c>
    </row>
    <row r="197" spans="1:5" x14ac:dyDescent="0.3">
      <c r="A197" s="2">
        <v>9660002112</v>
      </c>
      <c r="B197" s="2">
        <v>2620</v>
      </c>
      <c r="C197" s="2" t="s">
        <v>540</v>
      </c>
      <c r="D197" s="2" t="s">
        <v>1576</v>
      </c>
      <c r="E197" s="2">
        <v>45000</v>
      </c>
    </row>
    <row r="198" spans="1:5" x14ac:dyDescent="0.3">
      <c r="A198" s="2">
        <v>9660002112</v>
      </c>
      <c r="B198" s="2">
        <v>5640</v>
      </c>
      <c r="C198" s="2" t="s">
        <v>1148</v>
      </c>
      <c r="D198" s="2" t="s">
        <v>1878</v>
      </c>
      <c r="E198" s="2">
        <v>4000</v>
      </c>
    </row>
    <row r="199" spans="1:5" x14ac:dyDescent="0.3">
      <c r="A199" s="2">
        <v>9660002112</v>
      </c>
      <c r="B199" s="2">
        <v>820</v>
      </c>
      <c r="C199" s="2" t="s">
        <v>172</v>
      </c>
      <c r="D199" s="2" t="s">
        <v>1397</v>
      </c>
      <c r="E199" s="2">
        <v>5000</v>
      </c>
    </row>
    <row r="200" spans="1:5" x14ac:dyDescent="0.3">
      <c r="A200" s="2">
        <v>9660002112</v>
      </c>
      <c r="B200" s="2">
        <v>1850</v>
      </c>
      <c r="C200" s="2" t="s">
        <v>385</v>
      </c>
      <c r="D200" s="2" t="s">
        <v>1499</v>
      </c>
      <c r="E200" s="2">
        <v>235000</v>
      </c>
    </row>
    <row r="201" spans="1:5" x14ac:dyDescent="0.3">
      <c r="A201" s="2">
        <v>9660002112</v>
      </c>
      <c r="B201" s="2">
        <v>1930</v>
      </c>
      <c r="C201" s="2" t="s">
        <v>402</v>
      </c>
      <c r="D201" s="2" t="s">
        <v>1507</v>
      </c>
      <c r="E201" s="2">
        <v>20000</v>
      </c>
    </row>
    <row r="202" spans="1:5" x14ac:dyDescent="0.3">
      <c r="A202" s="2">
        <v>9660002112</v>
      </c>
      <c r="B202" s="2">
        <v>2000</v>
      </c>
      <c r="C202" s="2" t="s">
        <v>416</v>
      </c>
      <c r="D202" s="2" t="s">
        <v>1514</v>
      </c>
      <c r="E202" s="2">
        <v>130000</v>
      </c>
    </row>
    <row r="203" spans="1:5" x14ac:dyDescent="0.3">
      <c r="A203" s="2">
        <v>9660002112</v>
      </c>
      <c r="B203" s="2">
        <v>2130</v>
      </c>
      <c r="C203" s="2" t="s">
        <v>442</v>
      </c>
      <c r="D203" s="2" t="s">
        <v>1527</v>
      </c>
      <c r="E203" s="2">
        <v>70000</v>
      </c>
    </row>
    <row r="204" spans="1:5" x14ac:dyDescent="0.3">
      <c r="A204" s="2">
        <v>9660002112</v>
      </c>
      <c r="B204" s="2">
        <v>2420</v>
      </c>
      <c r="C204" s="2" t="s">
        <v>500</v>
      </c>
      <c r="D204" s="2" t="s">
        <v>1556</v>
      </c>
      <c r="E204" s="2">
        <v>10000</v>
      </c>
    </row>
    <row r="205" spans="1:5" x14ac:dyDescent="0.3">
      <c r="A205" s="2">
        <v>9660002112</v>
      </c>
      <c r="B205" s="2">
        <v>2840</v>
      </c>
      <c r="C205" s="2" t="s">
        <v>584</v>
      </c>
      <c r="D205" s="2" t="s">
        <v>1598</v>
      </c>
      <c r="E205" s="2">
        <v>40000</v>
      </c>
    </row>
    <row r="206" spans="1:5" x14ac:dyDescent="0.3">
      <c r="A206" s="2">
        <v>9660002112</v>
      </c>
      <c r="B206" s="2">
        <v>2970</v>
      </c>
      <c r="C206" s="2" t="s">
        <v>610</v>
      </c>
      <c r="D206" s="2" t="s">
        <v>1611</v>
      </c>
      <c r="E206" s="2">
        <v>20000</v>
      </c>
    </row>
    <row r="207" spans="1:5" x14ac:dyDescent="0.3">
      <c r="A207" s="2">
        <v>9660002112</v>
      </c>
      <c r="B207" s="2">
        <v>3130</v>
      </c>
      <c r="C207" s="2" t="s">
        <v>642</v>
      </c>
      <c r="D207" s="2" t="s">
        <v>1627</v>
      </c>
      <c r="E207" s="2">
        <v>20000</v>
      </c>
    </row>
    <row r="208" spans="1:5" x14ac:dyDescent="0.3">
      <c r="A208" s="2">
        <v>9660002112</v>
      </c>
      <c r="B208" s="2">
        <v>3310</v>
      </c>
      <c r="C208" s="2" t="s">
        <v>678</v>
      </c>
      <c r="D208" s="2" t="s">
        <v>1645</v>
      </c>
      <c r="E208" s="2">
        <v>70000</v>
      </c>
    </row>
    <row r="209" spans="1:5" x14ac:dyDescent="0.3">
      <c r="A209" s="2">
        <v>9660002112</v>
      </c>
      <c r="B209" s="2">
        <v>3720</v>
      </c>
      <c r="C209" s="2" t="s">
        <v>760</v>
      </c>
      <c r="D209" s="2" t="s">
        <v>1686</v>
      </c>
      <c r="E209" s="2">
        <v>40000</v>
      </c>
    </row>
    <row r="210" spans="1:5" x14ac:dyDescent="0.3">
      <c r="A210" s="2">
        <v>9660002112</v>
      </c>
      <c r="B210" s="2">
        <v>3780</v>
      </c>
      <c r="C210" s="2" t="s">
        <v>772</v>
      </c>
      <c r="D210" s="2" t="s">
        <v>1692</v>
      </c>
      <c r="E210" s="2">
        <v>60000</v>
      </c>
    </row>
    <row r="211" spans="1:5" x14ac:dyDescent="0.3">
      <c r="A211" s="2">
        <v>9660002112</v>
      </c>
      <c r="B211" s="2">
        <v>4850</v>
      </c>
      <c r="C211" s="2" t="s">
        <v>987</v>
      </c>
      <c r="D211" s="2" t="s">
        <v>1799</v>
      </c>
      <c r="E211" s="2">
        <v>810000</v>
      </c>
    </row>
    <row r="212" spans="1:5" x14ac:dyDescent="0.3">
      <c r="A212" s="2">
        <v>9660002112</v>
      </c>
      <c r="B212" s="2">
        <v>4890</v>
      </c>
      <c r="C212" s="2" t="s">
        <v>995</v>
      </c>
      <c r="D212" s="2" t="s">
        <v>1803</v>
      </c>
      <c r="E212" s="2">
        <v>180000</v>
      </c>
    </row>
    <row r="213" spans="1:5" x14ac:dyDescent="0.3">
      <c r="A213" s="2">
        <v>9660002112</v>
      </c>
      <c r="B213" s="2">
        <v>5030</v>
      </c>
      <c r="C213" s="2" t="s">
        <v>1023</v>
      </c>
      <c r="D213" s="2" t="s">
        <v>1817</v>
      </c>
      <c r="E213" s="2">
        <v>68000</v>
      </c>
    </row>
    <row r="214" spans="1:5" x14ac:dyDescent="0.3">
      <c r="A214" s="2">
        <v>9660002112</v>
      </c>
      <c r="B214" s="2">
        <v>5040</v>
      </c>
      <c r="C214" s="2" t="s">
        <v>1025</v>
      </c>
      <c r="D214" s="2" t="s">
        <v>1818</v>
      </c>
      <c r="E214" s="2">
        <v>128000</v>
      </c>
    </row>
    <row r="215" spans="1:5" x14ac:dyDescent="0.3">
      <c r="A215" s="2">
        <v>9660002112</v>
      </c>
      <c r="B215" s="2">
        <v>5150</v>
      </c>
      <c r="C215" s="2" t="s">
        <v>1047</v>
      </c>
      <c r="D215" s="2" t="s">
        <v>1829</v>
      </c>
      <c r="E215" s="2">
        <v>30000</v>
      </c>
    </row>
    <row r="216" spans="1:5" x14ac:dyDescent="0.3">
      <c r="A216" s="2">
        <v>9660002112</v>
      </c>
      <c r="B216" s="2">
        <v>5250</v>
      </c>
      <c r="C216" s="2" t="s">
        <v>1067</v>
      </c>
      <c r="D216" s="2" t="s">
        <v>1839</v>
      </c>
      <c r="E216" s="2">
        <v>20000</v>
      </c>
    </row>
    <row r="217" spans="1:5" x14ac:dyDescent="0.3">
      <c r="A217" s="2">
        <v>9660002112</v>
      </c>
      <c r="B217" s="2">
        <v>6400</v>
      </c>
      <c r="C217" s="2" t="s">
        <v>1308</v>
      </c>
      <c r="D217" s="2" t="s">
        <v>1953</v>
      </c>
      <c r="E217" s="2">
        <v>35100</v>
      </c>
    </row>
    <row r="218" spans="1:5" x14ac:dyDescent="0.3">
      <c r="A218" s="2">
        <v>9660002112</v>
      </c>
      <c r="B218" s="2">
        <v>5340</v>
      </c>
      <c r="C218" s="2" t="s">
        <v>1085</v>
      </c>
      <c r="D218" s="2" t="s">
        <v>1848</v>
      </c>
      <c r="E218" s="2">
        <v>10000</v>
      </c>
    </row>
    <row r="219" spans="1:5" x14ac:dyDescent="0.3">
      <c r="A219" s="2">
        <v>9660002112</v>
      </c>
      <c r="B219" s="2">
        <v>1530</v>
      </c>
      <c r="C219" s="2" t="s">
        <v>317</v>
      </c>
      <c r="D219" s="2" t="s">
        <v>1467</v>
      </c>
      <c r="E219" s="2">
        <v>6000</v>
      </c>
    </row>
    <row r="220" spans="1:5" x14ac:dyDescent="0.3">
      <c r="A220" s="2">
        <v>9660002112</v>
      </c>
      <c r="B220" s="2">
        <v>900</v>
      </c>
      <c r="C220" s="2" t="s">
        <v>188</v>
      </c>
      <c r="D220" s="2" t="s">
        <v>1405</v>
      </c>
      <c r="E220" s="2">
        <v>60000</v>
      </c>
    </row>
    <row r="221" spans="1:5" x14ac:dyDescent="0.3">
      <c r="A221" s="2">
        <v>9660002112</v>
      </c>
      <c r="B221" s="2">
        <v>470</v>
      </c>
      <c r="C221" s="2" t="s">
        <v>98</v>
      </c>
      <c r="D221" s="2" t="s">
        <v>1362</v>
      </c>
      <c r="E221" s="2">
        <v>2400</v>
      </c>
    </row>
    <row r="222" spans="1:5" x14ac:dyDescent="0.3">
      <c r="A222" s="2">
        <v>9660002112</v>
      </c>
      <c r="B222" s="2">
        <v>640</v>
      </c>
      <c r="C222" s="2" t="s">
        <v>134</v>
      </c>
      <c r="D222" s="2" t="s">
        <v>1379</v>
      </c>
      <c r="E222" s="2">
        <v>43500</v>
      </c>
    </row>
    <row r="223" spans="1:5" x14ac:dyDescent="0.3">
      <c r="A223" s="2">
        <v>9660002112</v>
      </c>
      <c r="B223" s="2">
        <v>790</v>
      </c>
      <c r="C223" s="2" t="s">
        <v>166</v>
      </c>
      <c r="D223" s="2" t="s">
        <v>1394</v>
      </c>
      <c r="E223" s="2">
        <v>20000</v>
      </c>
    </row>
    <row r="224" spans="1:5" x14ac:dyDescent="0.3">
      <c r="A224" s="2">
        <v>9660002112</v>
      </c>
      <c r="B224" s="2">
        <v>1020</v>
      </c>
      <c r="C224" s="2" t="s">
        <v>213</v>
      </c>
      <c r="D224" s="2" t="s">
        <v>1417</v>
      </c>
      <c r="E224" s="2">
        <v>15000</v>
      </c>
    </row>
    <row r="225" spans="1:5" x14ac:dyDescent="0.3">
      <c r="A225" s="2">
        <v>9660002112</v>
      </c>
      <c r="B225" s="2">
        <v>1870</v>
      </c>
      <c r="C225" s="2" t="s">
        <v>389</v>
      </c>
      <c r="D225" s="2" t="s">
        <v>1501</v>
      </c>
      <c r="E225" s="2">
        <v>66000</v>
      </c>
    </row>
    <row r="226" spans="1:5" x14ac:dyDescent="0.3">
      <c r="A226" s="2">
        <v>9660002112</v>
      </c>
      <c r="B226" s="2">
        <v>2100</v>
      </c>
      <c r="C226" s="2" t="s">
        <v>436</v>
      </c>
      <c r="D226" s="2" t="s">
        <v>1524</v>
      </c>
      <c r="E226" s="2">
        <v>40000</v>
      </c>
    </row>
    <row r="227" spans="1:5" x14ac:dyDescent="0.3">
      <c r="A227" s="2">
        <v>9660002112</v>
      </c>
      <c r="B227" s="2">
        <v>3670</v>
      </c>
      <c r="C227" s="2" t="s">
        <v>750</v>
      </c>
      <c r="D227" s="2" t="s">
        <v>1681</v>
      </c>
      <c r="E227" s="2">
        <v>20000</v>
      </c>
    </row>
    <row r="228" spans="1:5" x14ac:dyDescent="0.3">
      <c r="A228" s="2">
        <v>9660002112</v>
      </c>
      <c r="B228" s="2">
        <v>4180</v>
      </c>
      <c r="C228" s="2" t="s">
        <v>852</v>
      </c>
      <c r="D228" s="2" t="s">
        <v>1732</v>
      </c>
      <c r="E228" s="2">
        <v>20000</v>
      </c>
    </row>
    <row r="229" spans="1:5" x14ac:dyDescent="0.3">
      <c r="A229" s="2">
        <v>9660002112</v>
      </c>
      <c r="B229" s="2">
        <v>4700</v>
      </c>
      <c r="C229" s="2" t="s">
        <v>957</v>
      </c>
      <c r="D229" s="2" t="s">
        <v>1784</v>
      </c>
      <c r="E229" s="2">
        <v>5940000</v>
      </c>
    </row>
    <row r="230" spans="1:5" x14ac:dyDescent="0.3">
      <c r="A230" s="2">
        <v>9660002112</v>
      </c>
      <c r="B230" s="2">
        <v>5110</v>
      </c>
      <c r="C230" s="2" t="s">
        <v>1039</v>
      </c>
      <c r="D230" s="2" t="s">
        <v>1825</v>
      </c>
      <c r="E230" s="2">
        <v>80000</v>
      </c>
    </row>
    <row r="231" spans="1:5" x14ac:dyDescent="0.3">
      <c r="A231" s="2">
        <v>9660002112</v>
      </c>
      <c r="B231" s="2">
        <v>5860</v>
      </c>
      <c r="C231" s="2" t="s">
        <v>1194</v>
      </c>
      <c r="D231" s="2" t="s">
        <v>1900</v>
      </c>
      <c r="E231" s="2">
        <v>18000</v>
      </c>
    </row>
    <row r="232" spans="1:5" x14ac:dyDescent="0.3">
      <c r="A232" s="2">
        <v>9660002112</v>
      </c>
      <c r="B232" s="2">
        <v>3710</v>
      </c>
      <c r="C232" s="2" t="s">
        <v>758</v>
      </c>
      <c r="D232" s="2" t="s">
        <v>1685</v>
      </c>
      <c r="E232" s="2">
        <v>10000</v>
      </c>
    </row>
    <row r="233" spans="1:5" x14ac:dyDescent="0.3">
      <c r="A233" s="2">
        <v>9660002112</v>
      </c>
      <c r="B233" s="2">
        <v>1550</v>
      </c>
      <c r="C233" s="2" t="s">
        <v>321</v>
      </c>
      <c r="D233" s="2" t="s">
        <v>1469</v>
      </c>
      <c r="E233" s="2">
        <v>12000</v>
      </c>
    </row>
    <row r="234" spans="1:5" x14ac:dyDescent="0.3">
      <c r="A234" s="2">
        <v>9660002112</v>
      </c>
      <c r="B234" s="2">
        <v>1590</v>
      </c>
      <c r="C234" s="2" t="s">
        <v>329</v>
      </c>
      <c r="D234" s="2" t="s">
        <v>1473</v>
      </c>
      <c r="E234" s="2">
        <v>20000</v>
      </c>
    </row>
    <row r="235" spans="1:5" x14ac:dyDescent="0.3">
      <c r="A235" s="2">
        <v>9660002112</v>
      </c>
      <c r="B235" s="2">
        <v>1480</v>
      </c>
      <c r="C235" s="2" t="s">
        <v>306</v>
      </c>
      <c r="D235" s="2" t="s">
        <v>1462</v>
      </c>
      <c r="E235" s="2">
        <v>230000</v>
      </c>
    </row>
    <row r="236" spans="1:5" x14ac:dyDescent="0.3">
      <c r="A236" s="2">
        <v>9660002112</v>
      </c>
      <c r="B236" s="2">
        <v>1920</v>
      </c>
      <c r="C236" s="2" t="s">
        <v>400</v>
      </c>
      <c r="D236" s="2" t="s">
        <v>1506</v>
      </c>
      <c r="E236" s="2">
        <v>20000</v>
      </c>
    </row>
    <row r="237" spans="1:5" x14ac:dyDescent="0.3">
      <c r="A237" s="2">
        <v>9660002112</v>
      </c>
      <c r="B237" s="2">
        <v>6080</v>
      </c>
      <c r="C237" s="2" t="s">
        <v>1242</v>
      </c>
      <c r="D237" s="2" t="s">
        <v>1921</v>
      </c>
      <c r="E237" s="2">
        <v>42000</v>
      </c>
    </row>
    <row r="238" spans="1:5" x14ac:dyDescent="0.3">
      <c r="A238" s="2">
        <v>9660002112</v>
      </c>
      <c r="B238" s="2">
        <v>6090</v>
      </c>
      <c r="C238" s="2" t="s">
        <v>1244</v>
      </c>
      <c r="D238" s="2" t="s">
        <v>1922</v>
      </c>
      <c r="E238" s="2">
        <v>6000</v>
      </c>
    </row>
    <row r="239" spans="1:5" x14ac:dyDescent="0.3">
      <c r="A239" s="2">
        <v>9660002112</v>
      </c>
      <c r="B239" s="2">
        <v>1600</v>
      </c>
      <c r="C239" s="2" t="s">
        <v>331</v>
      </c>
      <c r="D239" s="2" t="s">
        <v>1474</v>
      </c>
      <c r="E239" s="2">
        <v>63000</v>
      </c>
    </row>
    <row r="240" spans="1:5" x14ac:dyDescent="0.3">
      <c r="A240" s="2">
        <v>9660002112</v>
      </c>
      <c r="B240" s="2">
        <v>2410</v>
      </c>
      <c r="C240" s="2" t="s">
        <v>498</v>
      </c>
      <c r="D240" s="2" t="s">
        <v>1555</v>
      </c>
      <c r="E240" s="2">
        <v>8000</v>
      </c>
    </row>
    <row r="241" spans="1:5" x14ac:dyDescent="0.3">
      <c r="A241" s="2">
        <v>9660002112</v>
      </c>
      <c r="B241" s="2">
        <v>3450</v>
      </c>
      <c r="C241" s="2" t="s">
        <v>706</v>
      </c>
      <c r="D241" s="2" t="s">
        <v>1659</v>
      </c>
      <c r="E241" s="2">
        <v>60000</v>
      </c>
    </row>
    <row r="242" spans="1:5" x14ac:dyDescent="0.3">
      <c r="A242" s="2">
        <v>9660002112</v>
      </c>
      <c r="B242" s="2">
        <v>4160</v>
      </c>
      <c r="C242" s="2" t="s">
        <v>848</v>
      </c>
      <c r="D242" s="2" t="s">
        <v>1730</v>
      </c>
      <c r="E242" s="2">
        <v>70000</v>
      </c>
    </row>
    <row r="243" spans="1:5" x14ac:dyDescent="0.3">
      <c r="A243" s="2">
        <v>9660002112</v>
      </c>
      <c r="B243" s="2">
        <v>4380</v>
      </c>
      <c r="C243" s="2" t="s">
        <v>892</v>
      </c>
      <c r="D243" s="2" t="s">
        <v>1752</v>
      </c>
      <c r="E243" s="2">
        <v>2900000</v>
      </c>
    </row>
    <row r="244" spans="1:5" x14ac:dyDescent="0.3">
      <c r="A244" s="2">
        <v>9660002112</v>
      </c>
      <c r="B244" s="2">
        <v>4390</v>
      </c>
      <c r="C244" s="2" t="s">
        <v>894</v>
      </c>
      <c r="D244" s="2" t="s">
        <v>1753</v>
      </c>
      <c r="E244" s="2">
        <v>2130000</v>
      </c>
    </row>
    <row r="245" spans="1:5" x14ac:dyDescent="0.3">
      <c r="A245" s="2">
        <v>9660002112</v>
      </c>
      <c r="B245" s="2">
        <v>4520</v>
      </c>
      <c r="C245" s="2" t="s">
        <v>921</v>
      </c>
      <c r="D245" s="2" t="s">
        <v>1766</v>
      </c>
      <c r="E245" s="2">
        <v>68000</v>
      </c>
    </row>
    <row r="246" spans="1:5" x14ac:dyDescent="0.3">
      <c r="A246" s="2">
        <v>9660002112</v>
      </c>
      <c r="B246" s="2">
        <v>5310</v>
      </c>
      <c r="C246" s="2" t="s">
        <v>1079</v>
      </c>
      <c r="D246" s="2" t="s">
        <v>1845</v>
      </c>
      <c r="E246" s="2">
        <v>60000</v>
      </c>
    </row>
    <row r="247" spans="1:5" x14ac:dyDescent="0.3">
      <c r="A247" s="2">
        <v>9660002112</v>
      </c>
      <c r="B247" s="2">
        <v>6060</v>
      </c>
      <c r="C247" s="2" t="s">
        <v>1237</v>
      </c>
      <c r="D247" s="2" t="s">
        <v>1919</v>
      </c>
      <c r="E247" s="2">
        <v>43500</v>
      </c>
    </row>
    <row r="248" spans="1:5" x14ac:dyDescent="0.3">
      <c r="A248" s="2">
        <v>9660002112</v>
      </c>
      <c r="B248" s="2">
        <v>6020</v>
      </c>
      <c r="C248" s="2" t="s">
        <v>1229</v>
      </c>
      <c r="D248" s="2" t="s">
        <v>1915</v>
      </c>
      <c r="E248" s="2">
        <v>10000</v>
      </c>
    </row>
    <row r="249" spans="1:5" x14ac:dyDescent="0.3">
      <c r="A249" s="2">
        <v>9660002112</v>
      </c>
      <c r="B249" s="2">
        <v>6030</v>
      </c>
      <c r="C249" s="2" t="s">
        <v>1231</v>
      </c>
      <c r="D249" s="2" t="s">
        <v>1916</v>
      </c>
      <c r="E249" s="2">
        <v>780000</v>
      </c>
    </row>
    <row r="250" spans="1:5" x14ac:dyDescent="0.3">
      <c r="A250" s="2">
        <v>9660002112</v>
      </c>
      <c r="B250" s="2">
        <v>5940</v>
      </c>
      <c r="C250" s="2" t="s">
        <v>1212</v>
      </c>
      <c r="D250" s="2" t="s">
        <v>1908</v>
      </c>
      <c r="E250" s="2">
        <v>10000</v>
      </c>
    </row>
    <row r="251" spans="1:5" x14ac:dyDescent="0.3">
      <c r="A251" s="2">
        <v>9660002112</v>
      </c>
      <c r="B251" s="2">
        <v>5970</v>
      </c>
      <c r="C251" s="2" t="s">
        <v>1219</v>
      </c>
      <c r="D251" s="2" t="s">
        <v>1911</v>
      </c>
      <c r="E251" s="2">
        <v>40000</v>
      </c>
    </row>
    <row r="252" spans="1:5" x14ac:dyDescent="0.3">
      <c r="A252" s="2">
        <v>9660002112</v>
      </c>
      <c r="B252" s="2">
        <v>4370</v>
      </c>
      <c r="C252" s="2" t="s">
        <v>890</v>
      </c>
      <c r="D252" s="2" t="s">
        <v>1751</v>
      </c>
      <c r="E252" s="2">
        <v>1290000</v>
      </c>
    </row>
    <row r="253" spans="1:5" x14ac:dyDescent="0.3">
      <c r="A253" s="2">
        <v>9660002112</v>
      </c>
      <c r="B253" s="2">
        <v>4290</v>
      </c>
      <c r="C253" s="2" t="s">
        <v>874</v>
      </c>
      <c r="D253" s="2" t="s">
        <v>1743</v>
      </c>
      <c r="E253" s="2">
        <v>10000</v>
      </c>
    </row>
    <row r="254" spans="1:5" x14ac:dyDescent="0.3">
      <c r="A254" s="2">
        <v>9660002112</v>
      </c>
      <c r="B254" s="2">
        <v>4190</v>
      </c>
      <c r="C254" s="2" t="s">
        <v>854</v>
      </c>
      <c r="D254" s="2" t="s">
        <v>1733</v>
      </c>
      <c r="E254" s="2">
        <v>50000</v>
      </c>
    </row>
    <row r="255" spans="1:5" x14ac:dyDescent="0.3">
      <c r="A255" s="2">
        <v>9660002112</v>
      </c>
      <c r="B255" s="2">
        <v>4050</v>
      </c>
      <c r="C255" s="2" t="s">
        <v>826</v>
      </c>
      <c r="D255" s="2" t="s">
        <v>1719</v>
      </c>
      <c r="E255" s="2">
        <v>20000</v>
      </c>
    </row>
    <row r="256" spans="1:5" x14ac:dyDescent="0.3">
      <c r="A256" s="2">
        <v>9660002112</v>
      </c>
      <c r="B256" s="2">
        <v>5010</v>
      </c>
      <c r="C256" s="2" t="s">
        <v>1019</v>
      </c>
      <c r="D256" s="2" t="s">
        <v>1815</v>
      </c>
      <c r="E256" s="2">
        <v>92000</v>
      </c>
    </row>
    <row r="257" spans="1:5" x14ac:dyDescent="0.3">
      <c r="A257" s="2">
        <v>9660002112</v>
      </c>
      <c r="B257" s="2">
        <v>3920</v>
      </c>
      <c r="C257" s="2" t="s">
        <v>800</v>
      </c>
      <c r="D257" s="2" t="s">
        <v>1706</v>
      </c>
      <c r="E257" s="2">
        <v>20000</v>
      </c>
    </row>
    <row r="258" spans="1:5" x14ac:dyDescent="0.3">
      <c r="A258" s="2">
        <v>9660002112</v>
      </c>
      <c r="B258" s="2">
        <v>6040</v>
      </c>
      <c r="C258" s="2" t="s">
        <v>1233</v>
      </c>
      <c r="D258" s="2" t="s">
        <v>1917</v>
      </c>
      <c r="E258" s="2">
        <v>60000</v>
      </c>
    </row>
    <row r="259" spans="1:5" x14ac:dyDescent="0.3">
      <c r="A259" s="2">
        <v>9660002112</v>
      </c>
      <c r="B259" s="2">
        <v>5240</v>
      </c>
      <c r="C259" s="2" t="s">
        <v>1065</v>
      </c>
      <c r="D259" s="2" t="s">
        <v>1838</v>
      </c>
      <c r="E259" s="2">
        <v>210000</v>
      </c>
    </row>
    <row r="260" spans="1:5" x14ac:dyDescent="0.3">
      <c r="A260" s="2">
        <v>9660002112</v>
      </c>
      <c r="B260" s="2">
        <v>2220</v>
      </c>
      <c r="C260" s="2" t="s">
        <v>460</v>
      </c>
      <c r="D260" s="2" t="s">
        <v>1536</v>
      </c>
      <c r="E260" s="2">
        <v>860000</v>
      </c>
    </row>
    <row r="261" spans="1:5" x14ac:dyDescent="0.3">
      <c r="A261" s="2">
        <v>9660002112</v>
      </c>
      <c r="B261" s="2">
        <v>760</v>
      </c>
      <c r="C261" s="2" t="s">
        <v>160</v>
      </c>
      <c r="D261" s="2" t="s">
        <v>1391</v>
      </c>
      <c r="E261" s="2">
        <v>16000</v>
      </c>
    </row>
    <row r="262" spans="1:5" x14ac:dyDescent="0.3">
      <c r="A262" s="2">
        <v>9660002112</v>
      </c>
      <c r="B262" s="2">
        <v>920</v>
      </c>
      <c r="C262" s="2" t="s">
        <v>192</v>
      </c>
      <c r="D262" s="2" t="s">
        <v>1407</v>
      </c>
      <c r="E262" s="2">
        <v>50000</v>
      </c>
    </row>
    <row r="263" spans="1:5" x14ac:dyDescent="0.3">
      <c r="A263" s="2">
        <v>9660002112</v>
      </c>
      <c r="B263" s="2">
        <v>1060</v>
      </c>
      <c r="C263" s="2" t="s">
        <v>221</v>
      </c>
      <c r="D263" s="2" t="s">
        <v>1421</v>
      </c>
      <c r="E263" s="2">
        <v>2000</v>
      </c>
    </row>
    <row r="264" spans="1:5" x14ac:dyDescent="0.3">
      <c r="A264" s="2">
        <v>9660002112</v>
      </c>
      <c r="B264" s="2">
        <v>1610</v>
      </c>
      <c r="C264" s="2" t="s">
        <v>333</v>
      </c>
      <c r="D264" s="2" t="s">
        <v>1475</v>
      </c>
      <c r="E264" s="2">
        <v>84000</v>
      </c>
    </row>
    <row r="265" spans="1:5" x14ac:dyDescent="0.3">
      <c r="A265" s="2">
        <v>9660002112</v>
      </c>
      <c r="B265" s="2">
        <v>1620</v>
      </c>
      <c r="C265" s="2" t="s">
        <v>335</v>
      </c>
      <c r="D265" s="2" t="s">
        <v>1476</v>
      </c>
      <c r="E265" s="2">
        <v>5000</v>
      </c>
    </row>
    <row r="266" spans="1:5" x14ac:dyDescent="0.3">
      <c r="A266" s="2">
        <v>9660002112</v>
      </c>
      <c r="B266" s="2">
        <v>1980</v>
      </c>
      <c r="C266" s="2" t="s">
        <v>412</v>
      </c>
      <c r="D266" s="2" t="s">
        <v>1512</v>
      </c>
      <c r="E266" s="2">
        <v>40000</v>
      </c>
    </row>
    <row r="267" spans="1:5" x14ac:dyDescent="0.3">
      <c r="A267" s="2">
        <v>9660002112</v>
      </c>
      <c r="B267" s="2">
        <v>2120</v>
      </c>
      <c r="C267" s="2" t="s">
        <v>440</v>
      </c>
      <c r="D267" s="2" t="s">
        <v>1526</v>
      </c>
      <c r="E267" s="2">
        <v>90000</v>
      </c>
    </row>
    <row r="268" spans="1:5" x14ac:dyDescent="0.3">
      <c r="A268" s="2">
        <v>9660002112</v>
      </c>
      <c r="B268" s="2">
        <v>2280</v>
      </c>
      <c r="C268" s="2" t="s">
        <v>472</v>
      </c>
      <c r="D268" s="2" t="s">
        <v>1542</v>
      </c>
      <c r="E268" s="2">
        <v>20000</v>
      </c>
    </row>
    <row r="269" spans="1:5" x14ac:dyDescent="0.3">
      <c r="A269" s="2">
        <v>9660002112</v>
      </c>
      <c r="B269" s="2">
        <v>2580</v>
      </c>
      <c r="C269" s="2" t="s">
        <v>532</v>
      </c>
      <c r="D269" s="2" t="s">
        <v>1572</v>
      </c>
      <c r="E269" s="2">
        <v>5000</v>
      </c>
    </row>
    <row r="270" spans="1:5" x14ac:dyDescent="0.3">
      <c r="A270" s="2">
        <v>9660002112</v>
      </c>
      <c r="B270" s="2">
        <v>2610</v>
      </c>
      <c r="C270" s="2" t="s">
        <v>538</v>
      </c>
      <c r="D270" s="2" t="s">
        <v>1575</v>
      </c>
      <c r="E270" s="2">
        <v>5000</v>
      </c>
    </row>
    <row r="271" spans="1:5" x14ac:dyDescent="0.3">
      <c r="A271" s="2">
        <v>9660002112</v>
      </c>
      <c r="B271" s="2">
        <v>2850</v>
      </c>
      <c r="C271" s="2" t="s">
        <v>586</v>
      </c>
      <c r="D271" s="2" t="s">
        <v>1599</v>
      </c>
      <c r="E271" s="2">
        <v>110000</v>
      </c>
    </row>
    <row r="272" spans="1:5" x14ac:dyDescent="0.3">
      <c r="A272" s="2">
        <v>9660002112</v>
      </c>
      <c r="B272" s="2">
        <v>2900</v>
      </c>
      <c r="C272" s="2" t="s">
        <v>596</v>
      </c>
      <c r="D272" s="2" t="s">
        <v>1604</v>
      </c>
      <c r="E272" s="2">
        <v>10000</v>
      </c>
    </row>
    <row r="273" spans="1:5" x14ac:dyDescent="0.3">
      <c r="A273" s="2">
        <v>9660002112</v>
      </c>
      <c r="B273" s="2">
        <v>3010</v>
      </c>
      <c r="C273" s="2" t="s">
        <v>618</v>
      </c>
      <c r="D273" s="2" t="s">
        <v>1615</v>
      </c>
      <c r="E273" s="2">
        <v>10000</v>
      </c>
    </row>
    <row r="274" spans="1:5" x14ac:dyDescent="0.3">
      <c r="A274" s="2">
        <v>9660002112</v>
      </c>
      <c r="B274" s="2">
        <v>3110</v>
      </c>
      <c r="C274" s="2" t="s">
        <v>638</v>
      </c>
      <c r="D274" s="2" t="s">
        <v>1625</v>
      </c>
      <c r="E274" s="2">
        <v>110000</v>
      </c>
    </row>
    <row r="275" spans="1:5" x14ac:dyDescent="0.3">
      <c r="A275" s="2">
        <v>9660002112</v>
      </c>
      <c r="B275" s="2">
        <v>3330</v>
      </c>
      <c r="C275" s="2" t="s">
        <v>682</v>
      </c>
      <c r="D275" s="2" t="s">
        <v>1647</v>
      </c>
      <c r="E275" s="2">
        <v>20000</v>
      </c>
    </row>
    <row r="276" spans="1:5" x14ac:dyDescent="0.3">
      <c r="A276" s="2">
        <v>9660002112</v>
      </c>
      <c r="B276" s="2">
        <v>3480</v>
      </c>
      <c r="C276" s="2" t="s">
        <v>712</v>
      </c>
      <c r="D276" s="2" t="s">
        <v>1662</v>
      </c>
      <c r="E276" s="2">
        <v>20000</v>
      </c>
    </row>
    <row r="277" spans="1:5" x14ac:dyDescent="0.3">
      <c r="A277" s="2">
        <v>9660002112</v>
      </c>
      <c r="B277" s="2">
        <v>3740</v>
      </c>
      <c r="C277" s="2" t="s">
        <v>764</v>
      </c>
      <c r="D277" s="2" t="s">
        <v>1688</v>
      </c>
      <c r="E277" s="2">
        <v>20000</v>
      </c>
    </row>
    <row r="278" spans="1:5" x14ac:dyDescent="0.3">
      <c r="A278" s="2">
        <v>9660002112</v>
      </c>
      <c r="B278" s="2">
        <v>3810</v>
      </c>
      <c r="C278" s="2" t="s">
        <v>778</v>
      </c>
      <c r="D278" s="2" t="s">
        <v>1695</v>
      </c>
      <c r="E278" s="2">
        <v>120000</v>
      </c>
    </row>
    <row r="279" spans="1:5" x14ac:dyDescent="0.3">
      <c r="A279" s="2">
        <v>9660002112</v>
      </c>
      <c r="B279" s="2">
        <v>4060</v>
      </c>
      <c r="C279" s="2" t="s">
        <v>828</v>
      </c>
      <c r="D279" s="2" t="s">
        <v>1720</v>
      </c>
      <c r="E279" s="2">
        <v>10000</v>
      </c>
    </row>
    <row r="280" spans="1:5" x14ac:dyDescent="0.3">
      <c r="A280" s="2">
        <v>9660002112</v>
      </c>
      <c r="B280" s="2">
        <v>4200</v>
      </c>
      <c r="C280" s="2" t="s">
        <v>856</v>
      </c>
      <c r="D280" s="2" t="s">
        <v>1734</v>
      </c>
      <c r="E280" s="2">
        <v>60000</v>
      </c>
    </row>
    <row r="281" spans="1:5" x14ac:dyDescent="0.3">
      <c r="A281" s="2">
        <v>9660002112</v>
      </c>
      <c r="B281" s="2">
        <v>4350</v>
      </c>
      <c r="C281" s="2" t="s">
        <v>886</v>
      </c>
      <c r="D281" s="2" t="s">
        <v>1749</v>
      </c>
      <c r="E281" s="2">
        <v>780000</v>
      </c>
    </row>
    <row r="282" spans="1:5" x14ac:dyDescent="0.3">
      <c r="A282" s="2">
        <v>9660002112</v>
      </c>
      <c r="B282" s="2">
        <v>4420</v>
      </c>
      <c r="C282" s="2" t="s">
        <v>900</v>
      </c>
      <c r="D282" s="2" t="s">
        <v>1756</v>
      </c>
      <c r="E282" s="2">
        <v>400000</v>
      </c>
    </row>
    <row r="283" spans="1:5" x14ac:dyDescent="0.3">
      <c r="A283" s="2">
        <v>9660002112</v>
      </c>
      <c r="B283" s="2">
        <v>4530</v>
      </c>
      <c r="C283" s="2" t="s">
        <v>923</v>
      </c>
      <c r="D283" s="2" t="s">
        <v>1767</v>
      </c>
      <c r="E283" s="2">
        <v>120000</v>
      </c>
    </row>
    <row r="284" spans="1:5" x14ac:dyDescent="0.3">
      <c r="A284" s="2">
        <v>9660002112</v>
      </c>
      <c r="B284" s="2">
        <v>4610</v>
      </c>
      <c r="C284" s="2" t="s">
        <v>939</v>
      </c>
      <c r="D284" s="2" t="s">
        <v>1775</v>
      </c>
      <c r="E284" s="2">
        <v>20000</v>
      </c>
    </row>
    <row r="285" spans="1:5" x14ac:dyDescent="0.3">
      <c r="A285" s="2">
        <v>9660002112</v>
      </c>
      <c r="B285" s="2">
        <v>4810</v>
      </c>
      <c r="C285" s="2" t="s">
        <v>979</v>
      </c>
      <c r="D285" s="2" t="s">
        <v>1795</v>
      </c>
      <c r="E285" s="2">
        <v>44000</v>
      </c>
    </row>
    <row r="286" spans="1:5" x14ac:dyDescent="0.3">
      <c r="A286" s="2">
        <v>9660002112</v>
      </c>
      <c r="B286" s="2">
        <v>4830</v>
      </c>
      <c r="C286" s="2" t="s">
        <v>983</v>
      </c>
      <c r="D286" s="2" t="s">
        <v>1797</v>
      </c>
      <c r="E286" s="2">
        <v>670000</v>
      </c>
    </row>
    <row r="287" spans="1:5" x14ac:dyDescent="0.3">
      <c r="A287" s="2">
        <v>9660002112</v>
      </c>
      <c r="B287" s="2">
        <v>4860</v>
      </c>
      <c r="C287" s="2" t="s">
        <v>989</v>
      </c>
      <c r="D287" s="2" t="s">
        <v>1800</v>
      </c>
      <c r="E287" s="2">
        <v>30000</v>
      </c>
    </row>
    <row r="288" spans="1:5" x14ac:dyDescent="0.3">
      <c r="A288" s="2">
        <v>9660002112</v>
      </c>
      <c r="B288" s="2">
        <v>5170</v>
      </c>
      <c r="C288" s="2" t="s">
        <v>1051</v>
      </c>
      <c r="D288" s="2" t="s">
        <v>1831</v>
      </c>
      <c r="E288" s="2">
        <v>90000</v>
      </c>
    </row>
    <row r="289" spans="1:5" x14ac:dyDescent="0.3">
      <c r="A289" s="2">
        <v>9660002112</v>
      </c>
      <c r="B289" s="2">
        <v>5210</v>
      </c>
      <c r="C289" s="2" t="s">
        <v>1059</v>
      </c>
      <c r="D289" s="2" t="s">
        <v>1835</v>
      </c>
      <c r="E289" s="2">
        <v>40000</v>
      </c>
    </row>
    <row r="290" spans="1:5" x14ac:dyDescent="0.3">
      <c r="A290" s="2">
        <v>9660002112</v>
      </c>
      <c r="B290" s="2">
        <v>5650</v>
      </c>
      <c r="C290" s="2" t="s">
        <v>1150</v>
      </c>
      <c r="D290" s="2" t="s">
        <v>1879</v>
      </c>
      <c r="E290" s="2">
        <v>1000</v>
      </c>
    </row>
    <row r="291" spans="1:5" x14ac:dyDescent="0.3">
      <c r="A291" s="2">
        <v>9660002112</v>
      </c>
      <c r="B291" s="2">
        <v>5130</v>
      </c>
      <c r="C291" s="2" t="s">
        <v>1043</v>
      </c>
      <c r="D291" s="2" t="s">
        <v>1827</v>
      </c>
      <c r="E291" s="2">
        <v>20000</v>
      </c>
    </row>
    <row r="292" spans="1:5" x14ac:dyDescent="0.3">
      <c r="A292" s="2">
        <v>9660002112</v>
      </c>
      <c r="B292" s="2">
        <v>940</v>
      </c>
      <c r="C292" s="2" t="s">
        <v>196</v>
      </c>
      <c r="D292" s="2" t="s">
        <v>1409</v>
      </c>
      <c r="E292" s="2">
        <v>24000</v>
      </c>
    </row>
    <row r="293" spans="1:5" x14ac:dyDescent="0.3">
      <c r="A293" s="2">
        <v>9660002112</v>
      </c>
      <c r="B293" s="2">
        <v>4080</v>
      </c>
      <c r="C293" s="2" t="s">
        <v>832</v>
      </c>
      <c r="D293" s="2" t="s">
        <v>1722</v>
      </c>
      <c r="E293" s="2">
        <v>20000</v>
      </c>
    </row>
    <row r="294" spans="1:5" x14ac:dyDescent="0.3">
      <c r="A294" s="2">
        <v>9660002112</v>
      </c>
      <c r="B294" s="2">
        <v>4250</v>
      </c>
      <c r="C294" s="2" t="s">
        <v>866</v>
      </c>
      <c r="D294" s="2" t="s">
        <v>1739</v>
      </c>
      <c r="E294" s="2">
        <v>50000</v>
      </c>
    </row>
    <row r="295" spans="1:5" x14ac:dyDescent="0.3">
      <c r="A295" s="2">
        <v>9660002112</v>
      </c>
      <c r="B295" s="2">
        <v>6120</v>
      </c>
      <c r="C295" s="2" t="s">
        <v>1250</v>
      </c>
      <c r="D295" s="2" t="s">
        <v>1925</v>
      </c>
      <c r="E295" s="2">
        <v>18000</v>
      </c>
    </row>
    <row r="296" spans="1:5" x14ac:dyDescent="0.3">
      <c r="A296" s="2">
        <v>9660002112</v>
      </c>
      <c r="B296" s="2">
        <v>6380</v>
      </c>
      <c r="C296" s="2" t="s">
        <v>1304</v>
      </c>
      <c r="D296" s="2" t="s">
        <v>1951</v>
      </c>
      <c r="E296" s="2">
        <v>83700</v>
      </c>
    </row>
    <row r="297" spans="1:5" x14ac:dyDescent="0.3">
      <c r="A297" s="2">
        <v>9660002112</v>
      </c>
      <c r="B297" s="2">
        <v>2060</v>
      </c>
      <c r="C297" s="2" t="s">
        <v>428</v>
      </c>
      <c r="D297" s="2" t="s">
        <v>1520</v>
      </c>
      <c r="E297" s="2">
        <v>10000</v>
      </c>
    </row>
    <row r="298" spans="1:5" x14ac:dyDescent="0.3">
      <c r="A298" s="2">
        <v>9660002112</v>
      </c>
      <c r="B298" s="2">
        <v>4790</v>
      </c>
      <c r="C298" s="2" t="s">
        <v>975</v>
      </c>
      <c r="D298" s="2" t="s">
        <v>1793</v>
      </c>
      <c r="E298" s="2">
        <v>750000</v>
      </c>
    </row>
    <row r="299" spans="1:5" x14ac:dyDescent="0.3">
      <c r="A299" s="2">
        <v>9660002112</v>
      </c>
      <c r="B299" s="2">
        <v>1100</v>
      </c>
      <c r="C299" s="2" t="s">
        <v>229</v>
      </c>
      <c r="D299" s="2" t="s">
        <v>1425</v>
      </c>
      <c r="E299" s="2">
        <v>12000</v>
      </c>
    </row>
    <row r="300" spans="1:5" x14ac:dyDescent="0.3">
      <c r="A300" s="2">
        <v>9660002112</v>
      </c>
      <c r="B300" s="2">
        <v>1820</v>
      </c>
      <c r="C300" s="2" t="s">
        <v>378</v>
      </c>
      <c r="D300" s="2" t="s">
        <v>1496</v>
      </c>
      <c r="E300" s="2">
        <v>57000</v>
      </c>
    </row>
    <row r="301" spans="1:5" x14ac:dyDescent="0.3">
      <c r="A301" s="2">
        <v>9660002112</v>
      </c>
      <c r="B301" s="2">
        <v>1830</v>
      </c>
      <c r="C301" s="2" t="s">
        <v>380</v>
      </c>
      <c r="D301" s="2" t="s">
        <v>1497</v>
      </c>
      <c r="E301" s="2">
        <v>69000</v>
      </c>
    </row>
    <row r="302" spans="1:5" x14ac:dyDescent="0.3">
      <c r="A302" s="3">
        <v>9660002112</v>
      </c>
      <c r="B302" s="3">
        <v>1120</v>
      </c>
      <c r="C302" s="3" t="s">
        <v>233</v>
      </c>
      <c r="D302" s="3" t="s">
        <v>1427</v>
      </c>
      <c r="E302" s="3">
        <v>5000</v>
      </c>
    </row>
    <row r="303" spans="1:5" x14ac:dyDescent="0.3">
      <c r="A303" s="3">
        <v>9660002112</v>
      </c>
      <c r="B303" s="3">
        <v>5710</v>
      </c>
      <c r="C303" s="3" t="s">
        <v>1162</v>
      </c>
      <c r="D303" s="3" t="s">
        <v>1885</v>
      </c>
      <c r="E303" s="3">
        <v>45000</v>
      </c>
    </row>
    <row r="304" spans="1:5" x14ac:dyDescent="0.3">
      <c r="A304" s="3">
        <v>9660002112</v>
      </c>
      <c r="B304" s="3">
        <v>660</v>
      </c>
      <c r="C304" s="3" t="s">
        <v>140</v>
      </c>
      <c r="D304" s="3" t="s">
        <v>1381</v>
      </c>
      <c r="E304" s="3">
        <v>170800</v>
      </c>
    </row>
    <row r="305" spans="1:5" x14ac:dyDescent="0.3">
      <c r="A305" s="3">
        <v>9660002112</v>
      </c>
      <c r="B305" s="3">
        <v>6130</v>
      </c>
      <c r="C305" s="3" t="s">
        <v>1252</v>
      </c>
      <c r="D305" s="3" t="s">
        <v>1926</v>
      </c>
      <c r="E305" s="3">
        <v>63000</v>
      </c>
    </row>
    <row r="306" spans="1:5" x14ac:dyDescent="0.3">
      <c r="A306" s="3">
        <v>9660002112</v>
      </c>
      <c r="B306" s="3">
        <v>3660</v>
      </c>
      <c r="C306" s="3" t="s">
        <v>748</v>
      </c>
      <c r="D306" s="3" t="s">
        <v>1680</v>
      </c>
      <c r="E306" s="3">
        <v>10000</v>
      </c>
    </row>
    <row r="307" spans="1:5" x14ac:dyDescent="0.3">
      <c r="A307" s="3">
        <v>9660002112</v>
      </c>
      <c r="B307" s="3">
        <v>6100</v>
      </c>
      <c r="C307" s="3" t="s">
        <v>1246</v>
      </c>
      <c r="D307" s="3" t="s">
        <v>1923</v>
      </c>
      <c r="E307" s="3">
        <v>4000</v>
      </c>
    </row>
    <row r="308" spans="1:5" x14ac:dyDescent="0.3">
      <c r="A308" s="3">
        <v>9660002112</v>
      </c>
      <c r="B308" s="3">
        <v>450</v>
      </c>
      <c r="C308" s="3" t="s">
        <v>94</v>
      </c>
      <c r="D308" s="3" t="s">
        <v>1360</v>
      </c>
      <c r="E308" s="3">
        <v>20000</v>
      </c>
    </row>
    <row r="309" spans="1:5" x14ac:dyDescent="0.3">
      <c r="A309" s="3">
        <v>9660002112</v>
      </c>
      <c r="B309" s="3">
        <v>540</v>
      </c>
      <c r="C309" s="3" t="s">
        <v>112</v>
      </c>
      <c r="D309" s="3" t="s">
        <v>1369</v>
      </c>
      <c r="E309" s="3">
        <v>8480</v>
      </c>
    </row>
    <row r="310" spans="1:5" x14ac:dyDescent="0.3">
      <c r="A310" s="3">
        <v>9660002112</v>
      </c>
      <c r="B310" s="3">
        <v>650</v>
      </c>
      <c r="C310" s="3" t="s">
        <v>137</v>
      </c>
      <c r="D310" s="3" t="s">
        <v>1380</v>
      </c>
      <c r="E310" s="3">
        <v>40000</v>
      </c>
    </row>
    <row r="311" spans="1:5" x14ac:dyDescent="0.3">
      <c r="A311" s="3">
        <v>9660002112</v>
      </c>
      <c r="B311" s="3">
        <v>1140</v>
      </c>
      <c r="C311" s="3" t="s">
        <v>237</v>
      </c>
      <c r="D311" s="3" t="s">
        <v>1429</v>
      </c>
      <c r="E311" s="3">
        <v>9800</v>
      </c>
    </row>
    <row r="312" spans="1:5" x14ac:dyDescent="0.3">
      <c r="A312" s="3">
        <v>9660002112</v>
      </c>
      <c r="B312" s="3">
        <v>1160</v>
      </c>
      <c r="C312" s="3" t="s">
        <v>241</v>
      </c>
      <c r="D312" s="3" t="s">
        <v>1431</v>
      </c>
      <c r="E312" s="3">
        <v>20000</v>
      </c>
    </row>
    <row r="313" spans="1:5" x14ac:dyDescent="0.3">
      <c r="A313" s="3">
        <v>9660002112</v>
      </c>
      <c r="B313" s="3">
        <v>1190</v>
      </c>
      <c r="C313" s="3" t="s">
        <v>247</v>
      </c>
      <c r="D313" s="3" t="s">
        <v>1434</v>
      </c>
      <c r="E313" s="3">
        <v>55000</v>
      </c>
    </row>
    <row r="314" spans="1:5" x14ac:dyDescent="0.3">
      <c r="A314" s="3">
        <v>9660002112</v>
      </c>
      <c r="B314" s="3">
        <v>1210</v>
      </c>
      <c r="C314" s="3" t="s">
        <v>251</v>
      </c>
      <c r="D314" s="3" t="s">
        <v>1436</v>
      </c>
      <c r="E314" s="3">
        <v>12500</v>
      </c>
    </row>
    <row r="315" spans="1:5" x14ac:dyDescent="0.3">
      <c r="A315" s="3">
        <v>9660002112</v>
      </c>
      <c r="B315" s="3">
        <v>1580</v>
      </c>
      <c r="C315" s="3" t="s">
        <v>327</v>
      </c>
      <c r="D315" s="3" t="s">
        <v>1472</v>
      </c>
      <c r="E315" s="3">
        <v>40000</v>
      </c>
    </row>
    <row r="316" spans="1:5" x14ac:dyDescent="0.3">
      <c r="A316" s="3">
        <v>9660002112</v>
      </c>
      <c r="B316" s="3">
        <v>1520</v>
      </c>
      <c r="C316" s="3" t="s">
        <v>315</v>
      </c>
      <c r="D316" s="3" t="s">
        <v>1466</v>
      </c>
      <c r="E316" s="3">
        <v>24000</v>
      </c>
    </row>
    <row r="317" spans="1:5" x14ac:dyDescent="0.3">
      <c r="A317" s="3">
        <v>9660002112</v>
      </c>
      <c r="B317" s="3">
        <v>1540</v>
      </c>
      <c r="C317" s="3" t="s">
        <v>319</v>
      </c>
      <c r="D317" s="3" t="s">
        <v>1468</v>
      </c>
      <c r="E317" s="3">
        <v>27000</v>
      </c>
    </row>
    <row r="318" spans="1:5" x14ac:dyDescent="0.3">
      <c r="A318" s="3">
        <v>9660002112</v>
      </c>
      <c r="B318" s="3">
        <v>2110</v>
      </c>
      <c r="C318" s="3" t="s">
        <v>438</v>
      </c>
      <c r="D318" s="3" t="s">
        <v>1525</v>
      </c>
      <c r="E318" s="3">
        <v>10000</v>
      </c>
    </row>
    <row r="319" spans="1:5" x14ac:dyDescent="0.3">
      <c r="A319" s="3">
        <v>9660002112</v>
      </c>
      <c r="B319" s="3">
        <v>2270</v>
      </c>
      <c r="C319" s="3" t="s">
        <v>470</v>
      </c>
      <c r="D319" s="3" t="s">
        <v>1541</v>
      </c>
      <c r="E319" s="3">
        <v>20000</v>
      </c>
    </row>
    <row r="320" spans="1:5" x14ac:dyDescent="0.3">
      <c r="A320" s="3">
        <v>9660002112</v>
      </c>
      <c r="B320" s="3">
        <v>2320</v>
      </c>
      <c r="C320" s="3" t="s">
        <v>480</v>
      </c>
      <c r="D320" s="3" t="s">
        <v>1546</v>
      </c>
      <c r="E320" s="3">
        <v>20000</v>
      </c>
    </row>
    <row r="321" spans="1:5" x14ac:dyDescent="0.3">
      <c r="A321" s="3">
        <v>9660002112</v>
      </c>
      <c r="B321" s="3">
        <v>3870</v>
      </c>
      <c r="C321" s="3" t="s">
        <v>790</v>
      </c>
      <c r="D321" s="3" t="s">
        <v>1701</v>
      </c>
      <c r="E321" s="3">
        <v>20000</v>
      </c>
    </row>
    <row r="322" spans="1:5" x14ac:dyDescent="0.3">
      <c r="A322" s="3">
        <v>9660002112</v>
      </c>
      <c r="B322" s="3">
        <v>4170</v>
      </c>
      <c r="C322" s="3" t="s">
        <v>850</v>
      </c>
      <c r="D322" s="3" t="s">
        <v>1731</v>
      </c>
      <c r="E322" s="3">
        <v>20000</v>
      </c>
    </row>
    <row r="323" spans="1:5" x14ac:dyDescent="0.3">
      <c r="A323" s="3">
        <v>9660002112</v>
      </c>
      <c r="B323" s="3">
        <v>4720</v>
      </c>
      <c r="C323" s="3" t="s">
        <v>961</v>
      </c>
      <c r="D323" s="3" t="s">
        <v>1786</v>
      </c>
      <c r="E323" s="3">
        <v>60000</v>
      </c>
    </row>
    <row r="324" spans="1:5" x14ac:dyDescent="0.3">
      <c r="A324" s="3">
        <v>9660002112</v>
      </c>
      <c r="B324" s="3">
        <v>4980</v>
      </c>
      <c r="C324" s="3" t="s">
        <v>1013</v>
      </c>
      <c r="D324" s="3" t="s">
        <v>1812</v>
      </c>
      <c r="E324" s="3">
        <v>60000</v>
      </c>
    </row>
    <row r="325" spans="1:5" x14ac:dyDescent="0.3">
      <c r="A325" s="3">
        <v>9660002112</v>
      </c>
      <c r="B325" s="3">
        <v>5520</v>
      </c>
      <c r="C325" s="3" t="s">
        <v>1122</v>
      </c>
      <c r="D325" s="3" t="s">
        <v>1866</v>
      </c>
      <c r="E325" s="3">
        <v>105000</v>
      </c>
    </row>
    <row r="326" spans="1:5" x14ac:dyDescent="0.3">
      <c r="A326" s="3">
        <v>9660002112</v>
      </c>
      <c r="B326" s="3">
        <v>5740</v>
      </c>
      <c r="C326" s="3" t="s">
        <v>1168</v>
      </c>
      <c r="D326" s="3" t="s">
        <v>1888</v>
      </c>
      <c r="E326" s="3">
        <v>17500</v>
      </c>
    </row>
    <row r="327" spans="1:5" x14ac:dyDescent="0.3">
      <c r="A327" s="3">
        <v>9660002112</v>
      </c>
      <c r="B327" s="3">
        <v>6240</v>
      </c>
      <c r="C327" s="3" t="s">
        <v>1274</v>
      </c>
      <c r="D327" s="3" t="s">
        <v>1937</v>
      </c>
      <c r="E327" s="3">
        <v>116000</v>
      </c>
    </row>
    <row r="328" spans="1:5" x14ac:dyDescent="0.3">
      <c r="A328" s="3">
        <v>9660002112</v>
      </c>
      <c r="B328" s="3">
        <v>6430</v>
      </c>
      <c r="C328" s="3" t="s">
        <v>1314</v>
      </c>
      <c r="D328" s="3" t="s">
        <v>1956</v>
      </c>
      <c r="E328" s="3">
        <v>16200</v>
      </c>
    </row>
    <row r="329" spans="1:5" x14ac:dyDescent="0.3">
      <c r="A329" s="3">
        <v>9660002112</v>
      </c>
      <c r="B329" s="3">
        <v>1670</v>
      </c>
      <c r="C329" s="3" t="s">
        <v>345</v>
      </c>
      <c r="D329" s="3" t="s">
        <v>1481</v>
      </c>
      <c r="E329" s="3">
        <v>282000</v>
      </c>
    </row>
    <row r="330" spans="1:5" x14ac:dyDescent="0.3">
      <c r="A330" s="3">
        <v>9660002112</v>
      </c>
      <c r="B330" s="3">
        <v>6250</v>
      </c>
      <c r="C330" s="3" t="s">
        <v>1276</v>
      </c>
      <c r="D330" s="3" t="s">
        <v>1938</v>
      </c>
      <c r="E330" s="3">
        <v>2000</v>
      </c>
    </row>
    <row r="331" spans="1:5" x14ac:dyDescent="0.3">
      <c r="A331" s="3">
        <v>9660002112</v>
      </c>
      <c r="B331" s="3">
        <v>1090</v>
      </c>
      <c r="C331" s="3" t="s">
        <v>227</v>
      </c>
      <c r="D331" s="3" t="s">
        <v>1424</v>
      </c>
      <c r="E331" s="3">
        <v>6000</v>
      </c>
    </row>
    <row r="332" spans="1:5" x14ac:dyDescent="0.3">
      <c r="A332" s="3">
        <v>9660002112</v>
      </c>
      <c r="B332" s="3">
        <v>1150</v>
      </c>
      <c r="C332" s="3" t="s">
        <v>239</v>
      </c>
      <c r="D332" s="3" t="s">
        <v>1430</v>
      </c>
      <c r="E332" s="3">
        <v>21000</v>
      </c>
    </row>
    <row r="333" spans="1:5" x14ac:dyDescent="0.3">
      <c r="A333" s="3">
        <v>9660002112</v>
      </c>
      <c r="B333" s="3">
        <v>2190</v>
      </c>
      <c r="C333" s="3" t="s">
        <v>454</v>
      </c>
      <c r="D333" s="3" t="s">
        <v>1533</v>
      </c>
      <c r="E333" s="3">
        <v>50000</v>
      </c>
    </row>
    <row r="334" spans="1:5" x14ac:dyDescent="0.3">
      <c r="A334" s="3">
        <v>9660002112</v>
      </c>
      <c r="B334" s="3">
        <v>2260</v>
      </c>
      <c r="C334" s="3" t="s">
        <v>468</v>
      </c>
      <c r="D334" s="3" t="s">
        <v>1540</v>
      </c>
      <c r="E334" s="3">
        <v>160000</v>
      </c>
    </row>
    <row r="335" spans="1:5" x14ac:dyDescent="0.3">
      <c r="A335" s="3">
        <v>9660002112</v>
      </c>
      <c r="B335" s="3">
        <v>2490</v>
      </c>
      <c r="C335" s="3" t="s">
        <v>514</v>
      </c>
      <c r="D335" s="3" t="s">
        <v>1563</v>
      </c>
      <c r="E335" s="3">
        <v>320000</v>
      </c>
    </row>
    <row r="336" spans="1:5" x14ac:dyDescent="0.3">
      <c r="A336" s="3">
        <v>9660002112</v>
      </c>
      <c r="B336" s="3">
        <v>2990</v>
      </c>
      <c r="C336" s="3" t="s">
        <v>614</v>
      </c>
      <c r="D336" s="3" t="s">
        <v>1613</v>
      </c>
      <c r="E336" s="3">
        <v>50000</v>
      </c>
    </row>
    <row r="337" spans="1:5" x14ac:dyDescent="0.3">
      <c r="A337" s="3">
        <v>9660002112</v>
      </c>
      <c r="B337" s="3">
        <v>3940</v>
      </c>
      <c r="C337" s="3" t="s">
        <v>804</v>
      </c>
      <c r="D337" s="3" t="s">
        <v>1708</v>
      </c>
      <c r="E337" s="3">
        <v>160000</v>
      </c>
    </row>
    <row r="338" spans="1:5" x14ac:dyDescent="0.3">
      <c r="A338" s="3">
        <v>9660002112</v>
      </c>
      <c r="B338" s="3">
        <v>4940</v>
      </c>
      <c r="C338" s="3" t="s">
        <v>1005</v>
      </c>
      <c r="D338" s="3" t="s">
        <v>1808</v>
      </c>
      <c r="E338" s="3">
        <v>16000</v>
      </c>
    </row>
    <row r="339" spans="1:5" x14ac:dyDescent="0.3">
      <c r="A339" s="3">
        <v>9660002112</v>
      </c>
      <c r="B339" s="3">
        <v>6230</v>
      </c>
      <c r="C339" s="3" t="s">
        <v>1272</v>
      </c>
      <c r="D339" s="3" t="s">
        <v>1936</v>
      </c>
      <c r="E339" s="3">
        <v>1500</v>
      </c>
    </row>
    <row r="340" spans="1:5" x14ac:dyDescent="0.3">
      <c r="A340" s="3">
        <v>9660002112</v>
      </c>
      <c r="B340" s="3">
        <v>2290</v>
      </c>
      <c r="C340" s="3" t="s">
        <v>474</v>
      </c>
      <c r="D340" s="3" t="s">
        <v>1543</v>
      </c>
      <c r="E340" s="3">
        <v>20000</v>
      </c>
    </row>
    <row r="341" spans="1:5" x14ac:dyDescent="0.3">
      <c r="A341" s="3">
        <v>9660002112</v>
      </c>
      <c r="B341" s="3">
        <v>6110</v>
      </c>
      <c r="C341" s="3" t="s">
        <v>1248</v>
      </c>
      <c r="D341" s="3" t="s">
        <v>1924</v>
      </c>
      <c r="E341" s="3">
        <v>14000</v>
      </c>
    </row>
    <row r="342" spans="1:5" x14ac:dyDescent="0.3">
      <c r="A342" s="3">
        <v>9660002112</v>
      </c>
      <c r="B342" s="3">
        <v>5770</v>
      </c>
      <c r="C342" s="3" t="s">
        <v>1174</v>
      </c>
      <c r="D342" s="3" t="s">
        <v>1891</v>
      </c>
      <c r="E342" s="3">
        <v>10000</v>
      </c>
    </row>
    <row r="343" spans="1:5" x14ac:dyDescent="0.3">
      <c r="A343" s="3">
        <v>9660002112</v>
      </c>
      <c r="B343" s="3">
        <v>1070</v>
      </c>
      <c r="C343" s="3" t="s">
        <v>223</v>
      </c>
      <c r="D343" s="3" t="s">
        <v>1422</v>
      </c>
      <c r="E343" s="3">
        <v>81000</v>
      </c>
    </row>
    <row r="344" spans="1:5" x14ac:dyDescent="0.3">
      <c r="A344" s="3">
        <v>9660002112</v>
      </c>
      <c r="B344" s="3">
        <v>1680</v>
      </c>
      <c r="C344" s="3" t="s">
        <v>347</v>
      </c>
      <c r="D344" s="3" t="s">
        <v>1482</v>
      </c>
      <c r="E344" s="3">
        <v>10000</v>
      </c>
    </row>
    <row r="345" spans="1:5" x14ac:dyDescent="0.3">
      <c r="A345" s="3">
        <v>9660002112</v>
      </c>
      <c r="B345" s="3">
        <v>2740</v>
      </c>
      <c r="C345" s="3" t="s">
        <v>564</v>
      </c>
      <c r="D345" s="3" t="s">
        <v>1588</v>
      </c>
      <c r="E345" s="3">
        <v>10000</v>
      </c>
    </row>
    <row r="346" spans="1:5" x14ac:dyDescent="0.3">
      <c r="A346" s="3">
        <v>9660002112</v>
      </c>
      <c r="B346" s="3">
        <v>3270</v>
      </c>
      <c r="C346" s="3" t="s">
        <v>670</v>
      </c>
      <c r="D346" s="3" t="s">
        <v>1641</v>
      </c>
      <c r="E346" s="3">
        <v>20000</v>
      </c>
    </row>
    <row r="347" spans="1:5" x14ac:dyDescent="0.3">
      <c r="A347" s="3">
        <v>9660002112</v>
      </c>
      <c r="B347" s="3">
        <v>4110</v>
      </c>
      <c r="C347" s="3" t="s">
        <v>838</v>
      </c>
      <c r="D347" s="3" t="s">
        <v>1725</v>
      </c>
      <c r="E347" s="3">
        <v>10000</v>
      </c>
    </row>
    <row r="348" spans="1:5" x14ac:dyDescent="0.3">
      <c r="A348" s="3">
        <v>9660002112</v>
      </c>
      <c r="B348" s="3">
        <v>4650</v>
      </c>
      <c r="C348" s="3" t="s">
        <v>947</v>
      </c>
      <c r="D348" s="3" t="s">
        <v>1779</v>
      </c>
      <c r="E348" s="3">
        <v>435000</v>
      </c>
    </row>
    <row r="349" spans="1:5" x14ac:dyDescent="0.3">
      <c r="A349" s="3">
        <v>9660002112</v>
      </c>
      <c r="B349" s="3">
        <v>4660</v>
      </c>
      <c r="C349" s="3" t="s">
        <v>949</v>
      </c>
      <c r="D349" s="3" t="s">
        <v>1780</v>
      </c>
      <c r="E349" s="3">
        <v>690000</v>
      </c>
    </row>
    <row r="350" spans="1:5" x14ac:dyDescent="0.3">
      <c r="A350" s="3">
        <v>9660002112</v>
      </c>
      <c r="B350" s="3">
        <v>4820</v>
      </c>
      <c r="C350" s="3" t="s">
        <v>981</v>
      </c>
      <c r="D350" s="3" t="s">
        <v>1796</v>
      </c>
      <c r="E350" s="3">
        <v>2176000</v>
      </c>
    </row>
    <row r="351" spans="1:5" x14ac:dyDescent="0.3">
      <c r="A351" s="3">
        <v>9660002112</v>
      </c>
      <c r="B351" s="3">
        <v>5400</v>
      </c>
      <c r="C351" s="3" t="s">
        <v>1097</v>
      </c>
      <c r="D351" s="3" t="s">
        <v>1854</v>
      </c>
      <c r="E351" s="3">
        <v>315000</v>
      </c>
    </row>
    <row r="352" spans="1:5" x14ac:dyDescent="0.3">
      <c r="A352" s="3">
        <v>9660002112</v>
      </c>
      <c r="B352" s="3">
        <v>5470</v>
      </c>
      <c r="C352" s="3" t="s">
        <v>1112</v>
      </c>
      <c r="D352" s="3" t="s">
        <v>1861</v>
      </c>
      <c r="E352" s="3">
        <v>28000</v>
      </c>
    </row>
    <row r="353" spans="1:5" x14ac:dyDescent="0.3">
      <c r="A353" s="3">
        <v>9660002112</v>
      </c>
      <c r="B353" s="3">
        <v>5980</v>
      </c>
      <c r="C353" s="3" t="s">
        <v>1221</v>
      </c>
      <c r="D353" s="3" t="s">
        <v>1912</v>
      </c>
      <c r="E353" s="3">
        <v>130000</v>
      </c>
    </row>
    <row r="354" spans="1:5" x14ac:dyDescent="0.3">
      <c r="A354" s="3">
        <v>9660002112</v>
      </c>
      <c r="B354" s="3">
        <v>800</v>
      </c>
      <c r="C354" s="3" t="s">
        <v>168</v>
      </c>
      <c r="D354" s="3" t="s">
        <v>1395</v>
      </c>
      <c r="E354" s="3">
        <v>57000</v>
      </c>
    </row>
    <row r="355" spans="1:5" x14ac:dyDescent="0.3">
      <c r="A355" s="3">
        <v>9660002112</v>
      </c>
      <c r="B355" s="3">
        <v>2570</v>
      </c>
      <c r="C355" s="3" t="s">
        <v>530</v>
      </c>
      <c r="D355" s="3" t="s">
        <v>1571</v>
      </c>
      <c r="E355" s="3">
        <v>20000</v>
      </c>
    </row>
    <row r="356" spans="1:5" x14ac:dyDescent="0.3">
      <c r="A356" s="3">
        <v>9660002112</v>
      </c>
      <c r="B356" s="3">
        <v>550</v>
      </c>
      <c r="C356" s="3" t="s">
        <v>114</v>
      </c>
      <c r="D356" s="3" t="s">
        <v>1370</v>
      </c>
      <c r="E356" s="3">
        <v>12400</v>
      </c>
    </row>
    <row r="357" spans="1:5" x14ac:dyDescent="0.3">
      <c r="A357" s="3">
        <v>9660002112</v>
      </c>
      <c r="B357" s="3">
        <v>970</v>
      </c>
      <c r="C357" s="3" t="s">
        <v>202</v>
      </c>
      <c r="D357" s="3" t="s">
        <v>1412</v>
      </c>
      <c r="E357" s="3">
        <v>3000</v>
      </c>
    </row>
    <row r="358" spans="1:5" x14ac:dyDescent="0.3">
      <c r="A358" s="3">
        <v>9660002112</v>
      </c>
      <c r="B358" s="3">
        <v>770</v>
      </c>
      <c r="C358" s="3" t="s">
        <v>162</v>
      </c>
      <c r="D358" s="3" t="s">
        <v>1392</v>
      </c>
      <c r="E358" s="3">
        <v>57000</v>
      </c>
    </row>
    <row r="359" spans="1:5" x14ac:dyDescent="0.3">
      <c r="A359" s="3">
        <v>9660002112</v>
      </c>
      <c r="B359" s="3">
        <v>1810</v>
      </c>
      <c r="C359" s="3" t="s">
        <v>376</v>
      </c>
      <c r="D359" s="3" t="s">
        <v>1495</v>
      </c>
      <c r="E359" s="3">
        <v>42000</v>
      </c>
    </row>
    <row r="360" spans="1:5" x14ac:dyDescent="0.3">
      <c r="A360" s="3">
        <v>9660002112</v>
      </c>
      <c r="B360" s="3">
        <v>1800</v>
      </c>
      <c r="C360" s="3" t="s">
        <v>374</v>
      </c>
      <c r="D360" s="3" t="s">
        <v>1494</v>
      </c>
      <c r="E360" s="3">
        <v>57000</v>
      </c>
    </row>
    <row r="361" spans="1:5" x14ac:dyDescent="0.3">
      <c r="A361" s="3">
        <v>9660002112</v>
      </c>
      <c r="B361" s="3">
        <v>2180</v>
      </c>
      <c r="C361" s="3" t="s">
        <v>452</v>
      </c>
      <c r="D361" s="3" t="s">
        <v>1532</v>
      </c>
      <c r="E361" s="3">
        <v>50000</v>
      </c>
    </row>
    <row r="362" spans="1:5" x14ac:dyDescent="0.3">
      <c r="A362" s="3">
        <v>9660002112</v>
      </c>
      <c r="B362" s="3">
        <v>3420</v>
      </c>
      <c r="C362" s="3" t="s">
        <v>700</v>
      </c>
      <c r="D362" s="3" t="s">
        <v>1656</v>
      </c>
      <c r="E362" s="3">
        <v>70000</v>
      </c>
    </row>
    <row r="363" spans="1:5" x14ac:dyDescent="0.3">
      <c r="A363" s="3">
        <v>9660002112</v>
      </c>
      <c r="B363" s="3">
        <v>3900</v>
      </c>
      <c r="C363" s="3" t="s">
        <v>796</v>
      </c>
      <c r="D363" s="3" t="s">
        <v>1704</v>
      </c>
      <c r="E363" s="3">
        <v>20000</v>
      </c>
    </row>
    <row r="364" spans="1:5" x14ac:dyDescent="0.3">
      <c r="A364" s="3">
        <v>9660002112</v>
      </c>
      <c r="B364" s="3">
        <v>3960</v>
      </c>
      <c r="C364" s="3" t="s">
        <v>808</v>
      </c>
      <c r="D364" s="3" t="s">
        <v>1710</v>
      </c>
      <c r="E364" s="3">
        <v>30000</v>
      </c>
    </row>
    <row r="365" spans="1:5" x14ac:dyDescent="0.3">
      <c r="A365" s="3">
        <v>9660002112</v>
      </c>
      <c r="B365" s="3">
        <v>4120</v>
      </c>
      <c r="C365" s="3" t="s">
        <v>840</v>
      </c>
      <c r="D365" s="3" t="s">
        <v>1726</v>
      </c>
      <c r="E365" s="3">
        <v>100000</v>
      </c>
    </row>
    <row r="366" spans="1:5" x14ac:dyDescent="0.3">
      <c r="A366" s="3">
        <v>9660002112</v>
      </c>
      <c r="B366" s="3">
        <v>4730</v>
      </c>
      <c r="C366" s="3" t="s">
        <v>963</v>
      </c>
      <c r="D366" s="3" t="s">
        <v>1787</v>
      </c>
      <c r="E366" s="3">
        <v>135000</v>
      </c>
    </row>
    <row r="367" spans="1:5" x14ac:dyDescent="0.3">
      <c r="A367" s="3">
        <v>9660002112</v>
      </c>
      <c r="B367" s="3">
        <v>5390</v>
      </c>
      <c r="C367" s="3" t="s">
        <v>1095</v>
      </c>
      <c r="D367" s="3" t="s">
        <v>1853</v>
      </c>
      <c r="E367" s="3">
        <v>105000</v>
      </c>
    </row>
    <row r="368" spans="1:5" x14ac:dyDescent="0.3">
      <c r="A368" s="3">
        <v>9660002112</v>
      </c>
      <c r="B368" s="3">
        <v>5440</v>
      </c>
      <c r="C368" s="3" t="s">
        <v>1106</v>
      </c>
      <c r="D368" s="3" t="s">
        <v>1858</v>
      </c>
      <c r="E368" s="3">
        <v>2000</v>
      </c>
    </row>
    <row r="369" spans="1:5" x14ac:dyDescent="0.3">
      <c r="A369" s="3">
        <v>9660002112</v>
      </c>
      <c r="B369" s="3">
        <v>5620</v>
      </c>
      <c r="C369" s="3" t="s">
        <v>1144</v>
      </c>
      <c r="D369" s="3" t="s">
        <v>1876</v>
      </c>
      <c r="E369" s="3">
        <v>20000</v>
      </c>
    </row>
    <row r="370" spans="1:5" x14ac:dyDescent="0.3">
      <c r="A370" s="3">
        <v>9660002112</v>
      </c>
      <c r="B370" s="3">
        <v>5750</v>
      </c>
      <c r="C370" s="3" t="s">
        <v>1170</v>
      </c>
      <c r="D370" s="3" t="s">
        <v>1889</v>
      </c>
      <c r="E370" s="3">
        <v>10000</v>
      </c>
    </row>
    <row r="371" spans="1:5" x14ac:dyDescent="0.3">
      <c r="A371" s="3">
        <v>9660002112</v>
      </c>
      <c r="B371" s="3">
        <v>5930</v>
      </c>
      <c r="C371" s="3" t="s">
        <v>1210</v>
      </c>
      <c r="D371" s="3" t="s">
        <v>1907</v>
      </c>
      <c r="E371" s="3">
        <v>60000</v>
      </c>
    </row>
    <row r="372" spans="1:5" x14ac:dyDescent="0.3">
      <c r="A372" s="3">
        <v>9660002112</v>
      </c>
      <c r="B372" s="3">
        <v>6070</v>
      </c>
      <c r="C372" s="3" t="s">
        <v>1240</v>
      </c>
      <c r="D372" s="3" t="s">
        <v>1920</v>
      </c>
      <c r="E372" s="3">
        <v>2000</v>
      </c>
    </row>
    <row r="373" spans="1:5" x14ac:dyDescent="0.3">
      <c r="A373" s="3">
        <v>9660002112</v>
      </c>
      <c r="B373" s="3">
        <v>6170</v>
      </c>
      <c r="C373" s="3" t="s">
        <v>1260</v>
      </c>
      <c r="D373" s="3" t="s">
        <v>1930</v>
      </c>
      <c r="E373" s="3">
        <v>50000</v>
      </c>
    </row>
    <row r="374" spans="1:5" x14ac:dyDescent="0.3">
      <c r="A374" s="3">
        <v>9660002112</v>
      </c>
      <c r="B374" s="3">
        <v>6180</v>
      </c>
      <c r="C374" s="3" t="s">
        <v>1262</v>
      </c>
      <c r="D374" s="3" t="s">
        <v>1931</v>
      </c>
      <c r="E374" s="3">
        <v>66000</v>
      </c>
    </row>
    <row r="375" spans="1:5" x14ac:dyDescent="0.3">
      <c r="A375" s="3">
        <v>9660002112</v>
      </c>
      <c r="B375" s="3">
        <v>6270</v>
      </c>
      <c r="C375" s="3" t="s">
        <v>1280</v>
      </c>
      <c r="D375" s="3" t="s">
        <v>1940</v>
      </c>
      <c r="E375" s="3">
        <v>48000</v>
      </c>
    </row>
    <row r="376" spans="1:5" x14ac:dyDescent="0.3">
      <c r="A376" s="3">
        <v>9660002112</v>
      </c>
      <c r="B376" s="3">
        <v>6330</v>
      </c>
      <c r="C376" s="3" t="s">
        <v>1293</v>
      </c>
      <c r="D376" s="3" t="s">
        <v>1946</v>
      </c>
      <c r="E376" s="3">
        <v>17000</v>
      </c>
    </row>
    <row r="377" spans="1:5" x14ac:dyDescent="0.3">
      <c r="A377" s="3">
        <v>9660002112</v>
      </c>
      <c r="B377" s="3">
        <v>380</v>
      </c>
      <c r="C377" s="3" t="s">
        <v>78</v>
      </c>
      <c r="D377" s="3" t="s">
        <v>1354</v>
      </c>
      <c r="E377" s="3">
        <v>800</v>
      </c>
    </row>
    <row r="378" spans="1:5" x14ac:dyDescent="0.3">
      <c r="A378" s="3">
        <v>9660002112</v>
      </c>
      <c r="B378" s="3">
        <v>400</v>
      </c>
      <c r="C378" s="3" t="s">
        <v>83</v>
      </c>
      <c r="D378" s="3" t="s">
        <v>1356</v>
      </c>
      <c r="E378" s="3">
        <v>15750</v>
      </c>
    </row>
    <row r="379" spans="1:5" x14ac:dyDescent="0.3">
      <c r="A379" s="3">
        <v>9660002112</v>
      </c>
      <c r="B379" s="3">
        <v>420</v>
      </c>
      <c r="C379" s="3" t="s">
        <v>87</v>
      </c>
      <c r="D379" s="3" t="s">
        <v>1358</v>
      </c>
      <c r="E379" s="3">
        <v>19800</v>
      </c>
    </row>
    <row r="380" spans="1:5" x14ac:dyDescent="0.3">
      <c r="A380" s="3">
        <v>9660002112</v>
      </c>
      <c r="B380" s="3">
        <v>1240</v>
      </c>
      <c r="C380" s="3" t="s">
        <v>257</v>
      </c>
      <c r="D380" s="3" t="s">
        <v>1439</v>
      </c>
      <c r="E380" s="3">
        <v>15000</v>
      </c>
    </row>
    <row r="381" spans="1:5" x14ac:dyDescent="0.3">
      <c r="A381" s="3">
        <v>9660002112</v>
      </c>
      <c r="B381" s="3">
        <v>1570</v>
      </c>
      <c r="C381" s="3" t="s">
        <v>325</v>
      </c>
      <c r="D381" s="3" t="s">
        <v>1471</v>
      </c>
      <c r="E381" s="3">
        <v>132000</v>
      </c>
    </row>
    <row r="382" spans="1:5" x14ac:dyDescent="0.3">
      <c r="A382" s="3">
        <v>9660002112</v>
      </c>
      <c r="B382" s="3">
        <v>2080</v>
      </c>
      <c r="C382" s="3" t="s">
        <v>432</v>
      </c>
      <c r="D382" s="3" t="s">
        <v>1522</v>
      </c>
      <c r="E382" s="3">
        <v>150000</v>
      </c>
    </row>
    <row r="383" spans="1:5" x14ac:dyDescent="0.3">
      <c r="A383" s="3">
        <v>9660002112</v>
      </c>
      <c r="B383" s="3">
        <v>2140</v>
      </c>
      <c r="C383" s="3" t="s">
        <v>444</v>
      </c>
      <c r="D383" s="3" t="s">
        <v>1528</v>
      </c>
      <c r="E383" s="3">
        <v>60000</v>
      </c>
    </row>
    <row r="384" spans="1:5" x14ac:dyDescent="0.3">
      <c r="A384" s="3">
        <v>9660002112</v>
      </c>
      <c r="B384" s="3">
        <v>2250</v>
      </c>
      <c r="C384" s="3" t="s">
        <v>466</v>
      </c>
      <c r="D384" s="3" t="s">
        <v>1539</v>
      </c>
      <c r="E384" s="3">
        <v>210000</v>
      </c>
    </row>
    <row r="385" spans="1:5" x14ac:dyDescent="0.3">
      <c r="A385" s="3">
        <v>9660002112</v>
      </c>
      <c r="B385" s="3">
        <v>2330</v>
      </c>
      <c r="C385" s="3" t="s">
        <v>482</v>
      </c>
      <c r="D385" s="3" t="s">
        <v>1547</v>
      </c>
      <c r="E385" s="3">
        <v>330000</v>
      </c>
    </row>
    <row r="386" spans="1:5" x14ac:dyDescent="0.3">
      <c r="A386" s="3">
        <v>9660002112</v>
      </c>
      <c r="B386" s="3">
        <v>2350</v>
      </c>
      <c r="C386" s="3" t="s">
        <v>486</v>
      </c>
      <c r="D386" s="3" t="s">
        <v>1549</v>
      </c>
      <c r="E386" s="3">
        <v>60000</v>
      </c>
    </row>
    <row r="387" spans="1:5" x14ac:dyDescent="0.3">
      <c r="A387" s="3">
        <v>9660002112</v>
      </c>
      <c r="B387" s="3">
        <v>2360</v>
      </c>
      <c r="C387" s="3" t="s">
        <v>488</v>
      </c>
      <c r="D387" s="3" t="s">
        <v>1550</v>
      </c>
      <c r="E387" s="3">
        <v>70000</v>
      </c>
    </row>
    <row r="388" spans="1:5" x14ac:dyDescent="0.3">
      <c r="A388" s="3">
        <v>9660002112</v>
      </c>
      <c r="B388" s="3">
        <v>2380</v>
      </c>
      <c r="C388" s="3" t="s">
        <v>492</v>
      </c>
      <c r="D388" s="3" t="s">
        <v>1552</v>
      </c>
      <c r="E388" s="3">
        <v>250000</v>
      </c>
    </row>
    <row r="389" spans="1:5" x14ac:dyDescent="0.3">
      <c r="A389" s="3">
        <v>9660002112</v>
      </c>
      <c r="B389" s="3">
        <v>2390</v>
      </c>
      <c r="C389" s="3" t="s">
        <v>494</v>
      </c>
      <c r="D389" s="3" t="s">
        <v>1553</v>
      </c>
      <c r="E389" s="3">
        <v>170000</v>
      </c>
    </row>
    <row r="390" spans="1:5" x14ac:dyDescent="0.3">
      <c r="A390" s="3">
        <v>9660002112</v>
      </c>
      <c r="B390" s="3">
        <v>2400</v>
      </c>
      <c r="C390" s="3" t="s">
        <v>496</v>
      </c>
      <c r="D390" s="3" t="s">
        <v>1554</v>
      </c>
      <c r="E390" s="3">
        <v>130000</v>
      </c>
    </row>
    <row r="391" spans="1:5" x14ac:dyDescent="0.3">
      <c r="A391" s="3">
        <v>9660002112</v>
      </c>
      <c r="B391" s="3">
        <v>2470</v>
      </c>
      <c r="C391" s="3" t="s">
        <v>510</v>
      </c>
      <c r="D391" s="3" t="s">
        <v>1561</v>
      </c>
      <c r="E391" s="3">
        <v>190000</v>
      </c>
    </row>
    <row r="392" spans="1:5" x14ac:dyDescent="0.3">
      <c r="A392" s="3">
        <v>9660002112</v>
      </c>
      <c r="B392" s="3">
        <v>2480</v>
      </c>
      <c r="C392" s="3" t="s">
        <v>512</v>
      </c>
      <c r="D392" s="3" t="s">
        <v>1562</v>
      </c>
      <c r="E392" s="3">
        <v>60000</v>
      </c>
    </row>
    <row r="393" spans="1:5" x14ac:dyDescent="0.3">
      <c r="A393" s="3">
        <v>9660002112</v>
      </c>
      <c r="B393" s="3">
        <v>2500</v>
      </c>
      <c r="C393" s="3" t="s">
        <v>516</v>
      </c>
      <c r="D393" s="3" t="s">
        <v>1564</v>
      </c>
      <c r="E393" s="3">
        <v>140000</v>
      </c>
    </row>
    <row r="394" spans="1:5" x14ac:dyDescent="0.3">
      <c r="A394" s="3">
        <v>9660002112</v>
      </c>
      <c r="B394" s="3">
        <v>2510</v>
      </c>
      <c r="C394" s="3" t="s">
        <v>518</v>
      </c>
      <c r="D394" s="3" t="s">
        <v>1565</v>
      </c>
      <c r="E394" s="3">
        <v>45000</v>
      </c>
    </row>
    <row r="395" spans="1:5" x14ac:dyDescent="0.3">
      <c r="A395" s="3">
        <v>9660002112</v>
      </c>
      <c r="B395" s="3">
        <v>4320</v>
      </c>
      <c r="C395" s="3" t="s">
        <v>880</v>
      </c>
      <c r="D395" s="3" t="s">
        <v>1746</v>
      </c>
      <c r="E395" s="3">
        <v>300000</v>
      </c>
    </row>
    <row r="396" spans="1:5" x14ac:dyDescent="0.3">
      <c r="A396" s="3">
        <v>9660002112</v>
      </c>
      <c r="B396" s="3">
        <v>4330</v>
      </c>
      <c r="C396" s="3" t="s">
        <v>882</v>
      </c>
      <c r="D396" s="3" t="s">
        <v>1747</v>
      </c>
      <c r="E396" s="3">
        <v>100000</v>
      </c>
    </row>
    <row r="397" spans="1:5" x14ac:dyDescent="0.3">
      <c r="A397" s="3">
        <v>9660002112</v>
      </c>
      <c r="B397" s="3">
        <v>4360</v>
      </c>
      <c r="C397" s="3" t="s">
        <v>888</v>
      </c>
      <c r="D397" s="3" t="s">
        <v>1750</v>
      </c>
      <c r="E397" s="3">
        <v>40000</v>
      </c>
    </row>
    <row r="398" spans="1:5" x14ac:dyDescent="0.3">
      <c r="A398" s="3">
        <v>9660002112</v>
      </c>
      <c r="B398" s="3">
        <v>4400</v>
      </c>
      <c r="C398" s="3" t="s">
        <v>896</v>
      </c>
      <c r="D398" s="3" t="s">
        <v>1754</v>
      </c>
      <c r="E398" s="3">
        <v>190000</v>
      </c>
    </row>
    <row r="399" spans="1:5" x14ac:dyDescent="0.3">
      <c r="A399" s="3">
        <v>9660002112</v>
      </c>
      <c r="B399" s="3">
        <v>4410</v>
      </c>
      <c r="C399" s="3" t="s">
        <v>898</v>
      </c>
      <c r="D399" s="3" t="s">
        <v>1755</v>
      </c>
      <c r="E399" s="3">
        <v>190000</v>
      </c>
    </row>
    <row r="400" spans="1:5" x14ac:dyDescent="0.3">
      <c r="A400" s="3">
        <v>9660002112</v>
      </c>
      <c r="B400" s="3">
        <v>4450</v>
      </c>
      <c r="C400" s="3" t="s">
        <v>906</v>
      </c>
      <c r="D400" s="3" t="s">
        <v>1759</v>
      </c>
      <c r="E400" s="3">
        <v>240000</v>
      </c>
    </row>
    <row r="401" spans="1:5" x14ac:dyDescent="0.3">
      <c r="A401" s="3">
        <v>9660002112</v>
      </c>
      <c r="B401" s="3">
        <v>4460</v>
      </c>
      <c r="C401" s="3" t="s">
        <v>908</v>
      </c>
      <c r="D401" s="3" t="s">
        <v>1760</v>
      </c>
      <c r="E401" s="3">
        <v>20000</v>
      </c>
    </row>
    <row r="402" spans="1:5" x14ac:dyDescent="0.3">
      <c r="A402" s="3">
        <v>9660002112</v>
      </c>
      <c r="B402" s="3">
        <v>4740</v>
      </c>
      <c r="C402" s="3" t="s">
        <v>965</v>
      </c>
      <c r="D402" s="3" t="s">
        <v>1788</v>
      </c>
      <c r="E402" s="3">
        <v>135000</v>
      </c>
    </row>
    <row r="403" spans="1:5" x14ac:dyDescent="0.3">
      <c r="A403" s="3">
        <v>9660002112</v>
      </c>
      <c r="B403" s="3">
        <v>4910</v>
      </c>
      <c r="C403" s="3" t="s">
        <v>999</v>
      </c>
      <c r="D403" s="3" t="s">
        <v>1805</v>
      </c>
      <c r="E403" s="3">
        <v>15000</v>
      </c>
    </row>
    <row r="404" spans="1:5" x14ac:dyDescent="0.3">
      <c r="A404" s="3">
        <v>9660002112</v>
      </c>
      <c r="B404" s="3">
        <v>4950</v>
      </c>
      <c r="C404" s="3" t="s">
        <v>1007</v>
      </c>
      <c r="D404" s="3" t="s">
        <v>1809</v>
      </c>
      <c r="E404" s="3">
        <v>336000</v>
      </c>
    </row>
    <row r="405" spans="1:5" x14ac:dyDescent="0.3">
      <c r="A405" s="3">
        <v>9660002112</v>
      </c>
      <c r="B405" s="3">
        <v>4960</v>
      </c>
      <c r="C405" s="3" t="s">
        <v>1009</v>
      </c>
      <c r="D405" s="3" t="s">
        <v>1810</v>
      </c>
      <c r="E405" s="3">
        <v>450000</v>
      </c>
    </row>
    <row r="406" spans="1:5" x14ac:dyDescent="0.3">
      <c r="A406" s="3">
        <v>9660002112</v>
      </c>
      <c r="B406" s="3">
        <v>5380</v>
      </c>
      <c r="C406" s="3" t="s">
        <v>1093</v>
      </c>
      <c r="D406" s="3" t="s">
        <v>1852</v>
      </c>
      <c r="E406" s="3">
        <v>90000</v>
      </c>
    </row>
    <row r="407" spans="1:5" x14ac:dyDescent="0.3">
      <c r="A407" s="3">
        <v>9660002112</v>
      </c>
      <c r="B407" s="3">
        <v>4900</v>
      </c>
      <c r="C407" s="3" t="s">
        <v>997</v>
      </c>
      <c r="D407" s="3" t="s">
        <v>1804</v>
      </c>
      <c r="E407" s="3">
        <v>10000</v>
      </c>
    </row>
    <row r="408" spans="1:5" x14ac:dyDescent="0.3">
      <c r="A408" s="3">
        <v>9660002112</v>
      </c>
      <c r="B408" s="3">
        <v>430</v>
      </c>
      <c r="C408" s="3" t="s">
        <v>90</v>
      </c>
      <c r="D408" s="3" t="s">
        <v>1359</v>
      </c>
      <c r="E408" s="3">
        <v>4950</v>
      </c>
    </row>
    <row r="409" spans="1:5" x14ac:dyDescent="0.3">
      <c r="A409" s="3">
        <v>9660002112</v>
      </c>
      <c r="B409" s="3">
        <v>860</v>
      </c>
      <c r="C409" s="3" t="s">
        <v>180</v>
      </c>
      <c r="D409" s="3" t="s">
        <v>1401</v>
      </c>
      <c r="E409" s="3">
        <v>44100</v>
      </c>
    </row>
    <row r="410" spans="1:5" x14ac:dyDescent="0.3">
      <c r="A410" s="3">
        <v>9660002112</v>
      </c>
      <c r="B410" s="3">
        <v>1010</v>
      </c>
      <c r="C410" s="3" t="s">
        <v>211</v>
      </c>
      <c r="D410" s="3" t="s">
        <v>1416</v>
      </c>
      <c r="E410" s="3">
        <v>62500</v>
      </c>
    </row>
    <row r="411" spans="1:5" x14ac:dyDescent="0.3">
      <c r="A411" s="3">
        <v>9660002112</v>
      </c>
      <c r="B411" s="3">
        <v>870</v>
      </c>
      <c r="C411" s="3" t="s">
        <v>182</v>
      </c>
      <c r="D411" s="3" t="s">
        <v>1402</v>
      </c>
      <c r="E411" s="3">
        <v>42000</v>
      </c>
    </row>
    <row r="412" spans="1:5" x14ac:dyDescent="0.3">
      <c r="A412" s="3">
        <v>9660002112</v>
      </c>
      <c r="B412" s="3">
        <v>950</v>
      </c>
      <c r="C412" s="3" t="s">
        <v>198</v>
      </c>
      <c r="D412" s="3" t="s">
        <v>1410</v>
      </c>
      <c r="E412" s="3">
        <v>2000</v>
      </c>
    </row>
    <row r="413" spans="1:5" x14ac:dyDescent="0.3">
      <c r="A413" s="3">
        <v>9660002112</v>
      </c>
      <c r="B413" s="3">
        <v>6140</v>
      </c>
      <c r="C413" s="3" t="s">
        <v>1254</v>
      </c>
      <c r="D413" s="3" t="s">
        <v>1927</v>
      </c>
      <c r="E413" s="3">
        <v>30000</v>
      </c>
    </row>
    <row r="414" spans="1:5" x14ac:dyDescent="0.3">
      <c r="A414" s="3">
        <v>9660002112</v>
      </c>
      <c r="B414" s="3">
        <v>6290</v>
      </c>
      <c r="C414" s="3" t="s">
        <v>1284</v>
      </c>
      <c r="D414" s="3" t="s">
        <v>1942</v>
      </c>
      <c r="E414" s="3">
        <v>63000</v>
      </c>
    </row>
    <row r="415" spans="1:5" x14ac:dyDescent="0.3">
      <c r="A415" s="3">
        <v>9660002112</v>
      </c>
      <c r="B415" s="3">
        <v>6300</v>
      </c>
      <c r="C415" s="3" t="s">
        <v>1286</v>
      </c>
      <c r="D415" s="3" t="s">
        <v>1943</v>
      </c>
      <c r="E415" s="3">
        <v>3600</v>
      </c>
    </row>
    <row r="416" spans="1:5" x14ac:dyDescent="0.3">
      <c r="A416" s="3">
        <v>9660002112</v>
      </c>
      <c r="B416" s="3">
        <v>5530</v>
      </c>
      <c r="C416" s="3" t="s">
        <v>1124</v>
      </c>
      <c r="D416" s="3" t="s">
        <v>1867</v>
      </c>
      <c r="E416" s="3">
        <v>3500</v>
      </c>
    </row>
    <row r="417" spans="1:5" x14ac:dyDescent="0.3">
      <c r="A417" s="3">
        <v>9660002112</v>
      </c>
      <c r="B417" s="3">
        <v>1410</v>
      </c>
      <c r="C417" s="3" t="s">
        <v>291</v>
      </c>
      <c r="D417" s="3" t="s">
        <v>1455</v>
      </c>
      <c r="E417" s="3">
        <v>6000</v>
      </c>
    </row>
    <row r="418" spans="1:5" x14ac:dyDescent="0.3">
      <c r="A418" s="3">
        <v>9660002112</v>
      </c>
      <c r="B418" s="3">
        <v>100</v>
      </c>
      <c r="C418" s="3" t="s">
        <v>26</v>
      </c>
      <c r="D418" s="3" t="s">
        <v>1335</v>
      </c>
      <c r="E418" s="3">
        <v>9080</v>
      </c>
    </row>
    <row r="419" spans="1:5" x14ac:dyDescent="0.3">
      <c r="A419" s="3">
        <v>9660002112</v>
      </c>
      <c r="B419" s="3">
        <v>110</v>
      </c>
      <c r="C419" s="3" t="s">
        <v>28</v>
      </c>
      <c r="D419" s="3" t="s">
        <v>1336</v>
      </c>
      <c r="E419" s="3">
        <v>9080</v>
      </c>
    </row>
    <row r="420" spans="1:5" x14ac:dyDescent="0.3">
      <c r="A420" s="3">
        <v>9660002112</v>
      </c>
      <c r="B420" s="3">
        <v>90</v>
      </c>
      <c r="C420" s="3" t="s">
        <v>24</v>
      </c>
      <c r="D420" s="3" t="s">
        <v>1334</v>
      </c>
      <c r="E420" s="3">
        <v>9080</v>
      </c>
    </row>
    <row r="421" spans="1:5" x14ac:dyDescent="0.3">
      <c r="A421" s="3">
        <v>9660002112</v>
      </c>
      <c r="B421" s="3">
        <v>80</v>
      </c>
      <c r="C421" s="3" t="s">
        <v>22</v>
      </c>
      <c r="D421" s="3" t="s">
        <v>1333</v>
      </c>
      <c r="E421" s="3">
        <v>9080</v>
      </c>
    </row>
    <row r="422" spans="1:5" x14ac:dyDescent="0.3">
      <c r="A422" s="3">
        <v>9660002112</v>
      </c>
      <c r="B422" s="3">
        <v>670</v>
      </c>
      <c r="C422" s="3" t="s">
        <v>142</v>
      </c>
      <c r="D422" s="3" t="s">
        <v>1382</v>
      </c>
      <c r="E422" s="3">
        <v>3000</v>
      </c>
    </row>
    <row r="423" spans="1:5" x14ac:dyDescent="0.3">
      <c r="A423" s="3">
        <v>9660002112</v>
      </c>
      <c r="B423" s="3">
        <v>680</v>
      </c>
      <c r="C423" s="3" t="s">
        <v>144</v>
      </c>
      <c r="D423" s="3" t="s">
        <v>1383</v>
      </c>
      <c r="E423" s="3">
        <v>1500</v>
      </c>
    </row>
    <row r="424" spans="1:5" x14ac:dyDescent="0.3">
      <c r="A424" s="3">
        <v>9660002112</v>
      </c>
      <c r="B424" s="3">
        <v>1310</v>
      </c>
      <c r="C424" s="3" t="s">
        <v>271</v>
      </c>
      <c r="D424" s="3" t="s">
        <v>1446</v>
      </c>
      <c r="E424" s="3">
        <v>18000</v>
      </c>
    </row>
    <row r="425" spans="1:5" x14ac:dyDescent="0.3">
      <c r="A425" s="3">
        <v>9660002112</v>
      </c>
      <c r="B425" s="3">
        <v>5720</v>
      </c>
      <c r="C425" s="3" t="s">
        <v>1164</v>
      </c>
      <c r="D425" s="3" t="s">
        <v>1886</v>
      </c>
      <c r="E425" s="3">
        <v>50000</v>
      </c>
    </row>
    <row r="426" spans="1:5" x14ac:dyDescent="0.3">
      <c r="A426" s="3">
        <v>9660002112</v>
      </c>
      <c r="B426" s="3">
        <v>1330</v>
      </c>
      <c r="C426" s="3" t="s">
        <v>275</v>
      </c>
      <c r="D426" s="3" t="s">
        <v>1448</v>
      </c>
      <c r="E426" s="3">
        <v>77500</v>
      </c>
    </row>
    <row r="427" spans="1:5" x14ac:dyDescent="0.3">
      <c r="A427" s="3">
        <v>9660002112</v>
      </c>
      <c r="B427" s="3">
        <v>6310</v>
      </c>
      <c r="C427" s="3" t="s">
        <v>1288</v>
      </c>
      <c r="D427" s="3" t="s">
        <v>1944</v>
      </c>
      <c r="E427" s="3">
        <v>20000</v>
      </c>
    </row>
    <row r="428" spans="1:5" x14ac:dyDescent="0.3">
      <c r="A428" s="3">
        <v>9660002112</v>
      </c>
      <c r="B428" s="3">
        <v>1470</v>
      </c>
      <c r="C428" s="3" t="s">
        <v>304</v>
      </c>
      <c r="D428" s="3" t="s">
        <v>1461</v>
      </c>
      <c r="E428" s="3">
        <v>75000</v>
      </c>
    </row>
    <row r="429" spans="1:5" x14ac:dyDescent="0.3">
      <c r="A429" s="3">
        <v>9660002112</v>
      </c>
      <c r="B429" s="3">
        <v>1650</v>
      </c>
      <c r="C429" s="3" t="s">
        <v>341</v>
      </c>
      <c r="D429" s="3" t="s">
        <v>1479</v>
      </c>
      <c r="E429" s="3">
        <v>145000</v>
      </c>
    </row>
    <row r="430" spans="1:5" x14ac:dyDescent="0.3">
      <c r="A430" s="3">
        <v>9660002112</v>
      </c>
      <c r="B430" s="3">
        <v>1630</v>
      </c>
      <c r="C430" s="3" t="s">
        <v>337</v>
      </c>
      <c r="D430" s="3" t="s">
        <v>1477</v>
      </c>
      <c r="E430" s="3">
        <v>3000</v>
      </c>
    </row>
    <row r="431" spans="1:5" x14ac:dyDescent="0.3">
      <c r="A431" s="3">
        <v>9660002112</v>
      </c>
      <c r="B431" s="3">
        <v>1640</v>
      </c>
      <c r="C431" s="3" t="s">
        <v>339</v>
      </c>
      <c r="D431" s="3" t="s">
        <v>1478</v>
      </c>
      <c r="E431" s="3">
        <v>72000</v>
      </c>
    </row>
    <row r="432" spans="1:5" x14ac:dyDescent="0.3">
      <c r="A432" s="3">
        <v>9660002112</v>
      </c>
      <c r="B432" s="3">
        <v>1730</v>
      </c>
      <c r="C432" s="3" t="s">
        <v>357</v>
      </c>
      <c r="D432" s="3" t="s">
        <v>1487</v>
      </c>
      <c r="E432" s="3">
        <v>45000</v>
      </c>
    </row>
    <row r="433" spans="1:5" x14ac:dyDescent="0.3">
      <c r="A433" s="3">
        <v>9660002112</v>
      </c>
      <c r="B433" s="3">
        <v>1740</v>
      </c>
      <c r="C433" s="3" t="s">
        <v>360</v>
      </c>
      <c r="D433" s="3" t="s">
        <v>1488</v>
      </c>
      <c r="E433" s="3">
        <v>35000</v>
      </c>
    </row>
    <row r="434" spans="1:5" x14ac:dyDescent="0.3">
      <c r="A434" s="3">
        <v>9660002112</v>
      </c>
      <c r="B434" s="3">
        <v>2590</v>
      </c>
      <c r="C434" s="3" t="s">
        <v>534</v>
      </c>
      <c r="D434" s="3" t="s">
        <v>1573</v>
      </c>
      <c r="E434" s="3">
        <v>40000</v>
      </c>
    </row>
    <row r="435" spans="1:5" x14ac:dyDescent="0.3">
      <c r="A435" s="3">
        <v>9660002112</v>
      </c>
      <c r="B435" s="3">
        <v>3150</v>
      </c>
      <c r="C435" s="3" t="s">
        <v>646</v>
      </c>
      <c r="D435" s="3" t="s">
        <v>1629</v>
      </c>
      <c r="E435" s="3">
        <v>10000</v>
      </c>
    </row>
    <row r="436" spans="1:5" x14ac:dyDescent="0.3">
      <c r="A436" s="3">
        <v>9660002112</v>
      </c>
      <c r="B436" s="3">
        <v>4600</v>
      </c>
      <c r="C436" s="3" t="s">
        <v>937</v>
      </c>
      <c r="D436" s="3" t="s">
        <v>1774</v>
      </c>
      <c r="E436" s="3">
        <v>105000</v>
      </c>
    </row>
    <row r="437" spans="1:5" x14ac:dyDescent="0.3">
      <c r="A437" s="3">
        <v>9660002112</v>
      </c>
      <c r="B437" s="3">
        <v>4770</v>
      </c>
      <c r="C437" s="3" t="s">
        <v>971</v>
      </c>
      <c r="D437" s="3" t="s">
        <v>1791</v>
      </c>
      <c r="E437" s="3">
        <v>40000</v>
      </c>
    </row>
    <row r="438" spans="1:5" x14ac:dyDescent="0.3">
      <c r="A438" s="3">
        <v>9660002112</v>
      </c>
      <c r="B438" s="3">
        <v>1700</v>
      </c>
      <c r="C438" s="3" t="s">
        <v>351</v>
      </c>
      <c r="D438" s="3" t="s">
        <v>1484</v>
      </c>
      <c r="E438" s="3">
        <v>204000</v>
      </c>
    </row>
    <row r="439" spans="1:5" x14ac:dyDescent="0.3">
      <c r="A439" s="3">
        <v>9660002112</v>
      </c>
      <c r="B439" s="3">
        <v>1960</v>
      </c>
      <c r="C439" s="3" t="s">
        <v>408</v>
      </c>
      <c r="D439" s="3" t="s">
        <v>1510</v>
      </c>
      <c r="E439" s="3">
        <v>10000</v>
      </c>
    </row>
    <row r="440" spans="1:5" x14ac:dyDescent="0.3">
      <c r="A440" s="3">
        <v>9660002112</v>
      </c>
      <c r="B440" s="3">
        <v>3300</v>
      </c>
      <c r="C440" s="3" t="s">
        <v>676</v>
      </c>
      <c r="D440" s="3" t="s">
        <v>1644</v>
      </c>
      <c r="E440" s="3">
        <v>10000</v>
      </c>
    </row>
    <row r="441" spans="1:5" x14ac:dyDescent="0.3">
      <c r="A441" s="3">
        <v>9660002112</v>
      </c>
      <c r="B441" s="3">
        <v>4870</v>
      </c>
      <c r="C441" s="3" t="s">
        <v>991</v>
      </c>
      <c r="D441" s="3" t="s">
        <v>1801</v>
      </c>
      <c r="E441" s="3">
        <v>15000</v>
      </c>
    </row>
    <row r="442" spans="1:5" x14ac:dyDescent="0.3">
      <c r="A442" s="3">
        <v>9660002112</v>
      </c>
      <c r="B442" s="3">
        <v>5610</v>
      </c>
      <c r="C442" s="3" t="s">
        <v>1141</v>
      </c>
      <c r="D442" s="3" t="s">
        <v>1875</v>
      </c>
      <c r="E442" s="3">
        <v>9000</v>
      </c>
    </row>
    <row r="443" spans="1:5" x14ac:dyDescent="0.3">
      <c r="A443" s="3">
        <v>9660002112</v>
      </c>
      <c r="B443" s="3">
        <v>5890</v>
      </c>
      <c r="C443" s="3" t="s">
        <v>1200</v>
      </c>
      <c r="D443" s="3" t="s">
        <v>1903</v>
      </c>
      <c r="E443" s="3">
        <v>65000</v>
      </c>
    </row>
    <row r="444" spans="1:5" x14ac:dyDescent="0.3">
      <c r="A444" s="3">
        <v>9660002112</v>
      </c>
      <c r="B444" s="3">
        <v>1250</v>
      </c>
      <c r="C444" s="3" t="s">
        <v>259</v>
      </c>
      <c r="D444" s="3" t="s">
        <v>1440</v>
      </c>
      <c r="E444" s="3">
        <v>2500</v>
      </c>
    </row>
    <row r="445" spans="1:5" x14ac:dyDescent="0.3">
      <c r="A445" s="3">
        <v>9660002112</v>
      </c>
      <c r="B445" s="3">
        <v>3620</v>
      </c>
      <c r="C445" s="3" t="s">
        <v>740</v>
      </c>
      <c r="D445" s="3" t="s">
        <v>1676</v>
      </c>
      <c r="E445" s="3">
        <v>10000</v>
      </c>
    </row>
    <row r="446" spans="1:5" x14ac:dyDescent="0.3">
      <c r="A446" s="3">
        <v>9660002112</v>
      </c>
      <c r="B446" s="3">
        <v>60</v>
      </c>
      <c r="C446" s="3" t="s">
        <v>18</v>
      </c>
      <c r="D446" s="3" t="s">
        <v>1331</v>
      </c>
      <c r="E446" s="3">
        <v>9080</v>
      </c>
    </row>
    <row r="447" spans="1:5" x14ac:dyDescent="0.3">
      <c r="A447" s="3">
        <v>9660002112</v>
      </c>
      <c r="B447" s="3">
        <v>1340</v>
      </c>
      <c r="C447" s="3" t="s">
        <v>277</v>
      </c>
      <c r="D447" s="3" t="s">
        <v>1449</v>
      </c>
      <c r="E447" s="3">
        <v>15000</v>
      </c>
    </row>
    <row r="448" spans="1:5" x14ac:dyDescent="0.3">
      <c r="A448" s="3">
        <v>9660002112</v>
      </c>
      <c r="B448" s="3">
        <v>1900</v>
      </c>
      <c r="C448" s="3" t="s">
        <v>395</v>
      </c>
      <c r="D448" s="3" t="s">
        <v>1504</v>
      </c>
      <c r="E448" s="3">
        <v>15000</v>
      </c>
    </row>
    <row r="449" spans="1:5" x14ac:dyDescent="0.3">
      <c r="A449" s="3">
        <v>9660002112</v>
      </c>
      <c r="B449" s="3">
        <v>2010</v>
      </c>
      <c r="C449" s="3" t="s">
        <v>418</v>
      </c>
      <c r="D449" s="3" t="s">
        <v>1515</v>
      </c>
      <c r="E449" s="3">
        <v>30000</v>
      </c>
    </row>
    <row r="450" spans="1:5" x14ac:dyDescent="0.3">
      <c r="A450" s="3">
        <v>9660002112</v>
      </c>
      <c r="B450" s="3">
        <v>2020</v>
      </c>
      <c r="C450" s="3" t="s">
        <v>420</v>
      </c>
      <c r="D450" s="3" t="s">
        <v>1516</v>
      </c>
      <c r="E450" s="3">
        <v>20000</v>
      </c>
    </row>
    <row r="451" spans="1:5" x14ac:dyDescent="0.3">
      <c r="A451" s="3">
        <v>9660002112</v>
      </c>
      <c r="B451" s="3">
        <v>2340</v>
      </c>
      <c r="C451" s="3" t="s">
        <v>484</v>
      </c>
      <c r="D451" s="3" t="s">
        <v>1548</v>
      </c>
      <c r="E451" s="3">
        <v>30000</v>
      </c>
    </row>
    <row r="452" spans="1:5" x14ac:dyDescent="0.3">
      <c r="A452">
        <v>9660002112</v>
      </c>
      <c r="B452">
        <v>2370</v>
      </c>
      <c r="C452" t="s">
        <v>490</v>
      </c>
      <c r="D452" t="s">
        <v>1551</v>
      </c>
      <c r="E452">
        <v>20000</v>
      </c>
    </row>
    <row r="453" spans="1:5" x14ac:dyDescent="0.3">
      <c r="A453">
        <v>9660002112</v>
      </c>
      <c r="B453">
        <v>2430</v>
      </c>
      <c r="C453" t="s">
        <v>502</v>
      </c>
      <c r="D453" t="s">
        <v>1557</v>
      </c>
      <c r="E453">
        <v>480000</v>
      </c>
    </row>
    <row r="454" spans="1:5" x14ac:dyDescent="0.3">
      <c r="A454">
        <v>9660002112</v>
      </c>
      <c r="B454">
        <v>2440</v>
      </c>
      <c r="C454" t="s">
        <v>504</v>
      </c>
      <c r="D454" t="s">
        <v>1558</v>
      </c>
      <c r="E454">
        <v>50000</v>
      </c>
    </row>
    <row r="455" spans="1:5" x14ac:dyDescent="0.3">
      <c r="A455">
        <v>9660002112</v>
      </c>
      <c r="B455">
        <v>2540</v>
      </c>
      <c r="C455" t="s">
        <v>524</v>
      </c>
      <c r="D455" t="s">
        <v>1568</v>
      </c>
      <c r="E455">
        <v>70000</v>
      </c>
    </row>
    <row r="456" spans="1:5" x14ac:dyDescent="0.3">
      <c r="A456">
        <v>9660002112</v>
      </c>
      <c r="B456">
        <v>4310</v>
      </c>
      <c r="C456" t="s">
        <v>878</v>
      </c>
      <c r="D456" t="s">
        <v>1745</v>
      </c>
      <c r="E456">
        <v>40000</v>
      </c>
    </row>
    <row r="457" spans="1:5" x14ac:dyDescent="0.3">
      <c r="A457">
        <v>9660002112</v>
      </c>
      <c r="B457">
        <v>4340</v>
      </c>
      <c r="C457" t="s">
        <v>884</v>
      </c>
      <c r="D457" t="s">
        <v>1748</v>
      </c>
      <c r="E457">
        <v>20000</v>
      </c>
    </row>
    <row r="458" spans="1:5" x14ac:dyDescent="0.3">
      <c r="A458">
        <v>9660002112</v>
      </c>
      <c r="B458">
        <v>4430</v>
      </c>
      <c r="C458" t="s">
        <v>902</v>
      </c>
      <c r="D458" t="s">
        <v>1757</v>
      </c>
      <c r="E458">
        <v>120000</v>
      </c>
    </row>
    <row r="459" spans="1:5" x14ac:dyDescent="0.3">
      <c r="A459">
        <v>9660002112</v>
      </c>
      <c r="B459">
        <v>4480</v>
      </c>
      <c r="C459" t="s">
        <v>913</v>
      </c>
      <c r="D459" t="s">
        <v>1762</v>
      </c>
      <c r="E459">
        <v>165000</v>
      </c>
    </row>
    <row r="460" spans="1:5" x14ac:dyDescent="0.3">
      <c r="A460">
        <v>9660002112</v>
      </c>
      <c r="B460">
        <v>4580</v>
      </c>
      <c r="C460" t="s">
        <v>933</v>
      </c>
      <c r="D460" t="s">
        <v>1772</v>
      </c>
      <c r="E460">
        <v>225000</v>
      </c>
    </row>
    <row r="461" spans="1:5" x14ac:dyDescent="0.3">
      <c r="A461">
        <v>9660002112</v>
      </c>
      <c r="B461">
        <v>4640</v>
      </c>
      <c r="C461" t="s">
        <v>945</v>
      </c>
      <c r="D461" t="s">
        <v>1778</v>
      </c>
      <c r="E461">
        <v>90000</v>
      </c>
    </row>
    <row r="462" spans="1:5" x14ac:dyDescent="0.3">
      <c r="A462">
        <v>9660002112</v>
      </c>
      <c r="B462">
        <v>4880</v>
      </c>
      <c r="C462" t="s">
        <v>993</v>
      </c>
      <c r="D462" t="s">
        <v>1802</v>
      </c>
      <c r="E462">
        <v>465000</v>
      </c>
    </row>
    <row r="463" spans="1:5" x14ac:dyDescent="0.3">
      <c r="A463">
        <v>9660002112</v>
      </c>
      <c r="B463">
        <v>4920</v>
      </c>
      <c r="C463" t="s">
        <v>1001</v>
      </c>
      <c r="D463" t="s">
        <v>1806</v>
      </c>
      <c r="E463">
        <v>21000</v>
      </c>
    </row>
    <row r="464" spans="1:5" x14ac:dyDescent="0.3">
      <c r="A464">
        <v>9660002112</v>
      </c>
      <c r="B464">
        <v>5000</v>
      </c>
      <c r="C464" t="s">
        <v>1017</v>
      </c>
      <c r="D464" t="s">
        <v>1814</v>
      </c>
      <c r="E464">
        <v>190000</v>
      </c>
    </row>
    <row r="465" spans="1:5" x14ac:dyDescent="0.3">
      <c r="A465">
        <v>9660002112</v>
      </c>
      <c r="B465">
        <v>5680</v>
      </c>
      <c r="C465" t="s">
        <v>1156</v>
      </c>
      <c r="D465" t="s">
        <v>1882</v>
      </c>
      <c r="E465">
        <v>60000</v>
      </c>
    </row>
    <row r="466" spans="1:5" x14ac:dyDescent="0.3">
      <c r="A466">
        <v>9660002112</v>
      </c>
      <c r="B466">
        <v>1040</v>
      </c>
      <c r="C466" t="s">
        <v>217</v>
      </c>
      <c r="D466" t="s">
        <v>1419</v>
      </c>
      <c r="E466">
        <v>42000</v>
      </c>
    </row>
    <row r="467" spans="1:5" x14ac:dyDescent="0.3">
      <c r="A467">
        <v>9660002112</v>
      </c>
      <c r="B467">
        <v>1050</v>
      </c>
      <c r="C467" t="s">
        <v>219</v>
      </c>
      <c r="D467" t="s">
        <v>1420</v>
      </c>
      <c r="E467">
        <v>24000</v>
      </c>
    </row>
    <row r="468" spans="1:5" x14ac:dyDescent="0.3">
      <c r="A468">
        <v>9660002112</v>
      </c>
      <c r="B468">
        <v>1300</v>
      </c>
      <c r="C468" t="s">
        <v>269</v>
      </c>
      <c r="D468" t="s">
        <v>1445</v>
      </c>
      <c r="E468">
        <v>17500</v>
      </c>
    </row>
    <row r="469" spans="1:5" x14ac:dyDescent="0.3">
      <c r="A469">
        <v>9660002112</v>
      </c>
      <c r="B469">
        <v>1690</v>
      </c>
      <c r="C469" t="s">
        <v>349</v>
      </c>
      <c r="D469" t="s">
        <v>1483</v>
      </c>
      <c r="E469">
        <v>10000</v>
      </c>
    </row>
    <row r="470" spans="1:5" x14ac:dyDescent="0.3">
      <c r="A470">
        <v>9660002112</v>
      </c>
      <c r="B470">
        <v>2700</v>
      </c>
      <c r="C470" t="s">
        <v>556</v>
      </c>
      <c r="D470" t="s">
        <v>1584</v>
      </c>
      <c r="E470">
        <v>70000</v>
      </c>
    </row>
    <row r="471" spans="1:5" x14ac:dyDescent="0.3">
      <c r="A471">
        <v>9660002112</v>
      </c>
      <c r="B471">
        <v>2730</v>
      </c>
      <c r="C471" t="s">
        <v>562</v>
      </c>
      <c r="D471" t="s">
        <v>1587</v>
      </c>
      <c r="E471">
        <v>20000</v>
      </c>
    </row>
    <row r="472" spans="1:5" x14ac:dyDescent="0.3">
      <c r="A472">
        <v>9660002112</v>
      </c>
      <c r="B472">
        <v>3610</v>
      </c>
      <c r="C472" t="s">
        <v>738</v>
      </c>
      <c r="D472" t="s">
        <v>1675</v>
      </c>
      <c r="E472">
        <v>10000</v>
      </c>
    </row>
    <row r="473" spans="1:5" x14ac:dyDescent="0.3">
      <c r="A473">
        <v>9660002112</v>
      </c>
      <c r="B473">
        <v>3640</v>
      </c>
      <c r="C473" t="s">
        <v>744</v>
      </c>
      <c r="D473" t="s">
        <v>1678</v>
      </c>
      <c r="E473">
        <v>10000</v>
      </c>
    </row>
    <row r="474" spans="1:5" x14ac:dyDescent="0.3">
      <c r="A474">
        <v>9660002112</v>
      </c>
      <c r="B474">
        <v>5790</v>
      </c>
      <c r="C474" t="s">
        <v>1178</v>
      </c>
      <c r="D474" t="s">
        <v>1893</v>
      </c>
      <c r="E474">
        <v>77000</v>
      </c>
    </row>
    <row r="475" spans="1:5" x14ac:dyDescent="0.3">
      <c r="A475">
        <v>9660002112</v>
      </c>
      <c r="B475">
        <v>460</v>
      </c>
      <c r="C475" t="s">
        <v>96</v>
      </c>
      <c r="D475" t="s">
        <v>1361</v>
      </c>
      <c r="E475">
        <v>4000</v>
      </c>
    </row>
    <row r="476" spans="1:5" x14ac:dyDescent="0.3">
      <c r="A476">
        <v>9660002112</v>
      </c>
      <c r="B476">
        <v>6190</v>
      </c>
      <c r="C476" t="s">
        <v>1264</v>
      </c>
      <c r="D476" t="s">
        <v>1932</v>
      </c>
      <c r="E476">
        <v>24000</v>
      </c>
    </row>
    <row r="477" spans="1:5" x14ac:dyDescent="0.3">
      <c r="A477">
        <v>9660002112</v>
      </c>
      <c r="B477">
        <v>6200</v>
      </c>
      <c r="C477" t="s">
        <v>1266</v>
      </c>
      <c r="D477" t="s">
        <v>1933</v>
      </c>
      <c r="E477">
        <v>72000</v>
      </c>
    </row>
    <row r="478" spans="1:5" x14ac:dyDescent="0.3">
      <c r="A478">
        <v>9660002112</v>
      </c>
      <c r="B478">
        <v>6340</v>
      </c>
      <c r="C478" t="s">
        <v>1296</v>
      </c>
      <c r="D478" t="s">
        <v>1947</v>
      </c>
      <c r="E478">
        <v>37500</v>
      </c>
    </row>
    <row r="479" spans="1:5" x14ac:dyDescent="0.3">
      <c r="A479">
        <v>9660002112</v>
      </c>
      <c r="B479">
        <v>1430</v>
      </c>
      <c r="C479" t="s">
        <v>295</v>
      </c>
      <c r="D479" t="s">
        <v>1457</v>
      </c>
      <c r="E479">
        <v>3000</v>
      </c>
    </row>
    <row r="480" spans="1:5" x14ac:dyDescent="0.3">
      <c r="A480">
        <v>9660002112</v>
      </c>
      <c r="B480">
        <v>730</v>
      </c>
      <c r="C480" t="s">
        <v>154</v>
      </c>
      <c r="D480" t="s">
        <v>1388</v>
      </c>
      <c r="E480">
        <v>36000</v>
      </c>
    </row>
    <row r="481" spans="1:5" x14ac:dyDescent="0.3">
      <c r="A481">
        <v>9660002112</v>
      </c>
      <c r="B481">
        <v>6460</v>
      </c>
      <c r="C481" t="s">
        <v>1321</v>
      </c>
      <c r="D481" t="s">
        <v>1959</v>
      </c>
      <c r="E481">
        <v>1000</v>
      </c>
    </row>
    <row r="482" spans="1:5" x14ac:dyDescent="0.3">
      <c r="A482">
        <v>9660002112</v>
      </c>
      <c r="B482">
        <v>6470</v>
      </c>
      <c r="C482" t="s">
        <v>1323</v>
      </c>
      <c r="D482" t="s">
        <v>1960</v>
      </c>
      <c r="E482">
        <v>1000</v>
      </c>
    </row>
    <row r="483" spans="1:5" x14ac:dyDescent="0.3">
      <c r="A483">
        <v>9660002112</v>
      </c>
      <c r="B483">
        <v>410</v>
      </c>
      <c r="C483" t="s">
        <v>85</v>
      </c>
      <c r="D483" t="s">
        <v>1357</v>
      </c>
      <c r="E483">
        <v>2400</v>
      </c>
    </row>
    <row r="484" spans="1:5" x14ac:dyDescent="0.3">
      <c r="A484">
        <v>9660002112</v>
      </c>
      <c r="B484">
        <v>530</v>
      </c>
      <c r="C484" t="s">
        <v>110</v>
      </c>
      <c r="D484" t="s">
        <v>1368</v>
      </c>
      <c r="E484">
        <v>4800</v>
      </c>
    </row>
    <row r="485" spans="1:5" x14ac:dyDescent="0.3">
      <c r="A485">
        <v>9660002112</v>
      </c>
      <c r="B485">
        <v>580</v>
      </c>
      <c r="C485" t="s">
        <v>121</v>
      </c>
      <c r="D485" t="s">
        <v>1373</v>
      </c>
      <c r="E485">
        <v>3511</v>
      </c>
    </row>
    <row r="486" spans="1:5" x14ac:dyDescent="0.3">
      <c r="A486">
        <v>9660002112</v>
      </c>
      <c r="B486">
        <v>590</v>
      </c>
      <c r="C486" t="s">
        <v>124</v>
      </c>
      <c r="D486" t="s">
        <v>1374</v>
      </c>
      <c r="E486">
        <v>2569</v>
      </c>
    </row>
    <row r="487" spans="1:5" x14ac:dyDescent="0.3">
      <c r="A487">
        <v>9660002112</v>
      </c>
      <c r="B487">
        <v>600</v>
      </c>
      <c r="C487" t="s">
        <v>126</v>
      </c>
      <c r="D487" t="s">
        <v>1375</v>
      </c>
      <c r="E487">
        <v>3000</v>
      </c>
    </row>
    <row r="488" spans="1:5" x14ac:dyDescent="0.3">
      <c r="A488">
        <v>9660002112</v>
      </c>
      <c r="B488">
        <v>610</v>
      </c>
      <c r="C488" t="s">
        <v>128</v>
      </c>
      <c r="D488" t="s">
        <v>1376</v>
      </c>
      <c r="E488">
        <v>2134</v>
      </c>
    </row>
    <row r="489" spans="1:5" x14ac:dyDescent="0.3">
      <c r="A489">
        <v>9660002112</v>
      </c>
      <c r="B489">
        <v>620</v>
      </c>
      <c r="C489" t="s">
        <v>130</v>
      </c>
      <c r="D489" t="s">
        <v>1377</v>
      </c>
      <c r="E489">
        <v>2000</v>
      </c>
    </row>
    <row r="490" spans="1:5" x14ac:dyDescent="0.3">
      <c r="A490">
        <v>9660002112</v>
      </c>
      <c r="B490">
        <v>630</v>
      </c>
      <c r="C490" t="s">
        <v>132</v>
      </c>
      <c r="D490" t="s">
        <v>1378</v>
      </c>
      <c r="E490">
        <v>3000</v>
      </c>
    </row>
    <row r="491" spans="1:5" x14ac:dyDescent="0.3">
      <c r="A491">
        <v>9660002112</v>
      </c>
      <c r="B491">
        <v>690</v>
      </c>
      <c r="C491" t="s">
        <v>146</v>
      </c>
      <c r="D491" t="s">
        <v>1384</v>
      </c>
      <c r="E491">
        <v>2500</v>
      </c>
    </row>
    <row r="492" spans="1:5" x14ac:dyDescent="0.3">
      <c r="A492">
        <v>9660002112</v>
      </c>
      <c r="B492">
        <v>710</v>
      </c>
      <c r="C492" t="s">
        <v>150</v>
      </c>
      <c r="D492" t="s">
        <v>1386</v>
      </c>
      <c r="E492">
        <v>3000</v>
      </c>
    </row>
    <row r="493" spans="1:5" x14ac:dyDescent="0.3">
      <c r="A493">
        <v>9660002112</v>
      </c>
      <c r="B493">
        <v>1170</v>
      </c>
      <c r="C493" t="s">
        <v>243</v>
      </c>
      <c r="D493" t="s">
        <v>1432</v>
      </c>
      <c r="E493">
        <v>45000</v>
      </c>
    </row>
    <row r="494" spans="1:5" x14ac:dyDescent="0.3">
      <c r="A494">
        <v>9660002112</v>
      </c>
      <c r="B494">
        <v>1230</v>
      </c>
      <c r="C494" t="s">
        <v>255</v>
      </c>
      <c r="D494" t="s">
        <v>1438</v>
      </c>
      <c r="E494">
        <v>48000</v>
      </c>
    </row>
    <row r="495" spans="1:5" x14ac:dyDescent="0.3">
      <c r="A495">
        <v>9660002112</v>
      </c>
      <c r="B495">
        <v>1270</v>
      </c>
      <c r="C495" t="s">
        <v>263</v>
      </c>
      <c r="D495" t="s">
        <v>1442</v>
      </c>
      <c r="E495">
        <v>3000</v>
      </c>
    </row>
    <row r="496" spans="1:5" x14ac:dyDescent="0.3">
      <c r="A496">
        <v>9660002112</v>
      </c>
      <c r="B496">
        <v>340</v>
      </c>
      <c r="C496" t="s">
        <v>68</v>
      </c>
      <c r="D496" t="s">
        <v>1350</v>
      </c>
      <c r="E496">
        <v>4900</v>
      </c>
    </row>
    <row r="497" spans="1:5" x14ac:dyDescent="0.3">
      <c r="A497">
        <v>9660002112</v>
      </c>
      <c r="B497">
        <v>1360</v>
      </c>
      <c r="C497" t="s">
        <v>281</v>
      </c>
      <c r="D497" t="s">
        <v>1450</v>
      </c>
      <c r="E497">
        <v>36000</v>
      </c>
    </row>
    <row r="498" spans="1:5" x14ac:dyDescent="0.3">
      <c r="A498">
        <v>9660002112</v>
      </c>
      <c r="B498">
        <v>1380</v>
      </c>
      <c r="C498" t="s">
        <v>285</v>
      </c>
      <c r="D498" t="s">
        <v>1452</v>
      </c>
      <c r="E498">
        <v>45000</v>
      </c>
    </row>
    <row r="499" spans="1:5" x14ac:dyDescent="0.3">
      <c r="A499">
        <v>9660002112</v>
      </c>
      <c r="B499">
        <v>1390</v>
      </c>
      <c r="C499" t="s">
        <v>287</v>
      </c>
      <c r="D499" t="s">
        <v>1453</v>
      </c>
      <c r="E499">
        <v>15000</v>
      </c>
    </row>
    <row r="500" spans="1:5" x14ac:dyDescent="0.3">
      <c r="A500">
        <v>9660002112</v>
      </c>
      <c r="B500">
        <v>1400</v>
      </c>
      <c r="C500" t="s">
        <v>289</v>
      </c>
      <c r="D500" t="s">
        <v>1454</v>
      </c>
      <c r="E500">
        <v>5000</v>
      </c>
    </row>
    <row r="501" spans="1:5" x14ac:dyDescent="0.3">
      <c r="A501">
        <v>9660002112</v>
      </c>
      <c r="B501">
        <v>1660</v>
      </c>
      <c r="C501" t="s">
        <v>343</v>
      </c>
      <c r="D501" t="s">
        <v>1480</v>
      </c>
      <c r="E501">
        <v>5000</v>
      </c>
    </row>
    <row r="502" spans="1:5" x14ac:dyDescent="0.3">
      <c r="A502">
        <v>9660002112</v>
      </c>
      <c r="B502">
        <v>1780</v>
      </c>
      <c r="C502" t="s">
        <v>370</v>
      </c>
      <c r="D502" t="s">
        <v>1492</v>
      </c>
      <c r="E502">
        <v>6000</v>
      </c>
    </row>
    <row r="503" spans="1:5" x14ac:dyDescent="0.3">
      <c r="A503">
        <v>9660002112</v>
      </c>
      <c r="B503">
        <v>1880</v>
      </c>
      <c r="C503" t="s">
        <v>391</v>
      </c>
      <c r="D503" t="s">
        <v>1502</v>
      </c>
      <c r="E503">
        <v>3000</v>
      </c>
    </row>
    <row r="504" spans="1:5" x14ac:dyDescent="0.3">
      <c r="A504">
        <v>9660002112</v>
      </c>
      <c r="B504">
        <v>1910</v>
      </c>
      <c r="C504" t="s">
        <v>397</v>
      </c>
      <c r="D504" t="s">
        <v>1505</v>
      </c>
      <c r="E504">
        <v>50000</v>
      </c>
    </row>
    <row r="505" spans="1:5" x14ac:dyDescent="0.3">
      <c r="A505">
        <v>9660002112</v>
      </c>
      <c r="B505">
        <v>1990</v>
      </c>
      <c r="C505" t="s">
        <v>414</v>
      </c>
      <c r="D505" t="s">
        <v>1513</v>
      </c>
      <c r="E505">
        <v>10000</v>
      </c>
    </row>
    <row r="506" spans="1:5" x14ac:dyDescent="0.3">
      <c r="A506">
        <v>9660002112</v>
      </c>
      <c r="B506">
        <v>2210</v>
      </c>
      <c r="C506" t="s">
        <v>458</v>
      </c>
      <c r="D506" t="s">
        <v>1535</v>
      </c>
      <c r="E506">
        <v>100000</v>
      </c>
    </row>
    <row r="507" spans="1:5" x14ac:dyDescent="0.3">
      <c r="A507">
        <v>9660002112</v>
      </c>
      <c r="B507">
        <v>2240</v>
      </c>
      <c r="C507" t="s">
        <v>464</v>
      </c>
      <c r="D507" t="s">
        <v>1538</v>
      </c>
      <c r="E507">
        <v>10000</v>
      </c>
    </row>
    <row r="508" spans="1:5" x14ac:dyDescent="0.3">
      <c r="A508">
        <v>9660002112</v>
      </c>
      <c r="B508">
        <v>2460</v>
      </c>
      <c r="C508" t="s">
        <v>508</v>
      </c>
      <c r="D508" t="s">
        <v>1560</v>
      </c>
      <c r="E508">
        <v>40000</v>
      </c>
    </row>
    <row r="509" spans="1:5" x14ac:dyDescent="0.3">
      <c r="A509">
        <v>9660002112</v>
      </c>
      <c r="B509">
        <v>2520</v>
      </c>
      <c r="C509" t="s">
        <v>520</v>
      </c>
      <c r="D509" t="s">
        <v>1566</v>
      </c>
      <c r="E509">
        <v>30000</v>
      </c>
    </row>
    <row r="510" spans="1:5" x14ac:dyDescent="0.3">
      <c r="A510">
        <v>9660002112</v>
      </c>
      <c r="B510">
        <v>2690</v>
      </c>
      <c r="C510" t="s">
        <v>554</v>
      </c>
      <c r="D510" t="s">
        <v>1583</v>
      </c>
      <c r="E510">
        <v>300000</v>
      </c>
    </row>
    <row r="511" spans="1:5" x14ac:dyDescent="0.3">
      <c r="A511">
        <v>9660002112</v>
      </c>
      <c r="B511">
        <v>3140</v>
      </c>
      <c r="C511" t="s">
        <v>644</v>
      </c>
      <c r="D511" t="s">
        <v>1628</v>
      </c>
      <c r="E511">
        <v>50000</v>
      </c>
    </row>
    <row r="512" spans="1:5" x14ac:dyDescent="0.3">
      <c r="A512">
        <v>9660002112</v>
      </c>
      <c r="B512">
        <v>3470</v>
      </c>
      <c r="C512" t="s">
        <v>710</v>
      </c>
      <c r="D512" t="s">
        <v>1661</v>
      </c>
      <c r="E512">
        <v>10000</v>
      </c>
    </row>
    <row r="513" spans="1:5" x14ac:dyDescent="0.3">
      <c r="A513">
        <v>9660002112</v>
      </c>
      <c r="B513">
        <v>3510</v>
      </c>
      <c r="C513" t="s">
        <v>718</v>
      </c>
      <c r="D513" t="s">
        <v>1665</v>
      </c>
      <c r="E513">
        <v>10000</v>
      </c>
    </row>
    <row r="514" spans="1:5" x14ac:dyDescent="0.3">
      <c r="A514">
        <v>9660002112</v>
      </c>
      <c r="B514">
        <v>3690</v>
      </c>
      <c r="C514" t="s">
        <v>754</v>
      </c>
      <c r="D514" t="s">
        <v>1683</v>
      </c>
      <c r="E514">
        <v>20000</v>
      </c>
    </row>
    <row r="515" spans="1:5" x14ac:dyDescent="0.3">
      <c r="A515">
        <v>9660002112</v>
      </c>
      <c r="B515">
        <v>3800</v>
      </c>
      <c r="C515" t="s">
        <v>776</v>
      </c>
      <c r="D515" t="s">
        <v>1694</v>
      </c>
      <c r="E515">
        <v>10000</v>
      </c>
    </row>
    <row r="516" spans="1:5" x14ac:dyDescent="0.3">
      <c r="A516">
        <v>9660002112</v>
      </c>
      <c r="B516">
        <v>3880</v>
      </c>
      <c r="C516" t="s">
        <v>792</v>
      </c>
      <c r="D516" t="s">
        <v>1702</v>
      </c>
      <c r="E516">
        <v>10000</v>
      </c>
    </row>
    <row r="517" spans="1:5" x14ac:dyDescent="0.3">
      <c r="A517">
        <v>9660002112</v>
      </c>
      <c r="B517">
        <v>4260</v>
      </c>
      <c r="C517" t="s">
        <v>868</v>
      </c>
      <c r="D517" t="s">
        <v>1740</v>
      </c>
      <c r="E517">
        <v>10000</v>
      </c>
    </row>
    <row r="518" spans="1:5" x14ac:dyDescent="0.3">
      <c r="A518">
        <v>9660002112</v>
      </c>
      <c r="B518">
        <v>4550</v>
      </c>
      <c r="C518" t="s">
        <v>927</v>
      </c>
      <c r="D518" t="s">
        <v>1769</v>
      </c>
      <c r="E518">
        <v>195000</v>
      </c>
    </row>
    <row r="519" spans="1:5" x14ac:dyDescent="0.3">
      <c r="A519">
        <v>9660002112</v>
      </c>
      <c r="B519">
        <v>4570</v>
      </c>
      <c r="C519" t="s">
        <v>931</v>
      </c>
      <c r="D519" t="s">
        <v>1771</v>
      </c>
      <c r="E519">
        <v>345000</v>
      </c>
    </row>
    <row r="520" spans="1:5" x14ac:dyDescent="0.3">
      <c r="A520">
        <v>9660002112</v>
      </c>
      <c r="B520">
        <v>4670</v>
      </c>
      <c r="C520" t="s">
        <v>951</v>
      </c>
      <c r="D520" t="s">
        <v>1781</v>
      </c>
      <c r="E520">
        <v>195000</v>
      </c>
    </row>
    <row r="521" spans="1:5" x14ac:dyDescent="0.3">
      <c r="A521">
        <v>9660002112</v>
      </c>
      <c r="B521">
        <v>4710</v>
      </c>
      <c r="C521" t="s">
        <v>959</v>
      </c>
      <c r="D521" t="s">
        <v>1785</v>
      </c>
      <c r="E521">
        <v>8000</v>
      </c>
    </row>
    <row r="522" spans="1:5" x14ac:dyDescent="0.3">
      <c r="A522">
        <v>9660002112</v>
      </c>
      <c r="B522">
        <v>4840</v>
      </c>
      <c r="C522" t="s">
        <v>985</v>
      </c>
      <c r="D522" t="s">
        <v>1798</v>
      </c>
      <c r="E522">
        <v>795000</v>
      </c>
    </row>
    <row r="523" spans="1:5" x14ac:dyDescent="0.3">
      <c r="A523">
        <v>9660002112</v>
      </c>
      <c r="B523">
        <v>5550</v>
      </c>
      <c r="C523" t="s">
        <v>1128</v>
      </c>
      <c r="D523" t="s">
        <v>1869</v>
      </c>
      <c r="E523">
        <v>4000</v>
      </c>
    </row>
    <row r="524" spans="1:5" x14ac:dyDescent="0.3">
      <c r="A524">
        <v>9660002112</v>
      </c>
      <c r="B524">
        <v>5580</v>
      </c>
      <c r="C524" t="s">
        <v>1135</v>
      </c>
      <c r="D524" t="s">
        <v>1872</v>
      </c>
      <c r="E524">
        <v>10000</v>
      </c>
    </row>
    <row r="525" spans="1:5" x14ac:dyDescent="0.3">
      <c r="A525">
        <v>9660002112</v>
      </c>
      <c r="B525">
        <v>5800</v>
      </c>
      <c r="C525" t="s">
        <v>1180</v>
      </c>
      <c r="D525" t="s">
        <v>1894</v>
      </c>
      <c r="E525">
        <v>8000</v>
      </c>
    </row>
    <row r="526" spans="1:5" x14ac:dyDescent="0.3">
      <c r="A526">
        <v>9660002112</v>
      </c>
      <c r="B526">
        <v>5810</v>
      </c>
      <c r="C526" t="s">
        <v>1182</v>
      </c>
      <c r="D526" t="s">
        <v>1895</v>
      </c>
      <c r="E526">
        <v>10000</v>
      </c>
    </row>
    <row r="527" spans="1:5" x14ac:dyDescent="0.3">
      <c r="A527">
        <v>9660002112</v>
      </c>
      <c r="B527">
        <v>5730</v>
      </c>
      <c r="C527" t="s">
        <v>1166</v>
      </c>
      <c r="D527" t="s">
        <v>1887</v>
      </c>
      <c r="E527">
        <v>4000</v>
      </c>
    </row>
    <row r="528" spans="1:5" x14ac:dyDescent="0.3">
      <c r="A528">
        <v>9660002112</v>
      </c>
      <c r="B528">
        <v>5820</v>
      </c>
      <c r="C528" t="s">
        <v>1184</v>
      </c>
      <c r="D528" t="s">
        <v>1896</v>
      </c>
      <c r="E528">
        <v>45000</v>
      </c>
    </row>
    <row r="529" spans="1:5" x14ac:dyDescent="0.3">
      <c r="A529">
        <v>9660002112</v>
      </c>
      <c r="B529">
        <v>5830</v>
      </c>
      <c r="C529" t="s">
        <v>1186</v>
      </c>
      <c r="D529" t="s">
        <v>1897</v>
      </c>
      <c r="E529">
        <v>50000</v>
      </c>
    </row>
    <row r="530" spans="1:5" x14ac:dyDescent="0.3">
      <c r="A530">
        <v>9660002112</v>
      </c>
      <c r="B530">
        <v>6210</v>
      </c>
      <c r="C530" t="s">
        <v>1268</v>
      </c>
      <c r="D530" t="s">
        <v>1934</v>
      </c>
      <c r="E530">
        <v>2500</v>
      </c>
    </row>
    <row r="531" spans="1:5" x14ac:dyDescent="0.3">
      <c r="A531">
        <v>9660002112</v>
      </c>
      <c r="B531">
        <v>6350</v>
      </c>
      <c r="C531" t="s">
        <v>1298</v>
      </c>
      <c r="D531" t="s">
        <v>1948</v>
      </c>
      <c r="E531">
        <v>7500</v>
      </c>
    </row>
    <row r="532" spans="1:5" x14ac:dyDescent="0.3">
      <c r="A532">
        <v>9660002112</v>
      </c>
      <c r="B532">
        <v>6450</v>
      </c>
      <c r="C532" t="s">
        <v>1318</v>
      </c>
      <c r="D532" t="s">
        <v>1958</v>
      </c>
      <c r="E532">
        <v>26520</v>
      </c>
    </row>
    <row r="533" spans="1:5" x14ac:dyDescent="0.3">
      <c r="A533">
        <v>9660002112</v>
      </c>
      <c r="B533">
        <v>740</v>
      </c>
      <c r="C533" t="s">
        <v>156</v>
      </c>
      <c r="D533" t="s">
        <v>1389</v>
      </c>
      <c r="E533">
        <v>3000</v>
      </c>
    </row>
    <row r="534" spans="1:5" x14ac:dyDescent="0.3">
      <c r="A534">
        <v>9660002112</v>
      </c>
      <c r="B534">
        <v>2600</v>
      </c>
      <c r="C534" t="s">
        <v>536</v>
      </c>
      <c r="D534" t="s">
        <v>1574</v>
      </c>
      <c r="E534">
        <v>90000</v>
      </c>
    </row>
    <row r="535" spans="1:5" x14ac:dyDescent="0.3">
      <c r="A535">
        <v>9660002112</v>
      </c>
      <c r="B535">
        <v>2720</v>
      </c>
      <c r="C535" t="s">
        <v>560</v>
      </c>
      <c r="D535" t="s">
        <v>1586</v>
      </c>
      <c r="E535">
        <v>90000</v>
      </c>
    </row>
    <row r="536" spans="1:5" x14ac:dyDescent="0.3">
      <c r="A536">
        <v>9660002112</v>
      </c>
      <c r="B536">
        <v>3590</v>
      </c>
      <c r="C536" t="s">
        <v>734</v>
      </c>
      <c r="D536" t="s">
        <v>1673</v>
      </c>
      <c r="E536">
        <v>50000</v>
      </c>
    </row>
    <row r="537" spans="1:5" x14ac:dyDescent="0.3">
      <c r="A537">
        <v>9660002112</v>
      </c>
      <c r="B537">
        <v>3730</v>
      </c>
      <c r="C537" t="s">
        <v>762</v>
      </c>
      <c r="D537" t="s">
        <v>1687</v>
      </c>
      <c r="E537">
        <v>50000</v>
      </c>
    </row>
    <row r="538" spans="1:5" x14ac:dyDescent="0.3">
      <c r="A538">
        <v>9660002112</v>
      </c>
      <c r="B538">
        <v>3860</v>
      </c>
      <c r="C538" t="s">
        <v>788</v>
      </c>
      <c r="D538" t="s">
        <v>1700</v>
      </c>
      <c r="E538">
        <v>50000</v>
      </c>
    </row>
    <row r="539" spans="1:5" x14ac:dyDescent="0.3">
      <c r="A539">
        <v>9660002112</v>
      </c>
      <c r="B539">
        <v>4680</v>
      </c>
      <c r="C539" t="s">
        <v>953</v>
      </c>
      <c r="D539" t="s">
        <v>1782</v>
      </c>
      <c r="E539">
        <v>15000</v>
      </c>
    </row>
    <row r="540" spans="1:5" x14ac:dyDescent="0.3">
      <c r="A540">
        <v>9660002112</v>
      </c>
      <c r="B540">
        <v>4930</v>
      </c>
      <c r="C540" t="s">
        <v>1003</v>
      </c>
      <c r="D540" t="s">
        <v>1807</v>
      </c>
      <c r="E540">
        <v>40000</v>
      </c>
    </row>
    <row r="541" spans="1:5" x14ac:dyDescent="0.3">
      <c r="A541">
        <v>9660002112</v>
      </c>
      <c r="B541">
        <v>5760</v>
      </c>
      <c r="C541" t="s">
        <v>1172</v>
      </c>
      <c r="D541" t="s">
        <v>1890</v>
      </c>
      <c r="E541">
        <v>241500</v>
      </c>
    </row>
    <row r="542" spans="1:5" x14ac:dyDescent="0.3">
      <c r="A542">
        <v>9660002112</v>
      </c>
      <c r="B542">
        <v>2310</v>
      </c>
      <c r="C542" t="s">
        <v>478</v>
      </c>
      <c r="D542" t="s">
        <v>1545</v>
      </c>
      <c r="E542">
        <v>480000</v>
      </c>
    </row>
    <row r="543" spans="1:5" x14ac:dyDescent="0.3">
      <c r="A543">
        <v>9660002112</v>
      </c>
      <c r="B543">
        <v>5360</v>
      </c>
      <c r="C543" t="s">
        <v>1089</v>
      </c>
      <c r="D543" t="s">
        <v>1850</v>
      </c>
      <c r="E543">
        <v>140000</v>
      </c>
    </row>
    <row r="544" spans="1:5" x14ac:dyDescent="0.3">
      <c r="A544">
        <v>9660002112</v>
      </c>
      <c r="B544">
        <v>560</v>
      </c>
      <c r="C544" t="s">
        <v>116</v>
      </c>
      <c r="D544" t="s">
        <v>1371</v>
      </c>
      <c r="E544">
        <v>42800</v>
      </c>
    </row>
    <row r="545" spans="1:5" x14ac:dyDescent="0.3">
      <c r="A545">
        <v>9660002112</v>
      </c>
      <c r="B545">
        <v>1200</v>
      </c>
      <c r="C545" t="s">
        <v>249</v>
      </c>
      <c r="D545" t="s">
        <v>1435</v>
      </c>
      <c r="E545">
        <v>44044</v>
      </c>
    </row>
    <row r="546" spans="1:5" x14ac:dyDescent="0.3">
      <c r="A546">
        <v>9660002112</v>
      </c>
      <c r="B546">
        <v>3220</v>
      </c>
      <c r="C546" t="s">
        <v>660</v>
      </c>
      <c r="D546" t="s">
        <v>1636</v>
      </c>
      <c r="E546">
        <v>50000</v>
      </c>
    </row>
    <row r="547" spans="1:5" x14ac:dyDescent="0.3">
      <c r="A547">
        <v>9660002112</v>
      </c>
      <c r="B547">
        <v>6150</v>
      </c>
      <c r="C547" t="s">
        <v>1256</v>
      </c>
      <c r="D547" t="s">
        <v>1928</v>
      </c>
      <c r="E547">
        <v>36000</v>
      </c>
    </row>
    <row r="548" spans="1:5" x14ac:dyDescent="0.3">
      <c r="A548">
        <v>9660002112</v>
      </c>
      <c r="B548">
        <v>6160</v>
      </c>
      <c r="C548" t="s">
        <v>1258</v>
      </c>
      <c r="D548" t="s">
        <v>1929</v>
      </c>
      <c r="E548">
        <v>50000</v>
      </c>
    </row>
    <row r="549" spans="1:5" x14ac:dyDescent="0.3">
      <c r="A549">
        <v>9660002112</v>
      </c>
      <c r="B549">
        <v>6360</v>
      </c>
      <c r="C549" t="s">
        <v>1300</v>
      </c>
      <c r="D549" t="s">
        <v>1949</v>
      </c>
      <c r="E549">
        <v>1600</v>
      </c>
    </row>
  </sheetData>
  <autoFilter ref="A1:E549">
    <sortState ref="A2:F549">
      <sortCondition ref="D1:D549"/>
    </sortState>
  </autoFilter>
  <phoneticPr fontId="18" type="noConversion"/>
  <conditionalFormatting sqref="Q1:Q2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 9660002112 ACER EE Sep&amp;Oct S</vt:lpstr>
      <vt:lpstr>工作表2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Paiva de Almeida</dc:creator>
  <cp:lastModifiedBy>Chen. Fish (CITII)</cp:lastModifiedBy>
  <dcterms:created xsi:type="dcterms:W3CDTF">2023-06-06T15:43:35Z</dcterms:created>
  <dcterms:modified xsi:type="dcterms:W3CDTF">2023-06-26T08:33:42Z</dcterms:modified>
</cp:coreProperties>
</file>