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comments7.xml" ContentType="application/vnd.openxmlformats-officedocument.spreadsheetml.comment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19200" windowHeight="7020" tabRatio="645" activeTab="6"/>
  </bookViews>
  <sheets>
    <sheet name="Summary" sheetId="31" r:id="rId1"/>
    <sheet name="MB" sheetId="21" r:id="rId2"/>
    <sheet name="Adaptor" sheetId="2" r:id="rId3"/>
    <sheet name="MModule+onboard_volatile" sheetId="7" r:id="rId4"/>
    <sheet name="SSD_eMMC_non volatile" sheetId="28" r:id="rId5"/>
    <sheet name="HDD" sheetId="39" state="hidden" r:id="rId6"/>
    <sheet name="LocalPacking" sheetId="37" r:id="rId7"/>
    <sheet name="FCST" sheetId="44" state="hidden" r:id="rId8"/>
    <sheet name="vba" sheetId="43" state="hidden" r:id="rId9"/>
    <sheet name="Label rev" sheetId="47" state="hidden" r:id="rId10"/>
    <sheet name="FCST analysis" sheetId="52" r:id="rId11"/>
    <sheet name="FCST data" sheetId="49" r:id="rId12"/>
    <sheet name="all" sheetId="32" r:id="rId13"/>
    <sheet name="Sheet1" sheetId="48" state="hidden" r:id="rId14"/>
  </sheets>
  <definedNames>
    <definedName name="_xlnm._FilterDatabase" localSheetId="2" hidden="1">Adaptor!$A$13:$AA$130</definedName>
    <definedName name="_xlnm._FilterDatabase" localSheetId="12" hidden="1">all!$C$5:$AB$584</definedName>
    <definedName name="_xlnm._FilterDatabase" localSheetId="7" hidden="1">FCST!$C$5:$L$5</definedName>
    <definedName name="_xlnm._FilterDatabase" localSheetId="11" hidden="1">'FCST data'!$B$3:$AC$112</definedName>
    <definedName name="_xlnm._FilterDatabase" localSheetId="5" hidden="1">HDD!$C$13:$AA$19</definedName>
    <definedName name="_xlnm._FilterDatabase" localSheetId="9" hidden="1">'Label rev'!$A$31:$AC$361</definedName>
    <definedName name="_xlnm._FilterDatabase" localSheetId="6" hidden="1">LocalPacking!$C$13:$Z$152</definedName>
    <definedName name="_xlnm._FilterDatabase" localSheetId="1" hidden="1">MB!$C$13:$AA$130</definedName>
    <definedName name="_xlnm._FilterDatabase" localSheetId="3" hidden="1">'MModule+onboard_volatile'!$D$13:$AA$265</definedName>
    <definedName name="_xlnm._FilterDatabase" localSheetId="13" hidden="1">Sheet1!$C$3:$E$3</definedName>
    <definedName name="_xlnm._FilterDatabase" localSheetId="4" hidden="1">'SSD_eMMC_non volatile'!$B$13:$AC$222</definedName>
  </definedNames>
  <calcPr calcId="125725"/>
  <pivotCaches>
    <pivotCache cacheId="0" r:id="rId15"/>
  </pivotCaches>
</workbook>
</file>

<file path=xl/calcChain.xml><?xml version="1.0" encoding="utf-8"?>
<calcChain xmlns="http://schemas.openxmlformats.org/spreadsheetml/2006/main">
  <c r="AC116" i="49"/>
  <c r="AC110"/>
  <c r="AC111"/>
  <c r="AC112"/>
  <c r="AC113"/>
  <c r="AC114"/>
  <c r="S116"/>
  <c r="R116"/>
  <c r="Y110"/>
  <c r="X110"/>
  <c r="W110"/>
  <c r="Y109"/>
  <c r="X109"/>
  <c r="W109"/>
  <c r="T102"/>
  <c r="W101"/>
  <c r="T101"/>
  <c r="V99"/>
  <c r="T99"/>
  <c r="W98"/>
  <c r="V98"/>
  <c r="U98"/>
  <c r="T98"/>
  <c r="V80"/>
  <c r="U80"/>
  <c r="T80"/>
  <c r="U66"/>
  <c r="Y65"/>
  <c r="X65"/>
  <c r="W65"/>
  <c r="V65"/>
  <c r="U65"/>
  <c r="T55"/>
  <c r="T54"/>
  <c r="T53"/>
  <c r="T52"/>
  <c r="T51"/>
  <c r="Q44"/>
  <c r="T43"/>
  <c r="T116" s="1"/>
  <c r="Q43"/>
  <c r="Q116" s="1"/>
  <c r="T42"/>
  <c r="T40"/>
  <c r="T39"/>
  <c r="V34"/>
  <c r="U34"/>
  <c r="V33"/>
  <c r="U33"/>
  <c r="V23"/>
  <c r="U23"/>
  <c r="V18"/>
  <c r="V116" s="1"/>
  <c r="U18"/>
  <c r="U116" s="1"/>
  <c r="Y8"/>
  <c r="Y116" s="1"/>
  <c r="X8"/>
  <c r="X116" s="1"/>
  <c r="W8"/>
  <c r="W6"/>
  <c r="W116" s="1"/>
  <c r="Z265" i="7" l="1"/>
  <c r="AB265" s="1"/>
  <c r="Y263"/>
  <c r="Y264" s="1"/>
  <c r="X263"/>
  <c r="X264" s="1"/>
  <c r="W263"/>
  <c r="W264" s="1"/>
  <c r="V263"/>
  <c r="V264" s="1"/>
  <c r="U263"/>
  <c r="U264" s="1"/>
  <c r="T263"/>
  <c r="T264" s="1"/>
  <c r="S263"/>
  <c r="S264" s="1"/>
  <c r="R263"/>
  <c r="R264" s="1"/>
  <c r="Q263"/>
  <c r="Q264" s="1"/>
  <c r="P263"/>
  <c r="P264" s="1"/>
  <c r="O263"/>
  <c r="O264" s="1"/>
  <c r="N263"/>
  <c r="N264" s="1"/>
  <c r="Y260"/>
  <c r="Y261" s="1"/>
  <c r="X260"/>
  <c r="X261" s="1"/>
  <c r="W260"/>
  <c r="W261" s="1"/>
  <c r="V260"/>
  <c r="V261" s="1"/>
  <c r="U260"/>
  <c r="U261" s="1"/>
  <c r="T260"/>
  <c r="T261" s="1"/>
  <c r="S260"/>
  <c r="S261" s="1"/>
  <c r="R260"/>
  <c r="R261" s="1"/>
  <c r="Q260"/>
  <c r="Q261" s="1"/>
  <c r="P260"/>
  <c r="P261" s="1"/>
  <c r="O260"/>
  <c r="O261" s="1"/>
  <c r="N260"/>
  <c r="N261" s="1"/>
  <c r="AA259"/>
  <c r="Z259"/>
  <c r="AA258"/>
  <c r="Z258"/>
  <c r="Y256"/>
  <c r="Y257" s="1"/>
  <c r="X256"/>
  <c r="X257" s="1"/>
  <c r="W256"/>
  <c r="W257" s="1"/>
  <c r="V256"/>
  <c r="V257" s="1"/>
  <c r="U256"/>
  <c r="U257" s="1"/>
  <c r="T256"/>
  <c r="T257" s="1"/>
  <c r="S256"/>
  <c r="R256"/>
  <c r="Q256"/>
  <c r="P256"/>
  <c r="O256"/>
  <c r="N256"/>
  <c r="AA254"/>
  <c r="Z254"/>
  <c r="AA253"/>
  <c r="Z253"/>
  <c r="Y251"/>
  <c r="X251"/>
  <c r="W251"/>
  <c r="V251"/>
  <c r="U251"/>
  <c r="T251"/>
  <c r="S251"/>
  <c r="S255" s="1"/>
  <c r="R251"/>
  <c r="R255" s="1"/>
  <c r="Q251"/>
  <c r="Q255" s="1"/>
  <c r="P251"/>
  <c r="O251"/>
  <c r="N251"/>
  <c r="AA250"/>
  <c r="Z250"/>
  <c r="Y247"/>
  <c r="Y248" s="1"/>
  <c r="X247"/>
  <c r="X248" s="1"/>
  <c r="W247"/>
  <c r="W248" s="1"/>
  <c r="V247"/>
  <c r="U247"/>
  <c r="T247"/>
  <c r="S247"/>
  <c r="R247"/>
  <c r="Q247"/>
  <c r="P247"/>
  <c r="O247"/>
  <c r="N247"/>
  <c r="AA245"/>
  <c r="Z245"/>
  <c r="AA244"/>
  <c r="Z244"/>
  <c r="Y243"/>
  <c r="Y246" s="1"/>
  <c r="X243"/>
  <c r="X246" s="1"/>
  <c r="W243"/>
  <c r="W246" s="1"/>
  <c r="V243"/>
  <c r="V246" s="1"/>
  <c r="U243"/>
  <c r="U246" s="1"/>
  <c r="T243"/>
  <c r="T246" s="1"/>
  <c r="S243"/>
  <c r="S246" s="1"/>
  <c r="R243"/>
  <c r="R246" s="1"/>
  <c r="Q243"/>
  <c r="Q246" s="1"/>
  <c r="P243"/>
  <c r="O243"/>
  <c r="N243"/>
  <c r="Z257" l="1"/>
  <c r="U249"/>
  <c r="U248"/>
  <c r="W255"/>
  <c r="W252"/>
  <c r="V249"/>
  <c r="V248"/>
  <c r="X255"/>
  <c r="X252"/>
  <c r="T255"/>
  <c r="T252"/>
  <c r="Y255"/>
  <c r="Y252"/>
  <c r="U255"/>
  <c r="U252"/>
  <c r="T249"/>
  <c r="T248"/>
  <c r="V255"/>
  <c r="V252"/>
  <c r="Z261"/>
  <c r="AB261" s="1"/>
  <c r="E243"/>
  <c r="AC243" s="1"/>
  <c r="E263"/>
  <c r="Z264"/>
  <c r="AB264" s="1"/>
  <c r="Z262"/>
  <c r="AB262" s="1"/>
  <c r="E260"/>
  <c r="E256"/>
  <c r="AC256" s="1"/>
  <c r="E251"/>
  <c r="AC251" s="1"/>
  <c r="E247"/>
  <c r="Z246"/>
  <c r="W228"/>
  <c r="X228"/>
  <c r="Y228"/>
  <c r="T228"/>
  <c r="T229" s="1"/>
  <c r="U228"/>
  <c r="U229" s="1"/>
  <c r="V228"/>
  <c r="V229" s="1"/>
  <c r="AA123" i="28"/>
  <c r="Z123"/>
  <c r="AA122"/>
  <c r="Z122"/>
  <c r="Y121"/>
  <c r="X121"/>
  <c r="W121"/>
  <c r="V121"/>
  <c r="U121"/>
  <c r="T121"/>
  <c r="S121"/>
  <c r="R121"/>
  <c r="Q121"/>
  <c r="P121"/>
  <c r="O121"/>
  <c r="N121"/>
  <c r="AA222"/>
  <c r="Z222"/>
  <c r="AA221"/>
  <c r="Z221"/>
  <c r="Y220"/>
  <c r="X220"/>
  <c r="W220"/>
  <c r="V220"/>
  <c r="U220"/>
  <c r="T220"/>
  <c r="S220"/>
  <c r="R220"/>
  <c r="Q220"/>
  <c r="P220"/>
  <c r="O220"/>
  <c r="N220"/>
  <c r="AA219"/>
  <c r="Z219"/>
  <c r="AA218"/>
  <c r="Z218"/>
  <c r="Y217"/>
  <c r="X217"/>
  <c r="W217"/>
  <c r="V217"/>
  <c r="U217"/>
  <c r="T217"/>
  <c r="S217"/>
  <c r="R217"/>
  <c r="Q217"/>
  <c r="P217"/>
  <c r="O217"/>
  <c r="N217"/>
  <c r="AA216"/>
  <c r="Z216"/>
  <c r="AA215"/>
  <c r="Z215"/>
  <c r="Y214"/>
  <c r="X214"/>
  <c r="W214"/>
  <c r="V214"/>
  <c r="U214"/>
  <c r="T214"/>
  <c r="S214"/>
  <c r="R214"/>
  <c r="Q214"/>
  <c r="P214"/>
  <c r="O214"/>
  <c r="N214"/>
  <c r="AA213"/>
  <c r="Z213"/>
  <c r="AA212"/>
  <c r="Z212"/>
  <c r="Y211"/>
  <c r="X211"/>
  <c r="W211"/>
  <c r="V211"/>
  <c r="U211"/>
  <c r="T211"/>
  <c r="S211"/>
  <c r="R211"/>
  <c r="Q211"/>
  <c r="P211"/>
  <c r="O211"/>
  <c r="N211"/>
  <c r="AA210"/>
  <c r="Z210"/>
  <c r="AA209"/>
  <c r="Z209"/>
  <c r="Y208"/>
  <c r="X208"/>
  <c r="W208"/>
  <c r="V208"/>
  <c r="U208"/>
  <c r="T208"/>
  <c r="S208"/>
  <c r="R208"/>
  <c r="Q208"/>
  <c r="P208"/>
  <c r="O208"/>
  <c r="N208"/>
  <c r="Z152" i="37"/>
  <c r="Y150"/>
  <c r="Y151" s="1"/>
  <c r="X150"/>
  <c r="X151" s="1"/>
  <c r="W150"/>
  <c r="W151" s="1"/>
  <c r="V150"/>
  <c r="V151" s="1"/>
  <c r="U150"/>
  <c r="U151" s="1"/>
  <c r="T150"/>
  <c r="T151" s="1"/>
  <c r="S150"/>
  <c r="S151" s="1"/>
  <c r="R150"/>
  <c r="R151" s="1"/>
  <c r="Q150"/>
  <c r="Q151" s="1"/>
  <c r="P150"/>
  <c r="P151" s="1"/>
  <c r="O150"/>
  <c r="O151" s="1"/>
  <c r="N150"/>
  <c r="Z149"/>
  <c r="Y147"/>
  <c r="Y148" s="1"/>
  <c r="X147"/>
  <c r="X148" s="1"/>
  <c r="W147"/>
  <c r="W148" s="1"/>
  <c r="V147"/>
  <c r="V148" s="1"/>
  <c r="U147"/>
  <c r="U148" s="1"/>
  <c r="T147"/>
  <c r="T148" s="1"/>
  <c r="S147"/>
  <c r="S148" s="1"/>
  <c r="R147"/>
  <c r="R148" s="1"/>
  <c r="Q147"/>
  <c r="Q148" s="1"/>
  <c r="P147"/>
  <c r="P148" s="1"/>
  <c r="O147"/>
  <c r="O148" s="1"/>
  <c r="N147"/>
  <c r="Z146"/>
  <c r="Y144"/>
  <c r="Y145" s="1"/>
  <c r="X144"/>
  <c r="X145" s="1"/>
  <c r="W144"/>
  <c r="W145" s="1"/>
  <c r="V144"/>
  <c r="V145" s="1"/>
  <c r="U144"/>
  <c r="U145" s="1"/>
  <c r="T144"/>
  <c r="T145" s="1"/>
  <c r="S144"/>
  <c r="S145" s="1"/>
  <c r="R144"/>
  <c r="R145" s="1"/>
  <c r="Q144"/>
  <c r="Q145" s="1"/>
  <c r="P144"/>
  <c r="P145" s="1"/>
  <c r="O144"/>
  <c r="O145" s="1"/>
  <c r="N144"/>
  <c r="Z143"/>
  <c r="Y141"/>
  <c r="Y142" s="1"/>
  <c r="X141"/>
  <c r="X142" s="1"/>
  <c r="W141"/>
  <c r="W142" s="1"/>
  <c r="V141"/>
  <c r="V142" s="1"/>
  <c r="U141"/>
  <c r="U142" s="1"/>
  <c r="T141"/>
  <c r="T142" s="1"/>
  <c r="S141"/>
  <c r="S142" s="1"/>
  <c r="R141"/>
  <c r="R142" s="1"/>
  <c r="Q141"/>
  <c r="Q142" s="1"/>
  <c r="P141"/>
  <c r="P142" s="1"/>
  <c r="O141"/>
  <c r="O142" s="1"/>
  <c r="N141"/>
  <c r="Z130" i="2"/>
  <c r="Z129"/>
  <c r="K128"/>
  <c r="T128" s="1"/>
  <c r="Z127"/>
  <c r="Z126"/>
  <c r="K125"/>
  <c r="T125" s="1"/>
  <c r="Z124"/>
  <c r="Z123"/>
  <c r="K122"/>
  <c r="T122" s="1"/>
  <c r="Z121"/>
  <c r="Z120"/>
  <c r="K119"/>
  <c r="T119" s="1"/>
  <c r="Z130" i="21"/>
  <c r="Z129"/>
  <c r="Y128"/>
  <c r="X128"/>
  <c r="W128"/>
  <c r="V128"/>
  <c r="U128"/>
  <c r="T128"/>
  <c r="S128"/>
  <c r="R128"/>
  <c r="Q128"/>
  <c r="P128"/>
  <c r="O128"/>
  <c r="N128"/>
  <c r="Z127"/>
  <c r="Z126"/>
  <c r="Y125"/>
  <c r="X125"/>
  <c r="W125"/>
  <c r="V125"/>
  <c r="U125"/>
  <c r="T125"/>
  <c r="S125"/>
  <c r="R125"/>
  <c r="Q125"/>
  <c r="P125"/>
  <c r="O125"/>
  <c r="N125"/>
  <c r="Z124"/>
  <c r="Z123"/>
  <c r="Y122"/>
  <c r="X122"/>
  <c r="W122"/>
  <c r="V122"/>
  <c r="U122"/>
  <c r="T122"/>
  <c r="S122"/>
  <c r="R122"/>
  <c r="Q122"/>
  <c r="P122"/>
  <c r="O122"/>
  <c r="N122"/>
  <c r="Z121"/>
  <c r="Z120"/>
  <c r="Y119"/>
  <c r="X119"/>
  <c r="W119"/>
  <c r="V119"/>
  <c r="U119"/>
  <c r="T119"/>
  <c r="S119"/>
  <c r="R119"/>
  <c r="Q119"/>
  <c r="P119"/>
  <c r="O119"/>
  <c r="N119"/>
  <c r="AC100" i="49"/>
  <c r="AC101"/>
  <c r="AC102"/>
  <c r="AC103"/>
  <c r="AC104"/>
  <c r="AC105"/>
  <c r="AC106"/>
  <c r="AC107"/>
  <c r="AC108"/>
  <c r="AC109"/>
  <c r="Z112"/>
  <c r="AA112"/>
  <c r="AB112"/>
  <c r="Z249" i="7" l="1"/>
  <c r="AB249" s="1"/>
  <c r="AC247" s="1"/>
  <c r="Z255"/>
  <c r="Z248"/>
  <c r="Z252"/>
  <c r="AC260"/>
  <c r="AC263"/>
  <c r="E147" i="37"/>
  <c r="E144"/>
  <c r="E150"/>
  <c r="E121" i="28"/>
  <c r="AB121" s="1"/>
  <c r="E208"/>
  <c r="AB208" s="1"/>
  <c r="E211"/>
  <c r="AB211" s="1"/>
  <c r="E214"/>
  <c r="AB214" s="1"/>
  <c r="E217"/>
  <c r="AB217" s="1"/>
  <c r="E220"/>
  <c r="AB220" s="1"/>
  <c r="E141" i="37"/>
  <c r="N151"/>
  <c r="Z151" s="1"/>
  <c r="N148"/>
  <c r="Z148" s="1"/>
  <c r="N145"/>
  <c r="Z145" s="1"/>
  <c r="N142"/>
  <c r="Z142" s="1"/>
  <c r="N128" i="2"/>
  <c r="V128"/>
  <c r="O128"/>
  <c r="W128"/>
  <c r="P128"/>
  <c r="X128"/>
  <c r="Q128"/>
  <c r="Y128"/>
  <c r="R128"/>
  <c r="S128"/>
  <c r="U128"/>
  <c r="U125"/>
  <c r="N125"/>
  <c r="V125"/>
  <c r="O125"/>
  <c r="W125"/>
  <c r="P125"/>
  <c r="X125"/>
  <c r="Q125"/>
  <c r="Y125"/>
  <c r="R125"/>
  <c r="S125"/>
  <c r="U122"/>
  <c r="N122"/>
  <c r="V122"/>
  <c r="O122"/>
  <c r="W122"/>
  <c r="P122"/>
  <c r="X122"/>
  <c r="Q122"/>
  <c r="Y122"/>
  <c r="R122"/>
  <c r="S122"/>
  <c r="V119"/>
  <c r="O119"/>
  <c r="W119"/>
  <c r="N119"/>
  <c r="P119"/>
  <c r="X119"/>
  <c r="Q119"/>
  <c r="Y119"/>
  <c r="R119"/>
  <c r="S119"/>
  <c r="U119"/>
  <c r="E128" i="21"/>
  <c r="AA128" s="1"/>
  <c r="E125"/>
  <c r="AA125" s="1"/>
  <c r="E122"/>
  <c r="AA122" s="1"/>
  <c r="E119"/>
  <c r="AA119" s="1"/>
  <c r="Z140" i="37"/>
  <c r="Y138"/>
  <c r="Y139" s="1"/>
  <c r="X138"/>
  <c r="X139" s="1"/>
  <c r="W138"/>
  <c r="W139" s="1"/>
  <c r="V138"/>
  <c r="V139" s="1"/>
  <c r="U138"/>
  <c r="U139" s="1"/>
  <c r="T138"/>
  <c r="T139" s="1"/>
  <c r="S138"/>
  <c r="S139" s="1"/>
  <c r="R138"/>
  <c r="R139" s="1"/>
  <c r="Q138"/>
  <c r="Q139" s="1"/>
  <c r="P138"/>
  <c r="P139" s="1"/>
  <c r="O138"/>
  <c r="O139" s="1"/>
  <c r="N138"/>
  <c r="AA207" i="28"/>
  <c r="Z207"/>
  <c r="AA206"/>
  <c r="Z206"/>
  <c r="Y205"/>
  <c r="X205"/>
  <c r="W205"/>
  <c r="V205"/>
  <c r="U205"/>
  <c r="T205"/>
  <c r="S205"/>
  <c r="R205"/>
  <c r="Q205"/>
  <c r="P205"/>
  <c r="O205"/>
  <c r="N205"/>
  <c r="AA242" i="7"/>
  <c r="Z242"/>
  <c r="AA241"/>
  <c r="Z241"/>
  <c r="AA238"/>
  <c r="Z238"/>
  <c r="AA237"/>
  <c r="Z237"/>
  <c r="Y239"/>
  <c r="Y240" s="1"/>
  <c r="X239"/>
  <c r="X240" s="1"/>
  <c r="W239"/>
  <c r="W240" s="1"/>
  <c r="V239"/>
  <c r="V240" s="1"/>
  <c r="U239"/>
  <c r="U240" s="1"/>
  <c r="T239"/>
  <c r="T240" s="1"/>
  <c r="S239"/>
  <c r="S240" s="1"/>
  <c r="R239"/>
  <c r="R240" s="1"/>
  <c r="Q239"/>
  <c r="Q240" s="1"/>
  <c r="P239"/>
  <c r="O239"/>
  <c r="N239"/>
  <c r="Y235"/>
  <c r="Y236" s="1"/>
  <c r="X235"/>
  <c r="X236" s="1"/>
  <c r="W235"/>
  <c r="W236" s="1"/>
  <c r="V235"/>
  <c r="V236" s="1"/>
  <c r="U235"/>
  <c r="U236" s="1"/>
  <c r="T235"/>
  <c r="T236" s="1"/>
  <c r="S235"/>
  <c r="S236" s="1"/>
  <c r="R235"/>
  <c r="R236" s="1"/>
  <c r="Q235"/>
  <c r="Q236" s="1"/>
  <c r="P235"/>
  <c r="O235"/>
  <c r="N235"/>
  <c r="Z118" i="2"/>
  <c r="Z117"/>
  <c r="K116"/>
  <c r="T116" s="1"/>
  <c r="Z118" i="21"/>
  <c r="Z117"/>
  <c r="Y116"/>
  <c r="X116"/>
  <c r="W116"/>
  <c r="V116"/>
  <c r="U116"/>
  <c r="T116"/>
  <c r="S116"/>
  <c r="R116"/>
  <c r="Q116"/>
  <c r="P116"/>
  <c r="O116"/>
  <c r="N116"/>
  <c r="AA150" i="37" l="1"/>
  <c r="AA147"/>
  <c r="Z240" i="7"/>
  <c r="Z236"/>
  <c r="AA144" i="37"/>
  <c r="AA141"/>
  <c r="E128" i="2"/>
  <c r="AA128" s="1"/>
  <c r="E125"/>
  <c r="AA125" s="1"/>
  <c r="E122"/>
  <c r="AA122" s="1"/>
  <c r="E119"/>
  <c r="AA119" s="1"/>
  <c r="E205" i="28"/>
  <c r="AB205" s="1"/>
  <c r="E138" i="37"/>
  <c r="N139"/>
  <c r="Z139" s="1"/>
  <c r="E239" i="7"/>
  <c r="AC239" s="1"/>
  <c r="E235"/>
  <c r="AC235" s="1"/>
  <c r="U116" i="2"/>
  <c r="V116"/>
  <c r="W116"/>
  <c r="X116"/>
  <c r="Q116"/>
  <c r="Y116"/>
  <c r="N116"/>
  <c r="O116"/>
  <c r="P116"/>
  <c r="R116"/>
  <c r="S116"/>
  <c r="E116" i="21"/>
  <c r="AA116" s="1"/>
  <c r="AA138" i="37" l="1"/>
  <c r="E116" i="2"/>
  <c r="AA116" s="1"/>
  <c r="Z184" i="28"/>
  <c r="AA184"/>
  <c r="AC91" i="49" l="1"/>
  <c r="AC92"/>
  <c r="AC93"/>
  <c r="AC94"/>
  <c r="AC95"/>
  <c r="AC96"/>
  <c r="AC97"/>
  <c r="AC98"/>
  <c r="AC99"/>
  <c r="O67" i="7" l="1"/>
  <c r="O41"/>
  <c r="O23"/>
  <c r="O203" l="1"/>
  <c r="P203"/>
  <c r="Q203"/>
  <c r="R203"/>
  <c r="S203"/>
  <c r="T203"/>
  <c r="U203"/>
  <c r="V203"/>
  <c r="W203"/>
  <c r="X203"/>
  <c r="Y203"/>
  <c r="N203"/>
  <c r="O211"/>
  <c r="Q211"/>
  <c r="R211"/>
  <c r="S211"/>
  <c r="T211"/>
  <c r="U211"/>
  <c r="V211"/>
  <c r="W211"/>
  <c r="X211"/>
  <c r="Y211"/>
  <c r="P211" l="1"/>
  <c r="AA61" l="1"/>
  <c r="Z61"/>
  <c r="Z230" l="1"/>
  <c r="AB230" s="1"/>
  <c r="Z227"/>
  <c r="Z217"/>
  <c r="Z212"/>
  <c r="Z209"/>
  <c r="Z202"/>
  <c r="Z198"/>
  <c r="Z194"/>
  <c r="Z190"/>
  <c r="Z186"/>
  <c r="Z183"/>
  <c r="Z180"/>
  <c r="Z177"/>
  <c r="Z174"/>
  <c r="Z171"/>
  <c r="Z130"/>
  <c r="Z126"/>
  <c r="Z122"/>
  <c r="Z118"/>
  <c r="Z83"/>
  <c r="Z79"/>
  <c r="Z76"/>
  <c r="Z56"/>
  <c r="Z54"/>
  <c r="Z49"/>
  <c r="Z26"/>
  <c r="AA233"/>
  <c r="Z233"/>
  <c r="AA232"/>
  <c r="Z232"/>
  <c r="AA226"/>
  <c r="Z226"/>
  <c r="AA221"/>
  <c r="Z221"/>
  <c r="AA218"/>
  <c r="Z218"/>
  <c r="AA215"/>
  <c r="Z215"/>
  <c r="AA214"/>
  <c r="Z214"/>
  <c r="AA213"/>
  <c r="Z213"/>
  <c r="AA210"/>
  <c r="Z210"/>
  <c r="AA207"/>
  <c r="Z207"/>
  <c r="AA206"/>
  <c r="Z206"/>
  <c r="AA205"/>
  <c r="Z205"/>
  <c r="AA167"/>
  <c r="Z167"/>
  <c r="AA166"/>
  <c r="Z166"/>
  <c r="AA163"/>
  <c r="Z163"/>
  <c r="AA162"/>
  <c r="Z162"/>
  <c r="AA159"/>
  <c r="Z159"/>
  <c r="AA158"/>
  <c r="Z158"/>
  <c r="AA155"/>
  <c r="Z155"/>
  <c r="AA154"/>
  <c r="Z154"/>
  <c r="AA153"/>
  <c r="Z153"/>
  <c r="AA150"/>
  <c r="Z150"/>
  <c r="AA149"/>
  <c r="Z149"/>
  <c r="AA146"/>
  <c r="Z146"/>
  <c r="AA145"/>
  <c r="Z145"/>
  <c r="AA144"/>
  <c r="Z144"/>
  <c r="AA141"/>
  <c r="Z141"/>
  <c r="AA140"/>
  <c r="Z140"/>
  <c r="AA137"/>
  <c r="Z137"/>
  <c r="AA136"/>
  <c r="Z136"/>
  <c r="AA133"/>
  <c r="Z133"/>
  <c r="AA132"/>
  <c r="Z132"/>
  <c r="AA113"/>
  <c r="Z113"/>
  <c r="AA112"/>
  <c r="Z112"/>
  <c r="AA111"/>
  <c r="Z111"/>
  <c r="AA107"/>
  <c r="Z107"/>
  <c r="AA106"/>
  <c r="Z106"/>
  <c r="AA105"/>
  <c r="Z105"/>
  <c r="AA102"/>
  <c r="Z102"/>
  <c r="AA101"/>
  <c r="Z101"/>
  <c r="AA100"/>
  <c r="Z100"/>
  <c r="AA97"/>
  <c r="Z97"/>
  <c r="AA96"/>
  <c r="Z96"/>
  <c r="AA95"/>
  <c r="Z95"/>
  <c r="AA92"/>
  <c r="Z92"/>
  <c r="AA91"/>
  <c r="Z91"/>
  <c r="AA90"/>
  <c r="Z90"/>
  <c r="AA87"/>
  <c r="Z87"/>
  <c r="AA86"/>
  <c r="Z86"/>
  <c r="AA85"/>
  <c r="Z85"/>
  <c r="AA74"/>
  <c r="Z74"/>
  <c r="AA73"/>
  <c r="Z73"/>
  <c r="AA72"/>
  <c r="Z72"/>
  <c r="AA71"/>
  <c r="Z71"/>
  <c r="AA70"/>
  <c r="Z70"/>
  <c r="AA68"/>
  <c r="Z68"/>
  <c r="AA67"/>
  <c r="Z67"/>
  <c r="AA66"/>
  <c r="Z66"/>
  <c r="AA65"/>
  <c r="Z65"/>
  <c r="AA64"/>
  <c r="Z64"/>
  <c r="AA62"/>
  <c r="Z62"/>
  <c r="AA60"/>
  <c r="Z60"/>
  <c r="AA59"/>
  <c r="Z59"/>
  <c r="AA58"/>
  <c r="Z58"/>
  <c r="AA55"/>
  <c r="Z55"/>
  <c r="AA52"/>
  <c r="Z52"/>
  <c r="AA51"/>
  <c r="Z51"/>
  <c r="AA50"/>
  <c r="Z50"/>
  <c r="AA46"/>
  <c r="Z46"/>
  <c r="AA45"/>
  <c r="Z45"/>
  <c r="AA42"/>
  <c r="Z42"/>
  <c r="AA41"/>
  <c r="Z41"/>
  <c r="AA40"/>
  <c r="Z40"/>
  <c r="AA39"/>
  <c r="Z39"/>
  <c r="AA38"/>
  <c r="Z38"/>
  <c r="AA35"/>
  <c r="Z35"/>
  <c r="AA34"/>
  <c r="Z34"/>
  <c r="AA33"/>
  <c r="Z33"/>
  <c r="AA32"/>
  <c r="Z32"/>
  <c r="AA31"/>
  <c r="Z31"/>
  <c r="AA29"/>
  <c r="Z29"/>
  <c r="AA28"/>
  <c r="Z28"/>
  <c r="AA27"/>
  <c r="Z27"/>
  <c r="AA24"/>
  <c r="Z24"/>
  <c r="AA23"/>
  <c r="Z23"/>
  <c r="AA22"/>
  <c r="Z22"/>
  <c r="AA21"/>
  <c r="Z21"/>
  <c r="AA20"/>
  <c r="Z20"/>
  <c r="AA18"/>
  <c r="Z18"/>
  <c r="AA17"/>
  <c r="Z17"/>
  <c r="Z137" i="37"/>
  <c r="Y135"/>
  <c r="Y136" s="1"/>
  <c r="X135"/>
  <c r="X136" s="1"/>
  <c r="W135"/>
  <c r="W136" s="1"/>
  <c r="V135"/>
  <c r="V136" s="1"/>
  <c r="U135"/>
  <c r="U136" s="1"/>
  <c r="T135"/>
  <c r="T136" s="1"/>
  <c r="S135"/>
  <c r="S136" s="1"/>
  <c r="R135"/>
  <c r="R136" s="1"/>
  <c r="Q135"/>
  <c r="Q136" s="1"/>
  <c r="P135"/>
  <c r="P136" s="1"/>
  <c r="O135"/>
  <c r="O136" s="1"/>
  <c r="N135"/>
  <c r="AA204" i="28"/>
  <c r="Z204"/>
  <c r="AA203"/>
  <c r="Z203"/>
  <c r="Y202"/>
  <c r="X202"/>
  <c r="W202"/>
  <c r="V202"/>
  <c r="U202"/>
  <c r="T202"/>
  <c r="S202"/>
  <c r="R202"/>
  <c r="Q202"/>
  <c r="P202"/>
  <c r="O202"/>
  <c r="N202"/>
  <c r="AA201"/>
  <c r="Z201"/>
  <c r="AA200"/>
  <c r="Z200"/>
  <c r="Y199"/>
  <c r="X199"/>
  <c r="W199"/>
  <c r="V199"/>
  <c r="U199"/>
  <c r="T199"/>
  <c r="S199"/>
  <c r="R199"/>
  <c r="Q199"/>
  <c r="P199"/>
  <c r="O199"/>
  <c r="N199"/>
  <c r="Y231" i="7"/>
  <c r="Y234" s="1"/>
  <c r="X231"/>
  <c r="X234" s="1"/>
  <c r="W231"/>
  <c r="W234" s="1"/>
  <c r="V231"/>
  <c r="V234" s="1"/>
  <c r="U231"/>
  <c r="U234" s="1"/>
  <c r="T231"/>
  <c r="T234" s="1"/>
  <c r="S231"/>
  <c r="S234" s="1"/>
  <c r="R231"/>
  <c r="R234" s="1"/>
  <c r="Q231"/>
  <c r="Q234" s="1"/>
  <c r="P231"/>
  <c r="O231"/>
  <c r="N231"/>
  <c r="Y229"/>
  <c r="X229"/>
  <c r="W229"/>
  <c r="S228"/>
  <c r="S229" s="1"/>
  <c r="R228"/>
  <c r="R229" s="1"/>
  <c r="Q228"/>
  <c r="Q229" s="1"/>
  <c r="P228"/>
  <c r="O228"/>
  <c r="N228"/>
  <c r="Z115" i="2"/>
  <c r="Z114"/>
  <c r="K113"/>
  <c r="T113" s="1"/>
  <c r="Z115" i="21"/>
  <c r="Z114"/>
  <c r="Y113"/>
  <c r="X113"/>
  <c r="W113"/>
  <c r="V113"/>
  <c r="U113"/>
  <c r="T113"/>
  <c r="S113"/>
  <c r="R113"/>
  <c r="Q113"/>
  <c r="P113"/>
  <c r="O113"/>
  <c r="N113"/>
  <c r="Z234" i="7" l="1"/>
  <c r="Z229"/>
  <c r="AB229" s="1"/>
  <c r="E135" i="37"/>
  <c r="N136"/>
  <c r="Z136" s="1"/>
  <c r="E199" i="28"/>
  <c r="AB199" s="1"/>
  <c r="E202"/>
  <c r="AB202" s="1"/>
  <c r="E231" i="7"/>
  <c r="E228"/>
  <c r="U113" i="2"/>
  <c r="N113"/>
  <c r="V113"/>
  <c r="O113"/>
  <c r="W113"/>
  <c r="P113"/>
  <c r="X113"/>
  <c r="Q113"/>
  <c r="Y113"/>
  <c r="R113"/>
  <c r="S113"/>
  <c r="E113" i="21"/>
  <c r="AA113" s="1"/>
  <c r="AA135" i="37" l="1"/>
  <c r="AC228" i="7"/>
  <c r="AC231"/>
  <c r="E113" i="2"/>
  <c r="AA113" s="1"/>
  <c r="N211" i="7" l="1"/>
  <c r="Q204"/>
  <c r="Z204" s="1"/>
  <c r="Z134" i="37" l="1"/>
  <c r="Y132"/>
  <c r="Y133" s="1"/>
  <c r="X132"/>
  <c r="X133" s="1"/>
  <c r="W132"/>
  <c r="W133" s="1"/>
  <c r="V132"/>
  <c r="V133" s="1"/>
  <c r="U132"/>
  <c r="U133" s="1"/>
  <c r="T132"/>
  <c r="T133" s="1"/>
  <c r="S132"/>
  <c r="S133" s="1"/>
  <c r="R132"/>
  <c r="R133" s="1"/>
  <c r="Q132"/>
  <c r="Q133" s="1"/>
  <c r="P132"/>
  <c r="P133" s="1"/>
  <c r="O132"/>
  <c r="O133" s="1"/>
  <c r="N132"/>
  <c r="Z131"/>
  <c r="Y129"/>
  <c r="Y130" s="1"/>
  <c r="X129"/>
  <c r="X130" s="1"/>
  <c r="W129"/>
  <c r="W130" s="1"/>
  <c r="V129"/>
  <c r="V130" s="1"/>
  <c r="U129"/>
  <c r="U130" s="1"/>
  <c r="T129"/>
  <c r="T130" s="1"/>
  <c r="S129"/>
  <c r="S130" s="1"/>
  <c r="R129"/>
  <c r="R130" s="1"/>
  <c r="Q129"/>
  <c r="Q130" s="1"/>
  <c r="P129"/>
  <c r="P130" s="1"/>
  <c r="O129"/>
  <c r="O130" s="1"/>
  <c r="N129"/>
  <c r="Z128"/>
  <c r="Y126"/>
  <c r="Y127" s="1"/>
  <c r="X126"/>
  <c r="X127" s="1"/>
  <c r="W126"/>
  <c r="W127" s="1"/>
  <c r="V126"/>
  <c r="V127" s="1"/>
  <c r="U126"/>
  <c r="U127" s="1"/>
  <c r="T126"/>
  <c r="T127" s="1"/>
  <c r="S126"/>
  <c r="S127" s="1"/>
  <c r="R126"/>
  <c r="R127" s="1"/>
  <c r="Q126"/>
  <c r="Q127" s="1"/>
  <c r="P126"/>
  <c r="P127" s="1"/>
  <c r="O126"/>
  <c r="O127" s="1"/>
  <c r="N126"/>
  <c r="E132" l="1"/>
  <c r="E129"/>
  <c r="E126"/>
  <c r="N133"/>
  <c r="Z133" s="1"/>
  <c r="N130"/>
  <c r="Z130" s="1"/>
  <c r="N127"/>
  <c r="Z127" s="1"/>
  <c r="AA171" i="28"/>
  <c r="Z171"/>
  <c r="AA170"/>
  <c r="Z170"/>
  <c r="Y169"/>
  <c r="X169"/>
  <c r="W169"/>
  <c r="V169"/>
  <c r="U169"/>
  <c r="T169"/>
  <c r="S169"/>
  <c r="R169"/>
  <c r="Q169"/>
  <c r="P169"/>
  <c r="O169"/>
  <c r="N169"/>
  <c r="AA195"/>
  <c r="Z195"/>
  <c r="AA194"/>
  <c r="Z194"/>
  <c r="Y193"/>
  <c r="X193"/>
  <c r="W193"/>
  <c r="V193"/>
  <c r="U193"/>
  <c r="T193"/>
  <c r="S193"/>
  <c r="R193"/>
  <c r="Q193"/>
  <c r="P193"/>
  <c r="O193"/>
  <c r="N193"/>
  <c r="AA192"/>
  <c r="Z192"/>
  <c r="AA191"/>
  <c r="Z191"/>
  <c r="AA190"/>
  <c r="Z190"/>
  <c r="Y189"/>
  <c r="X189"/>
  <c r="W189"/>
  <c r="V189"/>
  <c r="U189"/>
  <c r="T189"/>
  <c r="S189"/>
  <c r="R189"/>
  <c r="Q189"/>
  <c r="P189"/>
  <c r="O189"/>
  <c r="N189"/>
  <c r="N196"/>
  <c r="O196"/>
  <c r="P196"/>
  <c r="Q196"/>
  <c r="R196"/>
  <c r="S196"/>
  <c r="T196"/>
  <c r="U196"/>
  <c r="V196"/>
  <c r="W196"/>
  <c r="X196"/>
  <c r="Y196"/>
  <c r="AA138"/>
  <c r="Z138"/>
  <c r="AA137"/>
  <c r="Z137"/>
  <c r="Y136"/>
  <c r="X136"/>
  <c r="W136"/>
  <c r="V136"/>
  <c r="U136"/>
  <c r="T136"/>
  <c r="S136"/>
  <c r="R136"/>
  <c r="Q136"/>
  <c r="P136"/>
  <c r="O136"/>
  <c r="N136"/>
  <c r="AA132"/>
  <c r="Z132"/>
  <c r="AA131"/>
  <c r="Z131"/>
  <c r="Y130"/>
  <c r="X130"/>
  <c r="W130"/>
  <c r="V130"/>
  <c r="U130"/>
  <c r="T130"/>
  <c r="S130"/>
  <c r="R130"/>
  <c r="Q130"/>
  <c r="P130"/>
  <c r="O130"/>
  <c r="N130"/>
  <c r="AA117"/>
  <c r="Z117"/>
  <c r="AA116"/>
  <c r="Z116"/>
  <c r="Y115"/>
  <c r="X115"/>
  <c r="W115"/>
  <c r="V115"/>
  <c r="U115"/>
  <c r="T115"/>
  <c r="S115"/>
  <c r="R115"/>
  <c r="Q115"/>
  <c r="P115"/>
  <c r="O115"/>
  <c r="N115"/>
  <c r="N29"/>
  <c r="N23"/>
  <c r="AA198"/>
  <c r="Z198"/>
  <c r="AA197"/>
  <c r="Z197"/>
  <c r="AA188"/>
  <c r="Z188"/>
  <c r="AA187"/>
  <c r="Z187"/>
  <c r="Y186"/>
  <c r="X186"/>
  <c r="W186"/>
  <c r="V186"/>
  <c r="U186"/>
  <c r="T186"/>
  <c r="S186"/>
  <c r="R186"/>
  <c r="Q186"/>
  <c r="P186"/>
  <c r="O186"/>
  <c r="N186"/>
  <c r="AA185"/>
  <c r="Z185"/>
  <c r="AA183"/>
  <c r="Z183"/>
  <c r="AA182"/>
  <c r="Z182"/>
  <c r="Y181"/>
  <c r="X181"/>
  <c r="W181"/>
  <c r="V181"/>
  <c r="U181"/>
  <c r="T181"/>
  <c r="S181"/>
  <c r="R181"/>
  <c r="Q181"/>
  <c r="P181"/>
  <c r="O181"/>
  <c r="N181"/>
  <c r="AA180"/>
  <c r="Z180"/>
  <c r="AA179"/>
  <c r="Z179"/>
  <c r="Y178"/>
  <c r="X178"/>
  <c r="W178"/>
  <c r="V178"/>
  <c r="U178"/>
  <c r="T178"/>
  <c r="S178"/>
  <c r="R178"/>
  <c r="Q178"/>
  <c r="P178"/>
  <c r="O178"/>
  <c r="N178"/>
  <c r="AB194" i="7"/>
  <c r="Y191"/>
  <c r="Y192" s="1"/>
  <c r="X191"/>
  <c r="X192" s="1"/>
  <c r="W191"/>
  <c r="W192" s="1"/>
  <c r="V191"/>
  <c r="V192" s="1"/>
  <c r="U191"/>
  <c r="U193" s="1"/>
  <c r="T191"/>
  <c r="T193" s="1"/>
  <c r="S191"/>
  <c r="S193" s="1"/>
  <c r="R191"/>
  <c r="R192" s="1"/>
  <c r="Q191"/>
  <c r="Q192" s="1"/>
  <c r="P191"/>
  <c r="P192" s="1"/>
  <c r="O191"/>
  <c r="O192" s="1"/>
  <c r="N191"/>
  <c r="Y152"/>
  <c r="Y156" s="1"/>
  <c r="X152"/>
  <c r="X156" s="1"/>
  <c r="W152"/>
  <c r="W156" s="1"/>
  <c r="V152"/>
  <c r="V156" s="1"/>
  <c r="U152"/>
  <c r="U156" s="1"/>
  <c r="T152"/>
  <c r="T156" s="1"/>
  <c r="S152"/>
  <c r="S156" s="1"/>
  <c r="R152"/>
  <c r="R156" s="1"/>
  <c r="Q152"/>
  <c r="Q156" s="1"/>
  <c r="P152"/>
  <c r="P156" s="1"/>
  <c r="O152"/>
  <c r="O156" s="1"/>
  <c r="N152"/>
  <c r="Y208"/>
  <c r="X208"/>
  <c r="W208"/>
  <c r="V208"/>
  <c r="U208"/>
  <c r="T208"/>
  <c r="S208"/>
  <c r="R208"/>
  <c r="Q208"/>
  <c r="P208"/>
  <c r="O208"/>
  <c r="N208"/>
  <c r="O223"/>
  <c r="O224" s="1"/>
  <c r="P223"/>
  <c r="P224" s="1"/>
  <c r="Q223"/>
  <c r="R223"/>
  <c r="S223"/>
  <c r="S216"/>
  <c r="R216"/>
  <c r="Q216"/>
  <c r="P216"/>
  <c r="O216"/>
  <c r="N216"/>
  <c r="AA129" i="37" l="1"/>
  <c r="S225" i="7"/>
  <c r="S224"/>
  <c r="R225"/>
  <c r="R224"/>
  <c r="Q225"/>
  <c r="Q224"/>
  <c r="AA126" i="37"/>
  <c r="AA132"/>
  <c r="E196" i="28"/>
  <c r="AB196" s="1"/>
  <c r="E169"/>
  <c r="AB169" s="1"/>
  <c r="E193"/>
  <c r="AB193" s="1"/>
  <c r="E189"/>
  <c r="AB189" s="1"/>
  <c r="E136"/>
  <c r="AB136" s="1"/>
  <c r="E130"/>
  <c r="AB130" s="1"/>
  <c r="E115"/>
  <c r="AB115" s="1"/>
  <c r="E186"/>
  <c r="AB186" s="1"/>
  <c r="E181"/>
  <c r="AB181" s="1"/>
  <c r="E178"/>
  <c r="AB178" s="1"/>
  <c r="E191" i="7"/>
  <c r="T192"/>
  <c r="W193"/>
  <c r="S192"/>
  <c r="N193"/>
  <c r="V193"/>
  <c r="U192"/>
  <c r="P193"/>
  <c r="X193"/>
  <c r="O193"/>
  <c r="N192"/>
  <c r="Q193"/>
  <c r="Y193"/>
  <c r="R193"/>
  <c r="E152"/>
  <c r="AC152" s="1"/>
  <c r="N156"/>
  <c r="Z156" s="1"/>
  <c r="Z193" l="1"/>
  <c r="AB193" s="1"/>
  <c r="AC191" s="1"/>
  <c r="Z192"/>
  <c r="Y131" l="1"/>
  <c r="X131"/>
  <c r="W131"/>
  <c r="V131"/>
  <c r="V134" s="1"/>
  <c r="U131"/>
  <c r="U134" s="1"/>
  <c r="T131"/>
  <c r="T134" s="1"/>
  <c r="S131"/>
  <c r="S134" s="1"/>
  <c r="R131"/>
  <c r="R134" s="1"/>
  <c r="Q131"/>
  <c r="P131"/>
  <c r="O131"/>
  <c r="N131"/>
  <c r="Y223"/>
  <c r="X223"/>
  <c r="W223"/>
  <c r="V223"/>
  <c r="U223"/>
  <c r="T223"/>
  <c r="N223"/>
  <c r="N224" s="1"/>
  <c r="Y219"/>
  <c r="Y222" s="1"/>
  <c r="X219"/>
  <c r="X222" s="1"/>
  <c r="W219"/>
  <c r="W222" s="1"/>
  <c r="V219"/>
  <c r="V222" s="1"/>
  <c r="U219"/>
  <c r="U222" s="1"/>
  <c r="T219"/>
  <c r="T222" s="1"/>
  <c r="S219"/>
  <c r="R219"/>
  <c r="Q219"/>
  <c r="P219"/>
  <c r="O219"/>
  <c r="N219"/>
  <c r="AB217"/>
  <c r="Y216"/>
  <c r="X216"/>
  <c r="W216"/>
  <c r="V216"/>
  <c r="U216"/>
  <c r="T216"/>
  <c r="AB212"/>
  <c r="AB204"/>
  <c r="Z112" i="2"/>
  <c r="Z111"/>
  <c r="Z109"/>
  <c r="Z108"/>
  <c r="Z106"/>
  <c r="Z105"/>
  <c r="Z112" i="21"/>
  <c r="Z111"/>
  <c r="Y110"/>
  <c r="X110"/>
  <c r="W110"/>
  <c r="V110"/>
  <c r="U110"/>
  <c r="T110"/>
  <c r="S110"/>
  <c r="R110"/>
  <c r="Q110"/>
  <c r="P110"/>
  <c r="O110"/>
  <c r="N110"/>
  <c r="Z109"/>
  <c r="Z108"/>
  <c r="Y107"/>
  <c r="X107"/>
  <c r="W107"/>
  <c r="V107"/>
  <c r="U107"/>
  <c r="T107"/>
  <c r="S107"/>
  <c r="R107"/>
  <c r="Q107"/>
  <c r="P107"/>
  <c r="O107"/>
  <c r="N107"/>
  <c r="Z106"/>
  <c r="Z105"/>
  <c r="Y104"/>
  <c r="X104"/>
  <c r="W104"/>
  <c r="V104"/>
  <c r="U104"/>
  <c r="T104"/>
  <c r="S104"/>
  <c r="R104"/>
  <c r="Q104"/>
  <c r="P104"/>
  <c r="O104"/>
  <c r="N104"/>
  <c r="R38"/>
  <c r="S38"/>
  <c r="AC76" i="49"/>
  <c r="AC77"/>
  <c r="AC78"/>
  <c r="AC79"/>
  <c r="AC80"/>
  <c r="AC81"/>
  <c r="AC82"/>
  <c r="AC83"/>
  <c r="AC84"/>
  <c r="AC85"/>
  <c r="AC86"/>
  <c r="AC87"/>
  <c r="AC88"/>
  <c r="AC89"/>
  <c r="AC90"/>
  <c r="W225" i="7" l="1"/>
  <c r="W224"/>
  <c r="V225"/>
  <c r="V224"/>
  <c r="X225"/>
  <c r="X224"/>
  <c r="Y225"/>
  <c r="Y224"/>
  <c r="T225"/>
  <c r="T224"/>
  <c r="U225"/>
  <c r="U224"/>
  <c r="N222"/>
  <c r="N220"/>
  <c r="O222"/>
  <c r="O220"/>
  <c r="P222"/>
  <c r="P220"/>
  <c r="Q222"/>
  <c r="R222"/>
  <c r="S222"/>
  <c r="AB209"/>
  <c r="E223"/>
  <c r="E219"/>
  <c r="E211"/>
  <c r="AC211" s="1"/>
  <c r="E216"/>
  <c r="AC216" s="1"/>
  <c r="E208"/>
  <c r="E203"/>
  <c r="AC203" s="1"/>
  <c r="E107" i="21"/>
  <c r="AA107" s="1"/>
  <c r="E110"/>
  <c r="AA110" s="1"/>
  <c r="E104"/>
  <c r="AA104" s="1"/>
  <c r="Q29" i="28"/>
  <c r="Q23"/>
  <c r="Z225" i="7" l="1"/>
  <c r="AB225" s="1"/>
  <c r="AC223" s="1"/>
  <c r="Z222"/>
  <c r="AA220"/>
  <c r="AC219" s="1"/>
  <c r="Z220"/>
  <c r="AC208"/>
  <c r="Z224"/>
  <c r="O15" i="2"/>
  <c r="P29" i="28" l="1"/>
  <c r="R29"/>
  <c r="P34"/>
  <c r="Q34"/>
  <c r="R34"/>
  <c r="S34"/>
  <c r="T34"/>
  <c r="P43"/>
  <c r="Q43"/>
  <c r="R43"/>
  <c r="P39"/>
  <c r="Q39"/>
  <c r="R39"/>
  <c r="Q90" i="21" l="1"/>
  <c r="P90"/>
  <c r="O90"/>
  <c r="N90"/>
  <c r="AC5" i="49" l="1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4"/>
  <c r="N38" i="21" l="1"/>
  <c r="N35"/>
  <c r="O14" i="37" l="1"/>
  <c r="O18" s="1"/>
  <c r="P14"/>
  <c r="Q14"/>
  <c r="Q18" s="1"/>
  <c r="R14"/>
  <c r="R18" s="1"/>
  <c r="S14"/>
  <c r="T14"/>
  <c r="U14"/>
  <c r="V14"/>
  <c r="W14"/>
  <c r="X14"/>
  <c r="Y14"/>
  <c r="O19"/>
  <c r="P19"/>
  <c r="Q19"/>
  <c r="R19"/>
  <c r="S19"/>
  <c r="T19"/>
  <c r="U19"/>
  <c r="V19"/>
  <c r="W19"/>
  <c r="X19"/>
  <c r="Y19"/>
  <c r="O24"/>
  <c r="P24"/>
  <c r="Q24"/>
  <c r="R24"/>
  <c r="R28" s="1"/>
  <c r="S24"/>
  <c r="T24"/>
  <c r="U24"/>
  <c r="V24"/>
  <c r="W24"/>
  <c r="X24"/>
  <c r="Y24"/>
  <c r="O29"/>
  <c r="P29"/>
  <c r="Q29"/>
  <c r="R29"/>
  <c r="S29"/>
  <c r="T29"/>
  <c r="U29"/>
  <c r="V29"/>
  <c r="W29"/>
  <c r="X29"/>
  <c r="Y29"/>
  <c r="O34"/>
  <c r="P34"/>
  <c r="Q34"/>
  <c r="R34"/>
  <c r="R38" s="1"/>
  <c r="S34"/>
  <c r="T34"/>
  <c r="U34"/>
  <c r="V34"/>
  <c r="W34"/>
  <c r="X34"/>
  <c r="Y34"/>
  <c r="O39"/>
  <c r="P39"/>
  <c r="Q39"/>
  <c r="R39"/>
  <c r="S39"/>
  <c r="T39"/>
  <c r="U39"/>
  <c r="V39"/>
  <c r="W39"/>
  <c r="X39"/>
  <c r="Y39"/>
  <c r="O44"/>
  <c r="P44"/>
  <c r="Q44"/>
  <c r="R44"/>
  <c r="R48" s="1"/>
  <c r="S44"/>
  <c r="T44"/>
  <c r="U44"/>
  <c r="V44"/>
  <c r="W44"/>
  <c r="X44"/>
  <c r="Y44"/>
  <c r="O49"/>
  <c r="O50" s="1"/>
  <c r="P49"/>
  <c r="P50" s="1"/>
  <c r="Q49"/>
  <c r="Q50" s="1"/>
  <c r="R49"/>
  <c r="R50" s="1"/>
  <c r="S49"/>
  <c r="S50" s="1"/>
  <c r="T49"/>
  <c r="T50" s="1"/>
  <c r="U49"/>
  <c r="U50" s="1"/>
  <c r="V49"/>
  <c r="V50" s="1"/>
  <c r="W49"/>
  <c r="W50" s="1"/>
  <c r="X49"/>
  <c r="X50" s="1"/>
  <c r="Y49"/>
  <c r="Y50" s="1"/>
  <c r="O52"/>
  <c r="O53" s="1"/>
  <c r="P52"/>
  <c r="P53" s="1"/>
  <c r="Q52"/>
  <c r="Q53" s="1"/>
  <c r="R52"/>
  <c r="R53" s="1"/>
  <c r="S52"/>
  <c r="S53" s="1"/>
  <c r="T52"/>
  <c r="T53" s="1"/>
  <c r="U52"/>
  <c r="U53" s="1"/>
  <c r="V52"/>
  <c r="V53" s="1"/>
  <c r="W52"/>
  <c r="W53" s="1"/>
  <c r="X52"/>
  <c r="X53" s="1"/>
  <c r="Y52"/>
  <c r="Y53" s="1"/>
  <c r="O55"/>
  <c r="P55"/>
  <c r="Q55"/>
  <c r="R55"/>
  <c r="S55"/>
  <c r="T55"/>
  <c r="U55"/>
  <c r="V55"/>
  <c r="W55"/>
  <c r="X55"/>
  <c r="Y55"/>
  <c r="O60"/>
  <c r="P60"/>
  <c r="Q60"/>
  <c r="R60"/>
  <c r="S60"/>
  <c r="T60"/>
  <c r="U60"/>
  <c r="V60"/>
  <c r="W60"/>
  <c r="X60"/>
  <c r="Y60"/>
  <c r="O65"/>
  <c r="P65"/>
  <c r="Q65"/>
  <c r="R65"/>
  <c r="S65"/>
  <c r="T65"/>
  <c r="U65"/>
  <c r="V65"/>
  <c r="W65"/>
  <c r="X65"/>
  <c r="Y65"/>
  <c r="O70"/>
  <c r="P70"/>
  <c r="Q70"/>
  <c r="R70"/>
  <c r="S70"/>
  <c r="T70"/>
  <c r="U70"/>
  <c r="V70"/>
  <c r="W70"/>
  <c r="X70"/>
  <c r="Y70"/>
  <c r="O75"/>
  <c r="P75"/>
  <c r="Q75"/>
  <c r="R75"/>
  <c r="S75"/>
  <c r="T75"/>
  <c r="U75"/>
  <c r="V75"/>
  <c r="W75"/>
  <c r="X75"/>
  <c r="Y75"/>
  <c r="O78"/>
  <c r="P78"/>
  <c r="Q78"/>
  <c r="R78"/>
  <c r="S78"/>
  <c r="T78"/>
  <c r="U78"/>
  <c r="V78"/>
  <c r="W78"/>
  <c r="X78"/>
  <c r="Y78"/>
  <c r="O81"/>
  <c r="P81"/>
  <c r="Q81"/>
  <c r="R81"/>
  <c r="S81"/>
  <c r="T81"/>
  <c r="U81"/>
  <c r="V81"/>
  <c r="W81"/>
  <c r="X81"/>
  <c r="Y81"/>
  <c r="O84"/>
  <c r="P84"/>
  <c r="Q84"/>
  <c r="R84"/>
  <c r="S84"/>
  <c r="T84"/>
  <c r="U84"/>
  <c r="V84"/>
  <c r="W84"/>
  <c r="X84"/>
  <c r="Y84"/>
  <c r="O87"/>
  <c r="O88" s="1"/>
  <c r="P87"/>
  <c r="P88" s="1"/>
  <c r="Q87"/>
  <c r="Q88" s="1"/>
  <c r="R87"/>
  <c r="R88" s="1"/>
  <c r="S87"/>
  <c r="S88" s="1"/>
  <c r="T87"/>
  <c r="T88" s="1"/>
  <c r="U87"/>
  <c r="U88" s="1"/>
  <c r="V87"/>
  <c r="V88" s="1"/>
  <c r="W87"/>
  <c r="W88" s="1"/>
  <c r="X87"/>
  <c r="X88" s="1"/>
  <c r="Y87"/>
  <c r="Y88" s="1"/>
  <c r="O90"/>
  <c r="O91" s="1"/>
  <c r="P90"/>
  <c r="P91" s="1"/>
  <c r="Q90"/>
  <c r="Q91" s="1"/>
  <c r="R90"/>
  <c r="R91" s="1"/>
  <c r="S90"/>
  <c r="S91" s="1"/>
  <c r="T90"/>
  <c r="T91" s="1"/>
  <c r="U90"/>
  <c r="U91" s="1"/>
  <c r="V90"/>
  <c r="V91" s="1"/>
  <c r="W90"/>
  <c r="W91" s="1"/>
  <c r="X90"/>
  <c r="X91" s="1"/>
  <c r="Y90"/>
  <c r="Y91" s="1"/>
  <c r="O93"/>
  <c r="O94" s="1"/>
  <c r="P93"/>
  <c r="P94" s="1"/>
  <c r="Q93"/>
  <c r="Q94" s="1"/>
  <c r="R93"/>
  <c r="R94" s="1"/>
  <c r="S93"/>
  <c r="S94" s="1"/>
  <c r="T93"/>
  <c r="T94" s="1"/>
  <c r="U93"/>
  <c r="U94" s="1"/>
  <c r="V93"/>
  <c r="V94" s="1"/>
  <c r="W93"/>
  <c r="W94" s="1"/>
  <c r="X93"/>
  <c r="X94" s="1"/>
  <c r="Y93"/>
  <c r="Y94" s="1"/>
  <c r="O96"/>
  <c r="O97" s="1"/>
  <c r="P96"/>
  <c r="P97" s="1"/>
  <c r="Q96"/>
  <c r="Q97" s="1"/>
  <c r="R96"/>
  <c r="R97" s="1"/>
  <c r="S96"/>
  <c r="S97" s="1"/>
  <c r="T96"/>
  <c r="T97" s="1"/>
  <c r="U96"/>
  <c r="U97" s="1"/>
  <c r="V96"/>
  <c r="V97" s="1"/>
  <c r="W96"/>
  <c r="W97" s="1"/>
  <c r="X96"/>
  <c r="X97" s="1"/>
  <c r="Y96"/>
  <c r="Y97" s="1"/>
  <c r="O99"/>
  <c r="P99"/>
  <c r="Q99"/>
  <c r="R99"/>
  <c r="S99"/>
  <c r="T99"/>
  <c r="U99"/>
  <c r="V99"/>
  <c r="W99"/>
  <c r="X99"/>
  <c r="Y99"/>
  <c r="O102"/>
  <c r="P102"/>
  <c r="Q102"/>
  <c r="R102"/>
  <c r="S102"/>
  <c r="T102"/>
  <c r="U102"/>
  <c r="V102"/>
  <c r="W102"/>
  <c r="X102"/>
  <c r="Y102"/>
  <c r="O105"/>
  <c r="P105"/>
  <c r="Q105"/>
  <c r="R105"/>
  <c r="S105"/>
  <c r="T105"/>
  <c r="U105"/>
  <c r="V105"/>
  <c r="W105"/>
  <c r="X105"/>
  <c r="Y105"/>
  <c r="O108"/>
  <c r="P108"/>
  <c r="Q108"/>
  <c r="R108"/>
  <c r="S108"/>
  <c r="T108"/>
  <c r="U108"/>
  <c r="V108"/>
  <c r="W108"/>
  <c r="X108"/>
  <c r="Y108"/>
  <c r="O111"/>
  <c r="O112" s="1"/>
  <c r="P111"/>
  <c r="P112" s="1"/>
  <c r="Q111"/>
  <c r="Q112" s="1"/>
  <c r="R111"/>
  <c r="R112" s="1"/>
  <c r="S111"/>
  <c r="S112" s="1"/>
  <c r="T111"/>
  <c r="T112" s="1"/>
  <c r="U111"/>
  <c r="U112" s="1"/>
  <c r="V111"/>
  <c r="V112" s="1"/>
  <c r="W111"/>
  <c r="W112" s="1"/>
  <c r="X111"/>
  <c r="X112" s="1"/>
  <c r="Y111"/>
  <c r="Y112" s="1"/>
  <c r="O114"/>
  <c r="P114"/>
  <c r="Q114"/>
  <c r="R114"/>
  <c r="S114"/>
  <c r="T114"/>
  <c r="U114"/>
  <c r="V114"/>
  <c r="W114"/>
  <c r="X114"/>
  <c r="Y114"/>
  <c r="O117"/>
  <c r="O118" s="1"/>
  <c r="P117"/>
  <c r="P118" s="1"/>
  <c r="Q117"/>
  <c r="Q118" s="1"/>
  <c r="R117"/>
  <c r="R118" s="1"/>
  <c r="S117"/>
  <c r="S118" s="1"/>
  <c r="T117"/>
  <c r="T118" s="1"/>
  <c r="U117"/>
  <c r="U118" s="1"/>
  <c r="V117"/>
  <c r="V118" s="1"/>
  <c r="W117"/>
  <c r="W118" s="1"/>
  <c r="X117"/>
  <c r="X118" s="1"/>
  <c r="Y117"/>
  <c r="Y118" s="1"/>
  <c r="O120"/>
  <c r="O121" s="1"/>
  <c r="P120"/>
  <c r="P121" s="1"/>
  <c r="Q120"/>
  <c r="Q121" s="1"/>
  <c r="R120"/>
  <c r="R121" s="1"/>
  <c r="S120"/>
  <c r="S121" s="1"/>
  <c r="T120"/>
  <c r="T121" s="1"/>
  <c r="U120"/>
  <c r="U121" s="1"/>
  <c r="V120"/>
  <c r="V121" s="1"/>
  <c r="W120"/>
  <c r="W121" s="1"/>
  <c r="X120"/>
  <c r="X121" s="1"/>
  <c r="Y120"/>
  <c r="Y121" s="1"/>
  <c r="O123"/>
  <c r="O124" s="1"/>
  <c r="P123"/>
  <c r="P124" s="1"/>
  <c r="Q123"/>
  <c r="Q124" s="1"/>
  <c r="R123"/>
  <c r="R124" s="1"/>
  <c r="S123"/>
  <c r="S124" s="1"/>
  <c r="T123"/>
  <c r="T124" s="1"/>
  <c r="U123"/>
  <c r="U124" s="1"/>
  <c r="V123"/>
  <c r="V124" s="1"/>
  <c r="W123"/>
  <c r="W124" s="1"/>
  <c r="X123"/>
  <c r="X124" s="1"/>
  <c r="Y123"/>
  <c r="Y124" s="1"/>
  <c r="O14" i="28"/>
  <c r="P14"/>
  <c r="Q14"/>
  <c r="R14"/>
  <c r="S14"/>
  <c r="T14"/>
  <c r="U14"/>
  <c r="V14"/>
  <c r="W14"/>
  <c r="X14"/>
  <c r="Y14"/>
  <c r="O17"/>
  <c r="P17"/>
  <c r="Q17"/>
  <c r="R17"/>
  <c r="S17"/>
  <c r="T17"/>
  <c r="U17"/>
  <c r="V17"/>
  <c r="W17"/>
  <c r="X17"/>
  <c r="Y17"/>
  <c r="O23"/>
  <c r="P23"/>
  <c r="R23"/>
  <c r="S23"/>
  <c r="T23"/>
  <c r="U23"/>
  <c r="V23"/>
  <c r="W23"/>
  <c r="X23"/>
  <c r="Y23"/>
  <c r="O29"/>
  <c r="S29"/>
  <c r="T29"/>
  <c r="U29"/>
  <c r="V29"/>
  <c r="W29"/>
  <c r="X29"/>
  <c r="Y29"/>
  <c r="O34"/>
  <c r="U34"/>
  <c r="V34"/>
  <c r="W34"/>
  <c r="X34"/>
  <c r="Y34"/>
  <c r="O39"/>
  <c r="S39"/>
  <c r="T39"/>
  <c r="U39"/>
  <c r="V39"/>
  <c r="W39"/>
  <c r="X39"/>
  <c r="Y39"/>
  <c r="O43"/>
  <c r="S43"/>
  <c r="T43"/>
  <c r="U43"/>
  <c r="V43"/>
  <c r="W43"/>
  <c r="X43"/>
  <c r="Y43"/>
  <c r="O48"/>
  <c r="P48"/>
  <c r="Q48"/>
  <c r="R48"/>
  <c r="S48"/>
  <c r="T48"/>
  <c r="U48"/>
  <c r="V48"/>
  <c r="W48"/>
  <c r="X48"/>
  <c r="Y48"/>
  <c r="O51"/>
  <c r="P51"/>
  <c r="Q51"/>
  <c r="R51"/>
  <c r="S51"/>
  <c r="T51"/>
  <c r="U51"/>
  <c r="V51"/>
  <c r="W51"/>
  <c r="X51"/>
  <c r="Y51"/>
  <c r="O54"/>
  <c r="P54"/>
  <c r="Q54"/>
  <c r="R54"/>
  <c r="S54"/>
  <c r="T54"/>
  <c r="U54"/>
  <c r="V54"/>
  <c r="W54"/>
  <c r="X54"/>
  <c r="Y54"/>
  <c r="O59"/>
  <c r="P59"/>
  <c r="Q59"/>
  <c r="R59"/>
  <c r="S59"/>
  <c r="T59"/>
  <c r="U59"/>
  <c r="V59"/>
  <c r="W59"/>
  <c r="X59"/>
  <c r="Y59"/>
  <c r="O64"/>
  <c r="P64"/>
  <c r="Q64"/>
  <c r="R64"/>
  <c r="S64"/>
  <c r="T64"/>
  <c r="U64"/>
  <c r="V64"/>
  <c r="W64"/>
  <c r="X64"/>
  <c r="Y64"/>
  <c r="O67"/>
  <c r="P67"/>
  <c r="Q67"/>
  <c r="R67"/>
  <c r="S67"/>
  <c r="T67"/>
  <c r="U67"/>
  <c r="V67"/>
  <c r="W67"/>
  <c r="X67"/>
  <c r="Y67"/>
  <c r="O70"/>
  <c r="P70"/>
  <c r="Q70"/>
  <c r="R70"/>
  <c r="S70"/>
  <c r="T70"/>
  <c r="U70"/>
  <c r="V70"/>
  <c r="W70"/>
  <c r="X70"/>
  <c r="Y70"/>
  <c r="O76"/>
  <c r="P76"/>
  <c r="Q76"/>
  <c r="R76"/>
  <c r="S76"/>
  <c r="T76"/>
  <c r="U76"/>
  <c r="V76"/>
  <c r="W76"/>
  <c r="X76"/>
  <c r="Y76"/>
  <c r="O79"/>
  <c r="P79"/>
  <c r="Q79"/>
  <c r="R79"/>
  <c r="S79"/>
  <c r="T79"/>
  <c r="U79"/>
  <c r="V79"/>
  <c r="W79"/>
  <c r="X79"/>
  <c r="Y79"/>
  <c r="O85"/>
  <c r="P85"/>
  <c r="Q85"/>
  <c r="R85"/>
  <c r="S85"/>
  <c r="T85"/>
  <c r="U85"/>
  <c r="V85"/>
  <c r="W85"/>
  <c r="X85"/>
  <c r="Y85"/>
  <c r="O88"/>
  <c r="P88"/>
  <c r="Q88"/>
  <c r="R88"/>
  <c r="S88"/>
  <c r="T88"/>
  <c r="U88"/>
  <c r="V88"/>
  <c r="W88"/>
  <c r="X88"/>
  <c r="Y88"/>
  <c r="O91"/>
  <c r="P91"/>
  <c r="Q91"/>
  <c r="R91"/>
  <c r="S91"/>
  <c r="T91"/>
  <c r="U91"/>
  <c r="V91"/>
  <c r="W91"/>
  <c r="X91"/>
  <c r="Y91"/>
  <c r="O94"/>
  <c r="P94"/>
  <c r="Q94"/>
  <c r="R94"/>
  <c r="S94"/>
  <c r="T94"/>
  <c r="U94"/>
  <c r="V94"/>
  <c r="W94"/>
  <c r="X94"/>
  <c r="Y94"/>
  <c r="O97"/>
  <c r="P97"/>
  <c r="Q97"/>
  <c r="R97"/>
  <c r="S97"/>
  <c r="T97"/>
  <c r="U97"/>
  <c r="V97"/>
  <c r="W97"/>
  <c r="X97"/>
  <c r="Y97"/>
  <c r="O100"/>
  <c r="P100"/>
  <c r="Q100"/>
  <c r="R100"/>
  <c r="S100"/>
  <c r="T100"/>
  <c r="U100"/>
  <c r="V100"/>
  <c r="W100"/>
  <c r="X100"/>
  <c r="Y100"/>
  <c r="O103"/>
  <c r="P103"/>
  <c r="Q103"/>
  <c r="R103"/>
  <c r="S103"/>
  <c r="T103"/>
  <c r="U103"/>
  <c r="V103"/>
  <c r="W103"/>
  <c r="X103"/>
  <c r="Y103"/>
  <c r="O106"/>
  <c r="P106"/>
  <c r="Q106"/>
  <c r="R106"/>
  <c r="S106"/>
  <c r="T106"/>
  <c r="U106"/>
  <c r="V106"/>
  <c r="W106"/>
  <c r="X106"/>
  <c r="Y106"/>
  <c r="O109"/>
  <c r="P109"/>
  <c r="Q109"/>
  <c r="R109"/>
  <c r="S109"/>
  <c r="T109"/>
  <c r="U109"/>
  <c r="V109"/>
  <c r="W109"/>
  <c r="X109"/>
  <c r="Y109"/>
  <c r="O112"/>
  <c r="P112"/>
  <c r="Q112"/>
  <c r="R112"/>
  <c r="S112"/>
  <c r="T112"/>
  <c r="U112"/>
  <c r="V112"/>
  <c r="W112"/>
  <c r="X112"/>
  <c r="Y112"/>
  <c r="O118"/>
  <c r="P118"/>
  <c r="Q118"/>
  <c r="R118"/>
  <c r="S118"/>
  <c r="T118"/>
  <c r="U118"/>
  <c r="V118"/>
  <c r="W118"/>
  <c r="X118"/>
  <c r="Y118"/>
  <c r="O124"/>
  <c r="P124"/>
  <c r="Q124"/>
  <c r="R124"/>
  <c r="S124"/>
  <c r="T124"/>
  <c r="U124"/>
  <c r="V124"/>
  <c r="W124"/>
  <c r="X124"/>
  <c r="Y124"/>
  <c r="O127"/>
  <c r="P127"/>
  <c r="Q127"/>
  <c r="R127"/>
  <c r="S127"/>
  <c r="T127"/>
  <c r="U127"/>
  <c r="V127"/>
  <c r="W127"/>
  <c r="X127"/>
  <c r="Y127"/>
  <c r="O133"/>
  <c r="P133"/>
  <c r="Q133"/>
  <c r="R133"/>
  <c r="S133"/>
  <c r="T133"/>
  <c r="U133"/>
  <c r="V133"/>
  <c r="W133"/>
  <c r="X133"/>
  <c r="Y133"/>
  <c r="O139"/>
  <c r="P139"/>
  <c r="Q139"/>
  <c r="R139"/>
  <c r="S139"/>
  <c r="T139"/>
  <c r="U139"/>
  <c r="V139"/>
  <c r="W139"/>
  <c r="X139"/>
  <c r="Y139"/>
  <c r="O142"/>
  <c r="P142"/>
  <c r="Q142"/>
  <c r="R142"/>
  <c r="S142"/>
  <c r="T142"/>
  <c r="U142"/>
  <c r="V142"/>
  <c r="W142"/>
  <c r="X142"/>
  <c r="Y142"/>
  <c r="O145"/>
  <c r="P145"/>
  <c r="Q145"/>
  <c r="R145"/>
  <c r="S145"/>
  <c r="T145"/>
  <c r="U145"/>
  <c r="V145"/>
  <c r="W145"/>
  <c r="X145"/>
  <c r="Y145"/>
  <c r="O148"/>
  <c r="P148"/>
  <c r="Q148"/>
  <c r="R148"/>
  <c r="S148"/>
  <c r="T148"/>
  <c r="U148"/>
  <c r="V148"/>
  <c r="W148"/>
  <c r="X148"/>
  <c r="Y148"/>
  <c r="O151"/>
  <c r="P151"/>
  <c r="Q151"/>
  <c r="R151"/>
  <c r="S151"/>
  <c r="T151"/>
  <c r="U151"/>
  <c r="V151"/>
  <c r="W151"/>
  <c r="X151"/>
  <c r="Y151"/>
  <c r="O154"/>
  <c r="P154"/>
  <c r="Q154"/>
  <c r="R154"/>
  <c r="S154"/>
  <c r="T154"/>
  <c r="U154"/>
  <c r="V154"/>
  <c r="W154"/>
  <c r="X154"/>
  <c r="Y154"/>
  <c r="O157"/>
  <c r="P157"/>
  <c r="Q157"/>
  <c r="R157"/>
  <c r="S157"/>
  <c r="T157"/>
  <c r="U157"/>
  <c r="V157"/>
  <c r="W157"/>
  <c r="X157"/>
  <c r="Y157"/>
  <c r="O160"/>
  <c r="P160"/>
  <c r="Q160"/>
  <c r="R160"/>
  <c r="S160"/>
  <c r="T160"/>
  <c r="U160"/>
  <c r="V160"/>
  <c r="W160"/>
  <c r="X160"/>
  <c r="Y160"/>
  <c r="O163"/>
  <c r="P163"/>
  <c r="Q163"/>
  <c r="R163"/>
  <c r="S163"/>
  <c r="T163"/>
  <c r="U163"/>
  <c r="V163"/>
  <c r="W163"/>
  <c r="X163"/>
  <c r="Y163"/>
  <c r="O166"/>
  <c r="P166"/>
  <c r="Q166"/>
  <c r="R166"/>
  <c r="S166"/>
  <c r="T166"/>
  <c r="U166"/>
  <c r="V166"/>
  <c r="W166"/>
  <c r="X166"/>
  <c r="Y166"/>
  <c r="O172"/>
  <c r="P172"/>
  <c r="Q172"/>
  <c r="R172"/>
  <c r="S172"/>
  <c r="T172"/>
  <c r="U172"/>
  <c r="V172"/>
  <c r="W172"/>
  <c r="X172"/>
  <c r="Y172"/>
  <c r="O175"/>
  <c r="P175"/>
  <c r="Q175"/>
  <c r="R175"/>
  <c r="S175"/>
  <c r="T175"/>
  <c r="U175"/>
  <c r="V175"/>
  <c r="W175"/>
  <c r="X175"/>
  <c r="Y175"/>
  <c r="O14" i="7"/>
  <c r="P14"/>
  <c r="Q14"/>
  <c r="R14"/>
  <c r="S14"/>
  <c r="T14"/>
  <c r="U14"/>
  <c r="V14"/>
  <c r="W14"/>
  <c r="X14"/>
  <c r="Y14"/>
  <c r="O19"/>
  <c r="P19"/>
  <c r="Q19"/>
  <c r="R19"/>
  <c r="S19"/>
  <c r="T19"/>
  <c r="U19"/>
  <c r="V19"/>
  <c r="W19"/>
  <c r="X19"/>
  <c r="Y19"/>
  <c r="O25"/>
  <c r="P25"/>
  <c r="Q25"/>
  <c r="R25"/>
  <c r="S25"/>
  <c r="T25"/>
  <c r="U25"/>
  <c r="V25"/>
  <c r="W25"/>
  <c r="X25"/>
  <c r="Y25"/>
  <c r="O30"/>
  <c r="P30"/>
  <c r="Q30"/>
  <c r="R30"/>
  <c r="S30"/>
  <c r="T30"/>
  <c r="U30"/>
  <c r="V30"/>
  <c r="W30"/>
  <c r="X30"/>
  <c r="Y30"/>
  <c r="O36"/>
  <c r="O37" s="1"/>
  <c r="P36"/>
  <c r="P37" s="1"/>
  <c r="Q36"/>
  <c r="Q37" s="1"/>
  <c r="R36"/>
  <c r="R37" s="1"/>
  <c r="S36"/>
  <c r="S37" s="1"/>
  <c r="T36"/>
  <c r="T37" s="1"/>
  <c r="U36"/>
  <c r="U37" s="1"/>
  <c r="V36"/>
  <c r="V37" s="1"/>
  <c r="W36"/>
  <c r="W37" s="1"/>
  <c r="X36"/>
  <c r="X37" s="1"/>
  <c r="Y36"/>
  <c r="Y37" s="1"/>
  <c r="O43"/>
  <c r="O44" s="1"/>
  <c r="P43"/>
  <c r="P44" s="1"/>
  <c r="Q43"/>
  <c r="Q44" s="1"/>
  <c r="R43"/>
  <c r="R44" s="1"/>
  <c r="S43"/>
  <c r="S44" s="1"/>
  <c r="T43"/>
  <c r="T44" s="1"/>
  <c r="U43"/>
  <c r="U44" s="1"/>
  <c r="V43"/>
  <c r="V44" s="1"/>
  <c r="W43"/>
  <c r="W44" s="1"/>
  <c r="X43"/>
  <c r="X47" s="1"/>
  <c r="Y43"/>
  <c r="Y44" s="1"/>
  <c r="O48"/>
  <c r="P48"/>
  <c r="Q48"/>
  <c r="R48"/>
  <c r="S48"/>
  <c r="T48"/>
  <c r="U48"/>
  <c r="V48"/>
  <c r="W48"/>
  <c r="X48"/>
  <c r="Y48"/>
  <c r="O53"/>
  <c r="P53"/>
  <c r="Q53"/>
  <c r="R53"/>
  <c r="S53"/>
  <c r="T53"/>
  <c r="U53"/>
  <c r="V53"/>
  <c r="W53"/>
  <c r="X53"/>
  <c r="Y53"/>
  <c r="O57"/>
  <c r="P57"/>
  <c r="Q57"/>
  <c r="R57"/>
  <c r="S57"/>
  <c r="T57"/>
  <c r="U57"/>
  <c r="V57"/>
  <c r="W57"/>
  <c r="X57"/>
  <c r="Y57"/>
  <c r="O63"/>
  <c r="P63"/>
  <c r="Q63"/>
  <c r="R63"/>
  <c r="S63"/>
  <c r="T63"/>
  <c r="U63"/>
  <c r="V63"/>
  <c r="W63"/>
  <c r="X63"/>
  <c r="Y63"/>
  <c r="O69"/>
  <c r="P69"/>
  <c r="Q69"/>
  <c r="R69"/>
  <c r="S69"/>
  <c r="T69"/>
  <c r="U69"/>
  <c r="V69"/>
  <c r="W69"/>
  <c r="X69"/>
  <c r="Y69"/>
  <c r="O75"/>
  <c r="O77" s="1"/>
  <c r="P75"/>
  <c r="P77" s="1"/>
  <c r="Q75"/>
  <c r="Q77" s="1"/>
  <c r="R75"/>
  <c r="R77" s="1"/>
  <c r="S75"/>
  <c r="S77" s="1"/>
  <c r="T75"/>
  <c r="T77" s="1"/>
  <c r="U75"/>
  <c r="U77" s="1"/>
  <c r="V75"/>
  <c r="V77" s="1"/>
  <c r="W75"/>
  <c r="W77" s="1"/>
  <c r="X75"/>
  <c r="X77" s="1"/>
  <c r="Y75"/>
  <c r="Y77" s="1"/>
  <c r="O78"/>
  <c r="O80" s="1"/>
  <c r="P78"/>
  <c r="P80" s="1"/>
  <c r="Q78"/>
  <c r="Q80" s="1"/>
  <c r="R78"/>
  <c r="R80" s="1"/>
  <c r="S78"/>
  <c r="S80" s="1"/>
  <c r="T78"/>
  <c r="T80" s="1"/>
  <c r="U78"/>
  <c r="U80" s="1"/>
  <c r="V78"/>
  <c r="V80" s="1"/>
  <c r="W78"/>
  <c r="W80" s="1"/>
  <c r="X78"/>
  <c r="X80" s="1"/>
  <c r="Y78"/>
  <c r="Y80" s="1"/>
  <c r="O81"/>
  <c r="O82" s="1"/>
  <c r="P81"/>
  <c r="P82" s="1"/>
  <c r="Q81"/>
  <c r="Q82" s="1"/>
  <c r="R81"/>
  <c r="R82" s="1"/>
  <c r="S81"/>
  <c r="S82" s="1"/>
  <c r="T81"/>
  <c r="T82" s="1"/>
  <c r="U81"/>
  <c r="U82" s="1"/>
  <c r="V81"/>
  <c r="V82" s="1"/>
  <c r="W81"/>
  <c r="W82" s="1"/>
  <c r="X81"/>
  <c r="X82" s="1"/>
  <c r="Y81"/>
  <c r="Y82" s="1"/>
  <c r="O84"/>
  <c r="O88" s="1"/>
  <c r="P84"/>
  <c r="P88" s="1"/>
  <c r="Q84"/>
  <c r="Q88" s="1"/>
  <c r="R84"/>
  <c r="R88" s="1"/>
  <c r="S84"/>
  <c r="S88" s="1"/>
  <c r="T84"/>
  <c r="T88" s="1"/>
  <c r="U84"/>
  <c r="U88" s="1"/>
  <c r="V84"/>
  <c r="V88" s="1"/>
  <c r="W84"/>
  <c r="W88" s="1"/>
  <c r="X84"/>
  <c r="X88" s="1"/>
  <c r="Y84"/>
  <c r="Y88" s="1"/>
  <c r="O89"/>
  <c r="O93" s="1"/>
  <c r="P89"/>
  <c r="P93" s="1"/>
  <c r="Q89"/>
  <c r="Q93" s="1"/>
  <c r="R89"/>
  <c r="R93" s="1"/>
  <c r="S89"/>
  <c r="S93" s="1"/>
  <c r="T89"/>
  <c r="T93" s="1"/>
  <c r="U89"/>
  <c r="U93" s="1"/>
  <c r="V89"/>
  <c r="V93" s="1"/>
  <c r="W89"/>
  <c r="W93" s="1"/>
  <c r="X89"/>
  <c r="X93" s="1"/>
  <c r="Y89"/>
  <c r="Y93" s="1"/>
  <c r="O94"/>
  <c r="O98" s="1"/>
  <c r="P94"/>
  <c r="P98" s="1"/>
  <c r="Q94"/>
  <c r="Q98" s="1"/>
  <c r="R94"/>
  <c r="R98" s="1"/>
  <c r="S94"/>
  <c r="S98" s="1"/>
  <c r="T94"/>
  <c r="T98" s="1"/>
  <c r="U94"/>
  <c r="U98" s="1"/>
  <c r="V94"/>
  <c r="V98" s="1"/>
  <c r="W94"/>
  <c r="W98" s="1"/>
  <c r="X94"/>
  <c r="X98" s="1"/>
  <c r="Y94"/>
  <c r="Y98" s="1"/>
  <c r="O99"/>
  <c r="O103" s="1"/>
  <c r="P99"/>
  <c r="P103" s="1"/>
  <c r="Q99"/>
  <c r="Q103" s="1"/>
  <c r="R99"/>
  <c r="R103" s="1"/>
  <c r="S99"/>
  <c r="S103" s="1"/>
  <c r="T99"/>
  <c r="T103" s="1"/>
  <c r="U99"/>
  <c r="U103" s="1"/>
  <c r="V99"/>
  <c r="V103" s="1"/>
  <c r="W99"/>
  <c r="W103" s="1"/>
  <c r="X99"/>
  <c r="X103" s="1"/>
  <c r="Y99"/>
  <c r="Y103" s="1"/>
  <c r="O104"/>
  <c r="O108" s="1"/>
  <c r="P104"/>
  <c r="P108" s="1"/>
  <c r="Q104"/>
  <c r="Q108" s="1"/>
  <c r="R104"/>
  <c r="R108" s="1"/>
  <c r="S104"/>
  <c r="S108" s="1"/>
  <c r="T104"/>
  <c r="T108" s="1"/>
  <c r="U104"/>
  <c r="U108" s="1"/>
  <c r="V104"/>
  <c r="V108" s="1"/>
  <c r="W104"/>
  <c r="W108" s="1"/>
  <c r="X104"/>
  <c r="X108" s="1"/>
  <c r="Y104"/>
  <c r="Y108" s="1"/>
  <c r="O109"/>
  <c r="O110" s="1"/>
  <c r="P109"/>
  <c r="P110" s="1"/>
  <c r="Q109"/>
  <c r="Q110" s="1"/>
  <c r="R109"/>
  <c r="R110" s="1"/>
  <c r="S109"/>
  <c r="S110" s="1"/>
  <c r="T109"/>
  <c r="T110" s="1"/>
  <c r="U109"/>
  <c r="U110" s="1"/>
  <c r="V109"/>
  <c r="V110" s="1"/>
  <c r="W109"/>
  <c r="W110" s="1"/>
  <c r="X109"/>
  <c r="X114" s="1"/>
  <c r="Y109"/>
  <c r="Y110" s="1"/>
  <c r="O115"/>
  <c r="O116" s="1"/>
  <c r="P115"/>
  <c r="P116" s="1"/>
  <c r="Q115"/>
  <c r="Q116" s="1"/>
  <c r="R115"/>
  <c r="R116" s="1"/>
  <c r="S115"/>
  <c r="S116" s="1"/>
  <c r="T115"/>
  <c r="T117" s="1"/>
  <c r="U115"/>
  <c r="U116" s="1"/>
  <c r="V115"/>
  <c r="V116" s="1"/>
  <c r="W115"/>
  <c r="W116" s="1"/>
  <c r="X115"/>
  <c r="X116" s="1"/>
  <c r="Y115"/>
  <c r="Y116" s="1"/>
  <c r="O119"/>
  <c r="O120" s="1"/>
  <c r="P119"/>
  <c r="P120" s="1"/>
  <c r="Q119"/>
  <c r="Q121" s="1"/>
  <c r="R119"/>
  <c r="R120" s="1"/>
  <c r="S119"/>
  <c r="S120" s="1"/>
  <c r="T119"/>
  <c r="T120" s="1"/>
  <c r="U119"/>
  <c r="U120" s="1"/>
  <c r="V119"/>
  <c r="V120" s="1"/>
  <c r="W119"/>
  <c r="W120" s="1"/>
  <c r="X119"/>
  <c r="X121" s="1"/>
  <c r="Y119"/>
  <c r="Y120" s="1"/>
  <c r="O123"/>
  <c r="O124" s="1"/>
  <c r="P123"/>
  <c r="P124" s="1"/>
  <c r="Q123"/>
  <c r="Q124" s="1"/>
  <c r="R123"/>
  <c r="R124" s="1"/>
  <c r="S123"/>
  <c r="S124" s="1"/>
  <c r="T123"/>
  <c r="T125" s="1"/>
  <c r="U123"/>
  <c r="U125" s="1"/>
  <c r="V123"/>
  <c r="V124" s="1"/>
  <c r="W123"/>
  <c r="W124" s="1"/>
  <c r="X123"/>
  <c r="X124" s="1"/>
  <c r="Y123"/>
  <c r="Y124" s="1"/>
  <c r="O127"/>
  <c r="O128" s="1"/>
  <c r="P127"/>
  <c r="P128" s="1"/>
  <c r="Q127"/>
  <c r="Q129" s="1"/>
  <c r="R127"/>
  <c r="R129" s="1"/>
  <c r="S127"/>
  <c r="S129" s="1"/>
  <c r="T127"/>
  <c r="T128" s="1"/>
  <c r="U127"/>
  <c r="U128" s="1"/>
  <c r="V127"/>
  <c r="V128" s="1"/>
  <c r="W127"/>
  <c r="W128" s="1"/>
  <c r="X127"/>
  <c r="X128" s="1"/>
  <c r="Y127"/>
  <c r="Y128" s="1"/>
  <c r="O134"/>
  <c r="P134"/>
  <c r="Q134"/>
  <c r="W134"/>
  <c r="X134"/>
  <c r="Y134"/>
  <c r="O135"/>
  <c r="O138" s="1"/>
  <c r="P135"/>
  <c r="P138" s="1"/>
  <c r="Q135"/>
  <c r="Q138" s="1"/>
  <c r="R135"/>
  <c r="R138" s="1"/>
  <c r="S135"/>
  <c r="S138" s="1"/>
  <c r="T135"/>
  <c r="T138" s="1"/>
  <c r="U135"/>
  <c r="U138" s="1"/>
  <c r="V135"/>
  <c r="V138" s="1"/>
  <c r="W135"/>
  <c r="W138" s="1"/>
  <c r="X135"/>
  <c r="X138" s="1"/>
  <c r="Y135"/>
  <c r="Y138" s="1"/>
  <c r="O139"/>
  <c r="O142" s="1"/>
  <c r="P139"/>
  <c r="P142" s="1"/>
  <c r="Q139"/>
  <c r="Q142" s="1"/>
  <c r="R139"/>
  <c r="R142" s="1"/>
  <c r="S139"/>
  <c r="S142" s="1"/>
  <c r="T139"/>
  <c r="T142" s="1"/>
  <c r="U139"/>
  <c r="U142" s="1"/>
  <c r="V139"/>
  <c r="V142" s="1"/>
  <c r="W139"/>
  <c r="W142" s="1"/>
  <c r="X139"/>
  <c r="X142" s="1"/>
  <c r="Y139"/>
  <c r="Y142" s="1"/>
  <c r="O143"/>
  <c r="O147" s="1"/>
  <c r="P143"/>
  <c r="P147" s="1"/>
  <c r="Q143"/>
  <c r="Q147" s="1"/>
  <c r="R143"/>
  <c r="R147" s="1"/>
  <c r="S143"/>
  <c r="S147" s="1"/>
  <c r="T143"/>
  <c r="T147" s="1"/>
  <c r="U143"/>
  <c r="U147" s="1"/>
  <c r="V143"/>
  <c r="V147" s="1"/>
  <c r="W143"/>
  <c r="W147" s="1"/>
  <c r="X143"/>
  <c r="X147" s="1"/>
  <c r="Y143"/>
  <c r="Y147" s="1"/>
  <c r="O148"/>
  <c r="O151" s="1"/>
  <c r="P148"/>
  <c r="P151" s="1"/>
  <c r="Q148"/>
  <c r="Q151" s="1"/>
  <c r="R148"/>
  <c r="R151" s="1"/>
  <c r="S148"/>
  <c r="S151" s="1"/>
  <c r="T148"/>
  <c r="T151" s="1"/>
  <c r="U148"/>
  <c r="U151" s="1"/>
  <c r="V148"/>
  <c r="V151" s="1"/>
  <c r="W148"/>
  <c r="W151" s="1"/>
  <c r="X148"/>
  <c r="X151" s="1"/>
  <c r="Y148"/>
  <c r="Y151" s="1"/>
  <c r="O157"/>
  <c r="O160" s="1"/>
  <c r="P157"/>
  <c r="P160" s="1"/>
  <c r="Q157"/>
  <c r="Q160" s="1"/>
  <c r="R157"/>
  <c r="R160" s="1"/>
  <c r="S157"/>
  <c r="S160" s="1"/>
  <c r="T157"/>
  <c r="T160" s="1"/>
  <c r="U157"/>
  <c r="U160" s="1"/>
  <c r="V157"/>
  <c r="V160" s="1"/>
  <c r="W157"/>
  <c r="W160" s="1"/>
  <c r="X157"/>
  <c r="X160" s="1"/>
  <c r="Y157"/>
  <c r="Y160" s="1"/>
  <c r="O161"/>
  <c r="O164" s="1"/>
  <c r="P161"/>
  <c r="P164" s="1"/>
  <c r="Q161"/>
  <c r="Q164" s="1"/>
  <c r="R161"/>
  <c r="R164" s="1"/>
  <c r="S161"/>
  <c r="S164" s="1"/>
  <c r="T161"/>
  <c r="T164" s="1"/>
  <c r="U161"/>
  <c r="U164" s="1"/>
  <c r="V161"/>
  <c r="V164" s="1"/>
  <c r="W161"/>
  <c r="W164" s="1"/>
  <c r="X161"/>
  <c r="X164" s="1"/>
  <c r="Y161"/>
  <c r="Y164" s="1"/>
  <c r="O165"/>
  <c r="O168" s="1"/>
  <c r="P165"/>
  <c r="P168" s="1"/>
  <c r="Q165"/>
  <c r="Q168" s="1"/>
  <c r="R165"/>
  <c r="R168" s="1"/>
  <c r="S165"/>
  <c r="S168" s="1"/>
  <c r="T165"/>
  <c r="T168" s="1"/>
  <c r="U165"/>
  <c r="U168" s="1"/>
  <c r="V165"/>
  <c r="V168" s="1"/>
  <c r="W165"/>
  <c r="W168" s="1"/>
  <c r="X165"/>
  <c r="X168" s="1"/>
  <c r="Y165"/>
  <c r="Y168" s="1"/>
  <c r="O169"/>
  <c r="O170" s="1"/>
  <c r="P169"/>
  <c r="P170" s="1"/>
  <c r="Q169"/>
  <c r="Q170" s="1"/>
  <c r="R169"/>
  <c r="R170" s="1"/>
  <c r="S169"/>
  <c r="S170" s="1"/>
  <c r="T169"/>
  <c r="T170" s="1"/>
  <c r="U169"/>
  <c r="U170" s="1"/>
  <c r="V169"/>
  <c r="V170" s="1"/>
  <c r="W169"/>
  <c r="W170" s="1"/>
  <c r="X169"/>
  <c r="X170" s="1"/>
  <c r="Y169"/>
  <c r="Y170" s="1"/>
  <c r="O172"/>
  <c r="O173" s="1"/>
  <c r="P172"/>
  <c r="P173" s="1"/>
  <c r="Q172"/>
  <c r="Q173" s="1"/>
  <c r="R172"/>
  <c r="R173" s="1"/>
  <c r="S172"/>
  <c r="S173" s="1"/>
  <c r="T172"/>
  <c r="T173" s="1"/>
  <c r="U172"/>
  <c r="U173" s="1"/>
  <c r="V172"/>
  <c r="V173" s="1"/>
  <c r="W172"/>
  <c r="W173" s="1"/>
  <c r="X172"/>
  <c r="X173" s="1"/>
  <c r="Y172"/>
  <c r="Y173" s="1"/>
  <c r="O175"/>
  <c r="O176" s="1"/>
  <c r="P175"/>
  <c r="P176" s="1"/>
  <c r="Q175"/>
  <c r="Q176" s="1"/>
  <c r="R175"/>
  <c r="R176" s="1"/>
  <c r="S175"/>
  <c r="S176" s="1"/>
  <c r="T175"/>
  <c r="T176" s="1"/>
  <c r="U175"/>
  <c r="U176" s="1"/>
  <c r="V175"/>
  <c r="V176" s="1"/>
  <c r="W175"/>
  <c r="W176" s="1"/>
  <c r="X175"/>
  <c r="X176" s="1"/>
  <c r="Y175"/>
  <c r="Y176" s="1"/>
  <c r="O178"/>
  <c r="O179" s="1"/>
  <c r="P178"/>
  <c r="P179" s="1"/>
  <c r="Q178"/>
  <c r="Q179" s="1"/>
  <c r="R178"/>
  <c r="R179" s="1"/>
  <c r="S178"/>
  <c r="S179" s="1"/>
  <c r="T178"/>
  <c r="T179" s="1"/>
  <c r="U178"/>
  <c r="U179" s="1"/>
  <c r="V178"/>
  <c r="V179" s="1"/>
  <c r="W178"/>
  <c r="W179" s="1"/>
  <c r="X178"/>
  <c r="X179" s="1"/>
  <c r="Y178"/>
  <c r="Y179" s="1"/>
  <c r="O181"/>
  <c r="O182" s="1"/>
  <c r="P181"/>
  <c r="P182" s="1"/>
  <c r="Q181"/>
  <c r="Q182" s="1"/>
  <c r="R181"/>
  <c r="R182" s="1"/>
  <c r="S181"/>
  <c r="S182" s="1"/>
  <c r="T181"/>
  <c r="T182" s="1"/>
  <c r="U181"/>
  <c r="U182" s="1"/>
  <c r="V181"/>
  <c r="V182" s="1"/>
  <c r="W181"/>
  <c r="W182" s="1"/>
  <c r="X181"/>
  <c r="X182" s="1"/>
  <c r="Y181"/>
  <c r="Y182" s="1"/>
  <c r="O184"/>
  <c r="O185" s="1"/>
  <c r="P184"/>
  <c r="P185" s="1"/>
  <c r="Q184"/>
  <c r="Q185" s="1"/>
  <c r="R184"/>
  <c r="R185" s="1"/>
  <c r="S184"/>
  <c r="S185" s="1"/>
  <c r="T184"/>
  <c r="T185" s="1"/>
  <c r="U184"/>
  <c r="U185" s="1"/>
  <c r="V184"/>
  <c r="V185" s="1"/>
  <c r="W184"/>
  <c r="W185" s="1"/>
  <c r="X184"/>
  <c r="X185" s="1"/>
  <c r="Y184"/>
  <c r="Y185" s="1"/>
  <c r="O187"/>
  <c r="O189" s="1"/>
  <c r="P187"/>
  <c r="P188" s="1"/>
  <c r="Q187"/>
  <c r="Q188" s="1"/>
  <c r="R187"/>
  <c r="R188" s="1"/>
  <c r="S187"/>
  <c r="S188" s="1"/>
  <c r="T187"/>
  <c r="T188" s="1"/>
  <c r="U187"/>
  <c r="U188" s="1"/>
  <c r="V187"/>
  <c r="V188" s="1"/>
  <c r="W187"/>
  <c r="W188" s="1"/>
  <c r="X187"/>
  <c r="X188" s="1"/>
  <c r="Y187"/>
  <c r="Y188" s="1"/>
  <c r="O195"/>
  <c r="O196" s="1"/>
  <c r="P195"/>
  <c r="P197" s="1"/>
  <c r="Q195"/>
  <c r="Q196" s="1"/>
  <c r="R195"/>
  <c r="R196" s="1"/>
  <c r="S195"/>
  <c r="S196" s="1"/>
  <c r="T195"/>
  <c r="T196" s="1"/>
  <c r="U195"/>
  <c r="U196" s="1"/>
  <c r="V195"/>
  <c r="V196" s="1"/>
  <c r="W195"/>
  <c r="W196" s="1"/>
  <c r="X195"/>
  <c r="X196" s="1"/>
  <c r="Y195"/>
  <c r="Y196" s="1"/>
  <c r="O199"/>
  <c r="O200" s="1"/>
  <c r="P199"/>
  <c r="P200" s="1"/>
  <c r="Q199"/>
  <c r="Q200" s="1"/>
  <c r="R199"/>
  <c r="R200" s="1"/>
  <c r="S199"/>
  <c r="S200" s="1"/>
  <c r="T199"/>
  <c r="T200" s="1"/>
  <c r="U199"/>
  <c r="U200" s="1"/>
  <c r="V199"/>
  <c r="V200" s="1"/>
  <c r="W199"/>
  <c r="W200" s="1"/>
  <c r="X199"/>
  <c r="X200" s="1"/>
  <c r="Y199"/>
  <c r="Y200" s="1"/>
  <c r="Q14" i="21"/>
  <c r="R14"/>
  <c r="S14"/>
  <c r="T14"/>
  <c r="U14"/>
  <c r="V14"/>
  <c r="W14"/>
  <c r="X14"/>
  <c r="Y14"/>
  <c r="Q17"/>
  <c r="R17"/>
  <c r="S17"/>
  <c r="T17"/>
  <c r="U17"/>
  <c r="V17"/>
  <c r="W17"/>
  <c r="X17"/>
  <c r="Y17"/>
  <c r="Q20"/>
  <c r="R20"/>
  <c r="S20"/>
  <c r="T20"/>
  <c r="U20"/>
  <c r="V20"/>
  <c r="W20"/>
  <c r="X20"/>
  <c r="Y20"/>
  <c r="Q23"/>
  <c r="R23"/>
  <c r="S23"/>
  <c r="T23"/>
  <c r="U23"/>
  <c r="V23"/>
  <c r="W23"/>
  <c r="X23"/>
  <c r="Y23"/>
  <c r="Q26"/>
  <c r="R26"/>
  <c r="S26"/>
  <c r="T26"/>
  <c r="U26"/>
  <c r="V26"/>
  <c r="W26"/>
  <c r="X26"/>
  <c r="Y26"/>
  <c r="Q29"/>
  <c r="R29"/>
  <c r="S29"/>
  <c r="T29"/>
  <c r="U29"/>
  <c r="V29"/>
  <c r="W29"/>
  <c r="X29"/>
  <c r="Y29"/>
  <c r="Q32"/>
  <c r="R32"/>
  <c r="S32"/>
  <c r="T32"/>
  <c r="U32"/>
  <c r="V32"/>
  <c r="W32"/>
  <c r="X32"/>
  <c r="Y32"/>
  <c r="Q35"/>
  <c r="R35"/>
  <c r="S35"/>
  <c r="T35"/>
  <c r="U35"/>
  <c r="V35"/>
  <c r="W35"/>
  <c r="X35"/>
  <c r="Y35"/>
  <c r="Q38"/>
  <c r="T38"/>
  <c r="U38"/>
  <c r="V38"/>
  <c r="W38"/>
  <c r="X38"/>
  <c r="Y38"/>
  <c r="Q41"/>
  <c r="R41"/>
  <c r="S41"/>
  <c r="T41"/>
  <c r="U41"/>
  <c r="V41"/>
  <c r="W41"/>
  <c r="X41"/>
  <c r="Y41"/>
  <c r="Q44"/>
  <c r="R44"/>
  <c r="S44"/>
  <c r="T44"/>
  <c r="U44"/>
  <c r="V44"/>
  <c r="W44"/>
  <c r="X44"/>
  <c r="Y44"/>
  <c r="Q47"/>
  <c r="R47"/>
  <c r="S47"/>
  <c r="T47"/>
  <c r="U47"/>
  <c r="V47"/>
  <c r="W47"/>
  <c r="X47"/>
  <c r="Y47"/>
  <c r="Q50"/>
  <c r="R50"/>
  <c r="S50"/>
  <c r="T50"/>
  <c r="U50"/>
  <c r="V50"/>
  <c r="W50"/>
  <c r="X50"/>
  <c r="Y50"/>
  <c r="Q53"/>
  <c r="R53"/>
  <c r="S53"/>
  <c r="T53"/>
  <c r="U53"/>
  <c r="V53"/>
  <c r="W53"/>
  <c r="X53"/>
  <c r="Y53"/>
  <c r="Q56"/>
  <c r="R56"/>
  <c r="S56"/>
  <c r="T56"/>
  <c r="U56"/>
  <c r="V56"/>
  <c r="W56"/>
  <c r="X56"/>
  <c r="Y56"/>
  <c r="Q59"/>
  <c r="R59"/>
  <c r="S59"/>
  <c r="T59"/>
  <c r="U59"/>
  <c r="V59"/>
  <c r="W59"/>
  <c r="X59"/>
  <c r="Y59"/>
  <c r="Q62"/>
  <c r="R62"/>
  <c r="S62"/>
  <c r="T62"/>
  <c r="U62"/>
  <c r="V62"/>
  <c r="W62"/>
  <c r="X62"/>
  <c r="Y62"/>
  <c r="Q65"/>
  <c r="R65"/>
  <c r="S65"/>
  <c r="T65"/>
  <c r="U65"/>
  <c r="V65"/>
  <c r="W65"/>
  <c r="X65"/>
  <c r="Y65"/>
  <c r="Q68"/>
  <c r="R68"/>
  <c r="S68"/>
  <c r="T68"/>
  <c r="U68"/>
  <c r="V68"/>
  <c r="W68"/>
  <c r="X68"/>
  <c r="Y68"/>
  <c r="Q71"/>
  <c r="R71"/>
  <c r="S71"/>
  <c r="T71"/>
  <c r="U71"/>
  <c r="V71"/>
  <c r="W71"/>
  <c r="X71"/>
  <c r="Y71"/>
  <c r="Q74"/>
  <c r="R74"/>
  <c r="S74"/>
  <c r="T74"/>
  <c r="U74"/>
  <c r="V74"/>
  <c r="W74"/>
  <c r="X74"/>
  <c r="Y74"/>
  <c r="Q77"/>
  <c r="R77"/>
  <c r="S77"/>
  <c r="T77"/>
  <c r="U77"/>
  <c r="V77"/>
  <c r="W77"/>
  <c r="X77"/>
  <c r="Y77"/>
  <c r="Q80"/>
  <c r="R80"/>
  <c r="S80"/>
  <c r="T80"/>
  <c r="U80"/>
  <c r="V80"/>
  <c r="W80"/>
  <c r="X80"/>
  <c r="Y80"/>
  <c r="Q83"/>
  <c r="R83"/>
  <c r="S83"/>
  <c r="T83"/>
  <c r="U83"/>
  <c r="V83"/>
  <c r="W83"/>
  <c r="X83"/>
  <c r="Y83"/>
  <c r="Q86"/>
  <c r="R86"/>
  <c r="S86"/>
  <c r="T86"/>
  <c r="U86"/>
  <c r="V86"/>
  <c r="W86"/>
  <c r="X86"/>
  <c r="Y86"/>
  <c r="Q89"/>
  <c r="R89"/>
  <c r="S89"/>
  <c r="T89"/>
  <c r="U89"/>
  <c r="V89"/>
  <c r="W89"/>
  <c r="X89"/>
  <c r="Y89"/>
  <c r="Q92"/>
  <c r="R92"/>
  <c r="S92"/>
  <c r="T92"/>
  <c r="U92"/>
  <c r="V92"/>
  <c r="W92"/>
  <c r="X92"/>
  <c r="Y92"/>
  <c r="Q95"/>
  <c r="R95"/>
  <c r="S95"/>
  <c r="T95"/>
  <c r="U95"/>
  <c r="V95"/>
  <c r="W95"/>
  <c r="X95"/>
  <c r="Y95"/>
  <c r="Q98"/>
  <c r="R98"/>
  <c r="S98"/>
  <c r="T98"/>
  <c r="U98"/>
  <c r="V98"/>
  <c r="W98"/>
  <c r="X98"/>
  <c r="Y98"/>
  <c r="Q101"/>
  <c r="R101"/>
  <c r="S101"/>
  <c r="T101"/>
  <c r="U101"/>
  <c r="V101"/>
  <c r="W101"/>
  <c r="X101"/>
  <c r="Y101"/>
  <c r="O14"/>
  <c r="P14"/>
  <c r="O17"/>
  <c r="P17"/>
  <c r="O20"/>
  <c r="P20"/>
  <c r="O23"/>
  <c r="P23"/>
  <c r="O26"/>
  <c r="P26"/>
  <c r="O29"/>
  <c r="P29"/>
  <c r="O32"/>
  <c r="P32"/>
  <c r="O35"/>
  <c r="P35"/>
  <c r="O38"/>
  <c r="P38"/>
  <c r="O41"/>
  <c r="P41"/>
  <c r="O44"/>
  <c r="P44"/>
  <c r="O47"/>
  <c r="P47"/>
  <c r="O50"/>
  <c r="P50"/>
  <c r="O53"/>
  <c r="P53"/>
  <c r="O56"/>
  <c r="P56"/>
  <c r="O59"/>
  <c r="P59"/>
  <c r="O62"/>
  <c r="P62"/>
  <c r="O65"/>
  <c r="P65"/>
  <c r="O68"/>
  <c r="P68"/>
  <c r="O71"/>
  <c r="P71"/>
  <c r="O74"/>
  <c r="P74"/>
  <c r="O77"/>
  <c r="P77"/>
  <c r="O80"/>
  <c r="P80"/>
  <c r="O83"/>
  <c r="P83"/>
  <c r="O86"/>
  <c r="P86"/>
  <c r="O89"/>
  <c r="P89"/>
  <c r="O92"/>
  <c r="P92"/>
  <c r="O95"/>
  <c r="P95"/>
  <c r="O98"/>
  <c r="P98"/>
  <c r="O101"/>
  <c r="P101"/>
  <c r="U223" i="28" l="1"/>
  <c r="V223"/>
  <c r="W223"/>
  <c r="O223"/>
  <c r="X223"/>
  <c r="P223"/>
  <c r="Y223"/>
  <c r="Q223"/>
  <c r="R223"/>
  <c r="S223"/>
  <c r="T223"/>
  <c r="X26" i="37"/>
  <c r="X27"/>
  <c r="X28"/>
  <c r="S22"/>
  <c r="S23"/>
  <c r="S21"/>
  <c r="Y74"/>
  <c r="Y72"/>
  <c r="Y73"/>
  <c r="T67"/>
  <c r="T68"/>
  <c r="T69"/>
  <c r="W62"/>
  <c r="W63"/>
  <c r="W64"/>
  <c r="S48"/>
  <c r="S47"/>
  <c r="S46"/>
  <c r="V41"/>
  <c r="V42"/>
  <c r="V43"/>
  <c r="Y36"/>
  <c r="Y37"/>
  <c r="Y38"/>
  <c r="T31"/>
  <c r="T32"/>
  <c r="T33"/>
  <c r="W28"/>
  <c r="W26"/>
  <c r="W27"/>
  <c r="U17"/>
  <c r="U16"/>
  <c r="U18"/>
  <c r="V16"/>
  <c r="V17"/>
  <c r="V18"/>
  <c r="X73"/>
  <c r="X74"/>
  <c r="X72"/>
  <c r="S67"/>
  <c r="S68"/>
  <c r="S69"/>
  <c r="V62"/>
  <c r="V63"/>
  <c r="V64"/>
  <c r="Y59"/>
  <c r="Y57"/>
  <c r="Y58"/>
  <c r="U41"/>
  <c r="U42"/>
  <c r="U43"/>
  <c r="X38"/>
  <c r="X36"/>
  <c r="X37"/>
  <c r="S32"/>
  <c r="S31"/>
  <c r="S33"/>
  <c r="V27"/>
  <c r="V26"/>
  <c r="V28"/>
  <c r="Y21"/>
  <c r="Y23"/>
  <c r="Y22"/>
  <c r="T16"/>
  <c r="T18"/>
  <c r="T17"/>
  <c r="S57"/>
  <c r="S58"/>
  <c r="S59"/>
  <c r="W72"/>
  <c r="W73"/>
  <c r="W74"/>
  <c r="U62"/>
  <c r="U63"/>
  <c r="U64"/>
  <c r="X59"/>
  <c r="X58"/>
  <c r="X57"/>
  <c r="Y46"/>
  <c r="Y47"/>
  <c r="Y48"/>
  <c r="T41"/>
  <c r="T42"/>
  <c r="T43"/>
  <c r="W37"/>
  <c r="W36"/>
  <c r="W38"/>
  <c r="U26"/>
  <c r="U27"/>
  <c r="U28"/>
  <c r="X22"/>
  <c r="X21"/>
  <c r="X23"/>
  <c r="S16"/>
  <c r="S17"/>
  <c r="S18"/>
  <c r="U68"/>
  <c r="U69"/>
  <c r="U67"/>
  <c r="T46"/>
  <c r="T48"/>
  <c r="T47"/>
  <c r="V72"/>
  <c r="V73"/>
  <c r="V74"/>
  <c r="Y67"/>
  <c r="Y68"/>
  <c r="Y69"/>
  <c r="T62"/>
  <c r="T63"/>
  <c r="T64"/>
  <c r="W58"/>
  <c r="W57"/>
  <c r="W59"/>
  <c r="X46"/>
  <c r="X47"/>
  <c r="X48"/>
  <c r="S43"/>
  <c r="S41"/>
  <c r="S42"/>
  <c r="V38"/>
  <c r="V36"/>
  <c r="V37"/>
  <c r="Y32"/>
  <c r="Y33"/>
  <c r="Y31"/>
  <c r="T28"/>
  <c r="T26"/>
  <c r="T27"/>
  <c r="W22"/>
  <c r="W21"/>
  <c r="W23"/>
  <c r="U72"/>
  <c r="U73"/>
  <c r="U74"/>
  <c r="X67"/>
  <c r="X68"/>
  <c r="X69"/>
  <c r="S64"/>
  <c r="S63"/>
  <c r="S62"/>
  <c r="V57"/>
  <c r="V58"/>
  <c r="V59"/>
  <c r="W46"/>
  <c r="W47"/>
  <c r="W48"/>
  <c r="U38"/>
  <c r="U37"/>
  <c r="U36"/>
  <c r="X31"/>
  <c r="X32"/>
  <c r="X33"/>
  <c r="S26"/>
  <c r="S27"/>
  <c r="S28"/>
  <c r="V21"/>
  <c r="V22"/>
  <c r="V23"/>
  <c r="Y18"/>
  <c r="Y16"/>
  <c r="Y17"/>
  <c r="X62"/>
  <c r="X63"/>
  <c r="X64"/>
  <c r="W42"/>
  <c r="W41"/>
  <c r="W43"/>
  <c r="T72"/>
  <c r="T73"/>
  <c r="T74"/>
  <c r="W69"/>
  <c r="W67"/>
  <c r="W68"/>
  <c r="U57"/>
  <c r="U58"/>
  <c r="U59"/>
  <c r="V46"/>
  <c r="V47"/>
  <c r="V48"/>
  <c r="Y41"/>
  <c r="Y43"/>
  <c r="Y42"/>
  <c r="T37"/>
  <c r="T38"/>
  <c r="T36"/>
  <c r="W31"/>
  <c r="W32"/>
  <c r="W33"/>
  <c r="U21"/>
  <c r="U22"/>
  <c r="U23"/>
  <c r="X17"/>
  <c r="X18"/>
  <c r="X16"/>
  <c r="U33"/>
  <c r="U31"/>
  <c r="U32"/>
  <c r="S72"/>
  <c r="S73"/>
  <c r="S74"/>
  <c r="V69"/>
  <c r="V68"/>
  <c r="V67"/>
  <c r="Y62"/>
  <c r="Y63"/>
  <c r="Y64"/>
  <c r="T57"/>
  <c r="T58"/>
  <c r="T59"/>
  <c r="U46"/>
  <c r="U47"/>
  <c r="U48"/>
  <c r="X43"/>
  <c r="X41"/>
  <c r="X42"/>
  <c r="S36"/>
  <c r="S37"/>
  <c r="S38"/>
  <c r="V32"/>
  <c r="V31"/>
  <c r="V33"/>
  <c r="Y27"/>
  <c r="Y28"/>
  <c r="Y26"/>
  <c r="T23"/>
  <c r="T22"/>
  <c r="T21"/>
  <c r="W16"/>
  <c r="W17"/>
  <c r="W18"/>
  <c r="R74"/>
  <c r="R73"/>
  <c r="R72"/>
  <c r="R64"/>
  <c r="R63"/>
  <c r="R62"/>
  <c r="R47"/>
  <c r="R46"/>
  <c r="R37"/>
  <c r="R36"/>
  <c r="R27"/>
  <c r="R26"/>
  <c r="R69"/>
  <c r="R68"/>
  <c r="R67"/>
  <c r="R59"/>
  <c r="R58"/>
  <c r="R57"/>
  <c r="R16"/>
  <c r="R17"/>
  <c r="R43"/>
  <c r="R42"/>
  <c r="R41"/>
  <c r="R33"/>
  <c r="R32"/>
  <c r="R31"/>
  <c r="R23"/>
  <c r="R22"/>
  <c r="R21"/>
  <c r="P64"/>
  <c r="P63"/>
  <c r="P62"/>
  <c r="Q48"/>
  <c r="Q47"/>
  <c r="Q46"/>
  <c r="O74"/>
  <c r="O73"/>
  <c r="O72"/>
  <c r="O64"/>
  <c r="O62"/>
  <c r="O63"/>
  <c r="P48"/>
  <c r="P47"/>
  <c r="P46"/>
  <c r="Q38"/>
  <c r="Q37"/>
  <c r="Q36"/>
  <c r="P74"/>
  <c r="P73"/>
  <c r="P72"/>
  <c r="O23"/>
  <c r="O21"/>
  <c r="O22"/>
  <c r="O48"/>
  <c r="O47"/>
  <c r="O46"/>
  <c r="P38"/>
  <c r="P36"/>
  <c r="P37"/>
  <c r="Q28"/>
  <c r="Q27"/>
  <c r="Q26"/>
  <c r="Q69"/>
  <c r="Q68"/>
  <c r="Q67"/>
  <c r="Q59"/>
  <c r="Q58"/>
  <c r="Q57"/>
  <c r="O38"/>
  <c r="O37"/>
  <c r="O36"/>
  <c r="P28"/>
  <c r="P27"/>
  <c r="P26"/>
  <c r="P69"/>
  <c r="P68"/>
  <c r="P67"/>
  <c r="P59"/>
  <c r="P58"/>
  <c r="P57"/>
  <c r="Q43"/>
  <c r="Q42"/>
  <c r="Q41"/>
  <c r="O28"/>
  <c r="O27"/>
  <c r="O26"/>
  <c r="O69"/>
  <c r="O67"/>
  <c r="O68"/>
  <c r="O59"/>
  <c r="O58"/>
  <c r="O57"/>
  <c r="P43"/>
  <c r="P42"/>
  <c r="P41"/>
  <c r="Q33"/>
  <c r="Q32"/>
  <c r="Q31"/>
  <c r="Q16"/>
  <c r="Q17"/>
  <c r="O43"/>
  <c r="O42"/>
  <c r="O41"/>
  <c r="P33"/>
  <c r="P32"/>
  <c r="P31"/>
  <c r="Q23"/>
  <c r="Q22"/>
  <c r="Q21"/>
  <c r="P18"/>
  <c r="P16"/>
  <c r="P17"/>
  <c r="Q74"/>
  <c r="Q73"/>
  <c r="Q72"/>
  <c r="Q64"/>
  <c r="Q63"/>
  <c r="Q62"/>
  <c r="O33"/>
  <c r="O32"/>
  <c r="O31"/>
  <c r="P23"/>
  <c r="P21"/>
  <c r="P22"/>
  <c r="O16"/>
  <c r="O17"/>
  <c r="T189" i="7"/>
  <c r="W129"/>
  <c r="Y114"/>
  <c r="O114"/>
  <c r="U189"/>
  <c r="O125"/>
  <c r="V189"/>
  <c r="Y129"/>
  <c r="U124"/>
  <c r="W189"/>
  <c r="Q128"/>
  <c r="O117"/>
  <c r="Q197"/>
  <c r="Q120"/>
  <c r="Y47"/>
  <c r="Y197"/>
  <c r="R47"/>
  <c r="Q47"/>
  <c r="U201"/>
  <c r="W117"/>
  <c r="P47"/>
  <c r="O129"/>
  <c r="Y125"/>
  <c r="S117"/>
  <c r="O197"/>
  <c r="P196"/>
  <c r="R128"/>
  <c r="S125"/>
  <c r="S128"/>
  <c r="V125"/>
  <c r="T124"/>
  <c r="U114"/>
  <c r="P114"/>
  <c r="X44"/>
  <c r="X120"/>
  <c r="Y117"/>
  <c r="X110"/>
  <c r="R121"/>
  <c r="T201"/>
  <c r="S201"/>
  <c r="W197"/>
  <c r="Q125"/>
  <c r="W47"/>
  <c r="P121"/>
  <c r="O201"/>
  <c r="O188"/>
  <c r="Q117"/>
  <c r="U117"/>
  <c r="T116"/>
  <c r="V117"/>
  <c r="S189"/>
  <c r="W201"/>
  <c r="P129"/>
  <c r="Y121"/>
  <c r="O121"/>
  <c r="W114"/>
  <c r="O47"/>
  <c r="O266" s="1"/>
  <c r="X197"/>
  <c r="V201"/>
  <c r="X129"/>
  <c r="W121"/>
  <c r="S114"/>
  <c r="V47"/>
  <c r="U121"/>
  <c r="R114"/>
  <c r="U47"/>
  <c r="U266" s="1"/>
  <c r="W125"/>
  <c r="S197"/>
  <c r="R197"/>
  <c r="U129"/>
  <c r="P125"/>
  <c r="S121"/>
  <c r="Q114"/>
  <c r="S47"/>
  <c r="S266" s="1"/>
  <c r="R189"/>
  <c r="V114"/>
  <c r="Y189"/>
  <c r="Q189"/>
  <c r="V197"/>
  <c r="R125"/>
  <c r="V121"/>
  <c r="R117"/>
  <c r="Y201"/>
  <c r="Q201"/>
  <c r="T197"/>
  <c r="T121"/>
  <c r="R201"/>
  <c r="V129"/>
  <c r="X117"/>
  <c r="P117"/>
  <c r="T47"/>
  <c r="U197"/>
  <c r="T114"/>
  <c r="X201"/>
  <c r="P201"/>
  <c r="X189"/>
  <c r="P189"/>
  <c r="T129"/>
  <c r="X125"/>
  <c r="W12" i="21"/>
  <c r="X12"/>
  <c r="V12"/>
  <c r="U12"/>
  <c r="T12"/>
  <c r="S12"/>
  <c r="R12"/>
  <c r="Y12"/>
  <c r="Q12"/>
  <c r="P12"/>
  <c r="O12"/>
  <c r="P153" i="37" l="1"/>
  <c r="S153"/>
  <c r="T153"/>
  <c r="U153"/>
  <c r="Y153"/>
  <c r="Q153"/>
  <c r="R153"/>
  <c r="V153"/>
  <c r="X153"/>
  <c r="O153"/>
  <c r="W153"/>
  <c r="R266" i="7"/>
  <c r="W266"/>
  <c r="V266"/>
  <c r="P266"/>
  <c r="Y266"/>
  <c r="X266"/>
  <c r="Q266"/>
  <c r="T266"/>
  <c r="AB202"/>
  <c r="N199"/>
  <c r="AB198"/>
  <c r="N195"/>
  <c r="AB190"/>
  <c r="N187"/>
  <c r="N196" l="1"/>
  <c r="N197"/>
  <c r="Z197" s="1"/>
  <c r="N188"/>
  <c r="N189"/>
  <c r="Z189" s="1"/>
  <c r="N200"/>
  <c r="N201"/>
  <c r="Z201" s="1"/>
  <c r="E199"/>
  <c r="E195"/>
  <c r="E187"/>
  <c r="AA168" i="28"/>
  <c r="Z168"/>
  <c r="AA167"/>
  <c r="Z167"/>
  <c r="N166"/>
  <c r="Z200" i="7" l="1"/>
  <c r="Z196"/>
  <c r="AB201"/>
  <c r="AC199" s="1"/>
  <c r="AB197"/>
  <c r="AC195" s="1"/>
  <c r="Z188"/>
  <c r="AB189"/>
  <c r="AC187" s="1"/>
  <c r="E166" i="28"/>
  <c r="AB166" s="1"/>
  <c r="E14" i="39"/>
  <c r="Z125" i="37" l="1"/>
  <c r="N123"/>
  <c r="N124" s="1"/>
  <c r="Z124" s="1"/>
  <c r="Z122"/>
  <c r="N120"/>
  <c r="N121" s="1"/>
  <c r="Z121" s="1"/>
  <c r="Z119"/>
  <c r="N117"/>
  <c r="N118" s="1"/>
  <c r="Z118" s="1"/>
  <c r="AA177" i="28"/>
  <c r="Z177"/>
  <c r="AA176"/>
  <c r="Z176"/>
  <c r="N175"/>
  <c r="AA174"/>
  <c r="Z174"/>
  <c r="AA173"/>
  <c r="Z173"/>
  <c r="N172"/>
  <c r="AA165"/>
  <c r="Z165"/>
  <c r="AA164"/>
  <c r="Z164"/>
  <c r="N163"/>
  <c r="Z103" i="2"/>
  <c r="Z102"/>
  <c r="Z100"/>
  <c r="Z99"/>
  <c r="Z97"/>
  <c r="Z96"/>
  <c r="E117" i="37" l="1"/>
  <c r="AA117" s="1"/>
  <c r="E123"/>
  <c r="AA123" s="1"/>
  <c r="E120"/>
  <c r="AA120" s="1"/>
  <c r="E172" i="28"/>
  <c r="AB172" s="1"/>
  <c r="E175"/>
  <c r="AB175" s="1"/>
  <c r="E163"/>
  <c r="AB163" l="1"/>
  <c r="Z103" i="21" l="1"/>
  <c r="Z102"/>
  <c r="N101"/>
  <c r="Z100"/>
  <c r="Z99"/>
  <c r="N98"/>
  <c r="Z97"/>
  <c r="Z96"/>
  <c r="N95"/>
  <c r="E95" l="1"/>
  <c r="AA95" s="1"/>
  <c r="E101"/>
  <c r="AA101" s="1"/>
  <c r="E98"/>
  <c r="AA98" s="1"/>
  <c r="N25" i="7" l="1"/>
  <c r="AA16"/>
  <c r="Z16"/>
  <c r="Y338" i="32" l="1"/>
  <c r="P422"/>
  <c r="U424"/>
  <c r="V424"/>
  <c r="W424"/>
  <c r="Y424"/>
  <c r="N135" i="7"/>
  <c r="N138" s="1"/>
  <c r="T332" i="32"/>
  <c r="Z41" i="28"/>
  <c r="AA41"/>
  <c r="AB419" i="32"/>
  <c r="AA419"/>
  <c r="AB423"/>
  <c r="AA423"/>
  <c r="Z460"/>
  <c r="Y460"/>
  <c r="X460"/>
  <c r="R460"/>
  <c r="Q460"/>
  <c r="P460"/>
  <c r="N181" i="7"/>
  <c r="N182" s="1"/>
  <c r="AB183"/>
  <c r="AA42" i="28"/>
  <c r="Z42"/>
  <c r="AA40"/>
  <c r="Z40"/>
  <c r="N39"/>
  <c r="Z45" i="37"/>
  <c r="N44"/>
  <c r="Z488" i="32"/>
  <c r="X493"/>
  <c r="Y493"/>
  <c r="Z493"/>
  <c r="Y498"/>
  <c r="Z498"/>
  <c r="Y503"/>
  <c r="Z503"/>
  <c r="X508"/>
  <c r="X513"/>
  <c r="Y513"/>
  <c r="X518"/>
  <c r="Y518"/>
  <c r="Z518"/>
  <c r="X519"/>
  <c r="Z519"/>
  <c r="X522"/>
  <c r="Y522"/>
  <c r="Z522"/>
  <c r="X529"/>
  <c r="Z529"/>
  <c r="Y534"/>
  <c r="Z534"/>
  <c r="X539"/>
  <c r="Y539"/>
  <c r="Y540"/>
  <c r="Z540"/>
  <c r="X543"/>
  <c r="Y543"/>
  <c r="Z543"/>
  <c r="X546"/>
  <c r="X549"/>
  <c r="Y549"/>
  <c r="Z549"/>
  <c r="X552"/>
  <c r="Y552"/>
  <c r="Z552"/>
  <c r="Z555"/>
  <c r="X558"/>
  <c r="Y558"/>
  <c r="Z558"/>
  <c r="X561"/>
  <c r="Y561"/>
  <c r="Z561"/>
  <c r="X564"/>
  <c r="Y564"/>
  <c r="Z564"/>
  <c r="X567"/>
  <c r="Y567"/>
  <c r="Z567"/>
  <c r="X570"/>
  <c r="Y570"/>
  <c r="Z570"/>
  <c r="X573"/>
  <c r="Y573"/>
  <c r="Z573"/>
  <c r="X576"/>
  <c r="Z576"/>
  <c r="Z177"/>
  <c r="X177"/>
  <c r="AA63" i="28"/>
  <c r="Z63"/>
  <c r="AA62"/>
  <c r="Z62"/>
  <c r="AA61"/>
  <c r="Z61"/>
  <c r="AA60"/>
  <c r="Z60"/>
  <c r="N59"/>
  <c r="AA22"/>
  <c r="Z22"/>
  <c r="AA21"/>
  <c r="Z21"/>
  <c r="AA20"/>
  <c r="Z20"/>
  <c r="AA19"/>
  <c r="Z19"/>
  <c r="AA18"/>
  <c r="Z18"/>
  <c r="N17"/>
  <c r="X197" i="32"/>
  <c r="Y197"/>
  <c r="Z197"/>
  <c r="X203"/>
  <c r="X209"/>
  <c r="Y209"/>
  <c r="Z209"/>
  <c r="X214"/>
  <c r="Y214"/>
  <c r="Z219"/>
  <c r="X224"/>
  <c r="Y224"/>
  <c r="Z224"/>
  <c r="X227"/>
  <c r="Y227"/>
  <c r="Z230"/>
  <c r="X233"/>
  <c r="Y233"/>
  <c r="Z233"/>
  <c r="X236"/>
  <c r="X239"/>
  <c r="Y239"/>
  <c r="Z239"/>
  <c r="X244"/>
  <c r="Y244"/>
  <c r="Z244"/>
  <c r="X252"/>
  <c r="Y252"/>
  <c r="Z252"/>
  <c r="X255"/>
  <c r="Y255"/>
  <c r="X258"/>
  <c r="Y258"/>
  <c r="Z258"/>
  <c r="X261"/>
  <c r="Z261"/>
  <c r="X264"/>
  <c r="Y264"/>
  <c r="Z264"/>
  <c r="X267"/>
  <c r="Y267"/>
  <c r="Z267"/>
  <c r="Y270"/>
  <c r="Z270"/>
  <c r="X273"/>
  <c r="Y273"/>
  <c r="Z273"/>
  <c r="X276"/>
  <c r="Y276"/>
  <c r="Z276"/>
  <c r="X279"/>
  <c r="Y279"/>
  <c r="Z279"/>
  <c r="X282"/>
  <c r="Y282"/>
  <c r="Z282"/>
  <c r="X285"/>
  <c r="Y285"/>
  <c r="Z285"/>
  <c r="X288"/>
  <c r="Y288"/>
  <c r="Z288"/>
  <c r="X291"/>
  <c r="Y291"/>
  <c r="Z291"/>
  <c r="Y294"/>
  <c r="Z294"/>
  <c r="X297"/>
  <c r="Y297"/>
  <c r="Z297"/>
  <c r="X300"/>
  <c r="Y300"/>
  <c r="Z300"/>
  <c r="X303"/>
  <c r="Y303"/>
  <c r="Z303"/>
  <c r="X306"/>
  <c r="Y306"/>
  <c r="Z306"/>
  <c r="X309"/>
  <c r="Y309"/>
  <c r="Z309"/>
  <c r="AB186" i="7"/>
  <c r="AB180"/>
  <c r="AB177"/>
  <c r="AB174"/>
  <c r="AB171"/>
  <c r="AB130"/>
  <c r="AB126"/>
  <c r="AB122"/>
  <c r="AB118"/>
  <c r="AB83"/>
  <c r="AB79"/>
  <c r="AB76"/>
  <c r="AB54"/>
  <c r="AB49"/>
  <c r="AB26"/>
  <c r="AB448" i="32"/>
  <c r="AA448"/>
  <c r="AB447"/>
  <c r="AA447"/>
  <c r="AB444"/>
  <c r="AA444"/>
  <c r="AB443"/>
  <c r="AB440"/>
  <c r="AA440"/>
  <c r="AB439"/>
  <c r="AA439"/>
  <c r="AB436"/>
  <c r="AA436"/>
  <c r="AB435"/>
  <c r="AA435"/>
  <c r="AB432"/>
  <c r="AA432"/>
  <c r="AB431"/>
  <c r="AA431"/>
  <c r="AB428"/>
  <c r="AB427"/>
  <c r="AA427"/>
  <c r="AB400"/>
  <c r="AA400"/>
  <c r="AB398"/>
  <c r="AA398"/>
  <c r="AB394"/>
  <c r="AA394"/>
  <c r="AB393"/>
  <c r="AA393"/>
  <c r="AB392"/>
  <c r="AA392"/>
  <c r="AB389"/>
  <c r="AA389"/>
  <c r="AB388"/>
  <c r="AA388"/>
  <c r="AB387"/>
  <c r="AA387"/>
  <c r="AB384"/>
  <c r="AA384"/>
  <c r="AB383"/>
  <c r="AA383"/>
  <c r="AB382"/>
  <c r="AA382"/>
  <c r="AB379"/>
  <c r="AA379"/>
  <c r="AB378"/>
  <c r="AA378"/>
  <c r="AB377"/>
  <c r="AA377"/>
  <c r="AB366"/>
  <c r="AA366"/>
  <c r="AB365"/>
  <c r="AA365"/>
  <c r="AB364"/>
  <c r="AA364"/>
  <c r="AB363"/>
  <c r="AA363"/>
  <c r="AB361"/>
  <c r="AA361"/>
  <c r="AB360"/>
  <c r="AA360"/>
  <c r="AB359"/>
  <c r="AA359"/>
  <c r="AB358"/>
  <c r="AA358"/>
  <c r="AB355"/>
  <c r="AA355"/>
  <c r="AB352"/>
  <c r="AB350"/>
  <c r="AA350"/>
  <c r="AB346"/>
  <c r="AA346"/>
  <c r="AB345"/>
  <c r="AA345"/>
  <c r="AB342"/>
  <c r="AA342"/>
  <c r="AB341"/>
  <c r="AA341"/>
  <c r="AB340"/>
  <c r="AA340"/>
  <c r="AB339"/>
  <c r="AA339"/>
  <c r="AB336"/>
  <c r="AA336"/>
  <c r="AB335"/>
  <c r="AA335"/>
  <c r="AB334"/>
  <c r="AA334"/>
  <c r="AB333"/>
  <c r="AA333"/>
  <c r="AB331"/>
  <c r="AA331"/>
  <c r="AB328"/>
  <c r="AA328"/>
  <c r="AB326"/>
  <c r="AA326"/>
  <c r="AB325"/>
  <c r="AA325"/>
  <c r="N69" i="7"/>
  <c r="X324" i="32"/>
  <c r="Y324"/>
  <c r="Z324"/>
  <c r="X329"/>
  <c r="Y329"/>
  <c r="Z329"/>
  <c r="X332"/>
  <c r="Y332"/>
  <c r="Z332"/>
  <c r="X338"/>
  <c r="Z338"/>
  <c r="X343"/>
  <c r="Y347"/>
  <c r="Z347"/>
  <c r="X348"/>
  <c r="Y348"/>
  <c r="Z348"/>
  <c r="X356"/>
  <c r="Y353"/>
  <c r="Z356"/>
  <c r="X357"/>
  <c r="Y357"/>
  <c r="Z357"/>
  <c r="X362"/>
  <c r="Y362"/>
  <c r="Z362"/>
  <c r="X369"/>
  <c r="Y369"/>
  <c r="Z369"/>
  <c r="X372"/>
  <c r="Y372"/>
  <c r="Z370"/>
  <c r="Y374"/>
  <c r="Z374"/>
  <c r="X380"/>
  <c r="Y376"/>
  <c r="Z380"/>
  <c r="X385"/>
  <c r="Y385"/>
  <c r="X390"/>
  <c r="Y386"/>
  <c r="Z390"/>
  <c r="X395"/>
  <c r="Y395"/>
  <c r="Z395"/>
  <c r="X401"/>
  <c r="Y397"/>
  <c r="Z401"/>
  <c r="X404"/>
  <c r="Y404"/>
  <c r="Z403"/>
  <c r="X408"/>
  <c r="Y407"/>
  <c r="Z407"/>
  <c r="X411"/>
  <c r="Y411"/>
  <c r="Z411"/>
  <c r="X415"/>
  <c r="Y415"/>
  <c r="Z415"/>
  <c r="X418"/>
  <c r="Y420"/>
  <c r="Z420"/>
  <c r="Z424"/>
  <c r="X429"/>
  <c r="Y429"/>
  <c r="Z429"/>
  <c r="X433"/>
  <c r="Y433"/>
  <c r="Z433"/>
  <c r="X437"/>
  <c r="Y437"/>
  <c r="Z437"/>
  <c r="X441"/>
  <c r="X445"/>
  <c r="Y445"/>
  <c r="Z445"/>
  <c r="X449"/>
  <c r="Y449"/>
  <c r="Z449"/>
  <c r="X451"/>
  <c r="Y451"/>
  <c r="Z451"/>
  <c r="X454"/>
  <c r="Y454"/>
  <c r="Z454"/>
  <c r="X457"/>
  <c r="Y457"/>
  <c r="Z457"/>
  <c r="X463"/>
  <c r="Y463"/>
  <c r="Z463"/>
  <c r="Z34" i="2"/>
  <c r="Z33"/>
  <c r="Z33" i="21"/>
  <c r="N32"/>
  <c r="X11" i="32"/>
  <c r="Y9"/>
  <c r="Z11"/>
  <c r="Y14"/>
  <c r="Z14"/>
  <c r="X17"/>
  <c r="Y17"/>
  <c r="X20"/>
  <c r="Y20"/>
  <c r="X23"/>
  <c r="Y23"/>
  <c r="Z23"/>
  <c r="X26"/>
  <c r="Y26"/>
  <c r="Z26"/>
  <c r="X29"/>
  <c r="Y29"/>
  <c r="Z29"/>
  <c r="X30"/>
  <c r="Y30"/>
  <c r="Z30"/>
  <c r="X35"/>
  <c r="Z35"/>
  <c r="Y38"/>
  <c r="X41"/>
  <c r="Y41"/>
  <c r="X42"/>
  <c r="Y42"/>
  <c r="Z42"/>
  <c r="X46"/>
  <c r="Y45"/>
  <c r="Z46"/>
  <c r="X48"/>
  <c r="Z48"/>
  <c r="X52"/>
  <c r="Y52"/>
  <c r="Z52"/>
  <c r="Y56"/>
  <c r="Z56"/>
  <c r="Y59"/>
  <c r="Z59"/>
  <c r="X62"/>
  <c r="Y62"/>
  <c r="X65"/>
  <c r="Y65"/>
  <c r="Y68"/>
  <c r="Z68"/>
  <c r="X70"/>
  <c r="Z70"/>
  <c r="X73"/>
  <c r="Y72"/>
  <c r="Z73"/>
  <c r="X75"/>
  <c r="Y75"/>
  <c r="Z75"/>
  <c r="Y79"/>
  <c r="Z79"/>
  <c r="X6"/>
  <c r="Y8"/>
  <c r="Z8"/>
  <c r="Y403"/>
  <c r="AA82" i="28"/>
  <c r="Z82"/>
  <c r="AA74"/>
  <c r="Z74"/>
  <c r="AA57"/>
  <c r="Z57"/>
  <c r="AA56"/>
  <c r="Z56"/>
  <c r="Z162"/>
  <c r="AA311" i="32" s="1"/>
  <c r="Z161" i="28"/>
  <c r="AA310" i="32" s="1"/>
  <c r="Z159" i="28"/>
  <c r="AA308" i="32" s="1"/>
  <c r="Z156" i="28"/>
  <c r="AA305" i="32" s="1"/>
  <c r="Z153" i="28"/>
  <c r="AA302" i="32" s="1"/>
  <c r="Z150" i="28"/>
  <c r="Z147"/>
  <c r="AA299" i="32" s="1"/>
  <c r="Z144" i="28"/>
  <c r="AA296" i="32" s="1"/>
  <c r="Z141" i="28"/>
  <c r="AA293" i="32" s="1"/>
  <c r="Z135" i="28"/>
  <c r="AA290" i="32" s="1"/>
  <c r="Z129" i="28"/>
  <c r="AA287" i="32" s="1"/>
  <c r="Z126" i="28"/>
  <c r="AA284" i="32" s="1"/>
  <c r="Z120" i="28"/>
  <c r="AA281" i="32" s="1"/>
  <c r="Z114" i="28"/>
  <c r="AA278" i="32" s="1"/>
  <c r="Z111" i="28"/>
  <c r="AA275" i="32" s="1"/>
  <c r="Z108" i="28"/>
  <c r="AA272" i="32" s="1"/>
  <c r="Z105" i="28"/>
  <c r="AA269" i="32" s="1"/>
  <c r="Z102" i="28"/>
  <c r="AA266" i="32" s="1"/>
  <c r="Z101" i="28"/>
  <c r="AA265" i="32" s="1"/>
  <c r="Z99" i="28"/>
  <c r="AA263" i="32" s="1"/>
  <c r="Z98" i="28"/>
  <c r="AA262" i="32" s="1"/>
  <c r="Z96" i="28"/>
  <c r="AA260" i="32" s="1"/>
  <c r="Z95" i="28"/>
  <c r="AA259" i="32" s="1"/>
  <c r="Z93" i="28"/>
  <c r="Z92"/>
  <c r="Z90"/>
  <c r="AA257" i="32" s="1"/>
  <c r="Z89" i="28"/>
  <c r="AA256" i="32" s="1"/>
  <c r="Z87" i="28"/>
  <c r="AA254" i="32" s="1"/>
  <c r="Z86" i="28"/>
  <c r="AA253" i="32" s="1"/>
  <c r="Z84" i="28"/>
  <c r="AA251" i="32" s="1"/>
  <c r="Z83" i="28"/>
  <c r="AA250" i="32" s="1"/>
  <c r="Z81" i="28"/>
  <c r="AA249" i="32" s="1"/>
  <c r="Z80" i="28"/>
  <c r="AA248" i="32" s="1"/>
  <c r="Z78" i="28"/>
  <c r="AA246" i="32" s="1"/>
  <c r="Z77" i="28"/>
  <c r="AA245" i="32" s="1"/>
  <c r="Z75" i="28"/>
  <c r="AA243" i="32" s="1"/>
  <c r="Z73" i="28"/>
  <c r="AA242" i="32" s="1"/>
  <c r="Z72" i="28"/>
  <c r="AA241" i="32" s="1"/>
  <c r="Z71" i="28"/>
  <c r="AA240" i="32" s="1"/>
  <c r="Z69" i="28"/>
  <c r="AA238" i="32" s="1"/>
  <c r="Z66" i="28"/>
  <c r="AA235" i="32" s="1"/>
  <c r="Z58" i="28"/>
  <c r="AA232" i="32" s="1"/>
  <c r="Z55" i="28"/>
  <c r="AA231" i="32" s="1"/>
  <c r="Z53" i="28"/>
  <c r="AA229" i="32" s="1"/>
  <c r="Z50" i="28"/>
  <c r="AA226" i="32" s="1"/>
  <c r="Z47" i="28"/>
  <c r="AA223" i="32" s="1"/>
  <c r="Z46" i="28"/>
  <c r="AA222" i="32" s="1"/>
  <c r="Z45" i="28"/>
  <c r="AA221" i="32" s="1"/>
  <c r="Z44" i="28"/>
  <c r="AA220" i="32" s="1"/>
  <c r="Z38" i="28"/>
  <c r="AA218" i="32" s="1"/>
  <c r="Z37" i="28"/>
  <c r="AA217" i="32" s="1"/>
  <c r="Z36" i="28"/>
  <c r="AA216" i="32" s="1"/>
  <c r="Z35" i="28"/>
  <c r="AA215" i="32" s="1"/>
  <c r="Z33" i="28"/>
  <c r="AA213" i="32" s="1"/>
  <c r="Z32" i="28"/>
  <c r="AA212" i="32" s="1"/>
  <c r="Z31" i="28"/>
  <c r="AA211" i="32" s="1"/>
  <c r="Z30" i="28"/>
  <c r="AA210" i="32" s="1"/>
  <c r="Z28" i="28"/>
  <c r="AA208" i="32" s="1"/>
  <c r="Z27" i="28"/>
  <c r="AA207" i="32" s="1"/>
  <c r="Z26" i="28"/>
  <c r="AA206" i="32" s="1"/>
  <c r="Z25" i="28"/>
  <c r="AA205" i="32" s="1"/>
  <c r="Z24" i="28"/>
  <c r="AA204" i="32" s="1"/>
  <c r="Z16" i="28"/>
  <c r="AA202" i="32" s="1"/>
  <c r="Z107" i="37"/>
  <c r="Z106"/>
  <c r="N105"/>
  <c r="Z66"/>
  <c r="N65"/>
  <c r="AA150" i="28"/>
  <c r="N148"/>
  <c r="AA93"/>
  <c r="AA92"/>
  <c r="N91"/>
  <c r="N172" i="7"/>
  <c r="N173" s="1"/>
  <c r="Z173" s="1"/>
  <c r="N104"/>
  <c r="N108" s="1"/>
  <c r="Z108" s="1"/>
  <c r="Z85" i="2"/>
  <c r="Z84"/>
  <c r="Z49"/>
  <c r="Z85" i="21"/>
  <c r="N83"/>
  <c r="Z48"/>
  <c r="N47"/>
  <c r="Z149" i="28"/>
  <c r="AA149"/>
  <c r="Z48" i="2"/>
  <c r="D485" i="32"/>
  <c r="E485"/>
  <c r="F485"/>
  <c r="G485"/>
  <c r="H485"/>
  <c r="I485"/>
  <c r="J485"/>
  <c r="K485"/>
  <c r="L485"/>
  <c r="M485"/>
  <c r="N485"/>
  <c r="O485"/>
  <c r="P485"/>
  <c r="Q485"/>
  <c r="R485"/>
  <c r="S485"/>
  <c r="T485"/>
  <c r="U485"/>
  <c r="V485"/>
  <c r="W485"/>
  <c r="X485"/>
  <c r="Y485"/>
  <c r="Z485"/>
  <c r="AB485"/>
  <c r="D486"/>
  <c r="E486"/>
  <c r="F486"/>
  <c r="G486"/>
  <c r="H486"/>
  <c r="I486"/>
  <c r="J486"/>
  <c r="K486"/>
  <c r="L486"/>
  <c r="M486"/>
  <c r="N486"/>
  <c r="P486"/>
  <c r="Q486"/>
  <c r="R486"/>
  <c r="S486"/>
  <c r="T486"/>
  <c r="U486"/>
  <c r="V486"/>
  <c r="W486"/>
  <c r="X486"/>
  <c r="Y486"/>
  <c r="Z486"/>
  <c r="AB486"/>
  <c r="D487"/>
  <c r="E487"/>
  <c r="F487"/>
  <c r="G487"/>
  <c r="H487"/>
  <c r="I487"/>
  <c r="J487"/>
  <c r="K487"/>
  <c r="L487"/>
  <c r="M487"/>
  <c r="N487"/>
  <c r="P487"/>
  <c r="Q487"/>
  <c r="R487"/>
  <c r="S487"/>
  <c r="T487"/>
  <c r="U487"/>
  <c r="V487"/>
  <c r="W487"/>
  <c r="X487"/>
  <c r="Y487"/>
  <c r="Z487"/>
  <c r="AA487"/>
  <c r="AB487"/>
  <c r="D488"/>
  <c r="E488"/>
  <c r="F488"/>
  <c r="G488"/>
  <c r="H488"/>
  <c r="I488"/>
  <c r="J488"/>
  <c r="K488"/>
  <c r="L488"/>
  <c r="M488"/>
  <c r="N488"/>
  <c r="AA488"/>
  <c r="AB488"/>
  <c r="D489"/>
  <c r="E489"/>
  <c r="F489"/>
  <c r="H489"/>
  <c r="I489"/>
  <c r="J489"/>
  <c r="K489"/>
  <c r="L489"/>
  <c r="M489"/>
  <c r="N489"/>
  <c r="AA489"/>
  <c r="D490"/>
  <c r="E490"/>
  <c r="F490"/>
  <c r="G490"/>
  <c r="H490"/>
  <c r="I490"/>
  <c r="J490"/>
  <c r="K490"/>
  <c r="L490"/>
  <c r="M490"/>
  <c r="N490"/>
  <c r="O490"/>
  <c r="P490"/>
  <c r="Q490"/>
  <c r="R490"/>
  <c r="S490"/>
  <c r="T490"/>
  <c r="U490"/>
  <c r="V490"/>
  <c r="W490"/>
  <c r="X490"/>
  <c r="Y490"/>
  <c r="Z490"/>
  <c r="AB490"/>
  <c r="D491"/>
  <c r="E491"/>
  <c r="F491"/>
  <c r="G491"/>
  <c r="H491"/>
  <c r="I491"/>
  <c r="J491"/>
  <c r="K491"/>
  <c r="L491"/>
  <c r="M491"/>
  <c r="N491"/>
  <c r="P491"/>
  <c r="Q491"/>
  <c r="R491"/>
  <c r="S491"/>
  <c r="T491"/>
  <c r="U491"/>
  <c r="V491"/>
  <c r="W491"/>
  <c r="X491"/>
  <c r="Y491"/>
  <c r="Z491"/>
  <c r="AB491"/>
  <c r="D492"/>
  <c r="E492"/>
  <c r="F492"/>
  <c r="G492"/>
  <c r="H492"/>
  <c r="I492"/>
  <c r="J492"/>
  <c r="K492"/>
  <c r="L492"/>
  <c r="M492"/>
  <c r="N492"/>
  <c r="P492"/>
  <c r="Q492"/>
  <c r="R492"/>
  <c r="S492"/>
  <c r="T492"/>
  <c r="U492"/>
  <c r="V492"/>
  <c r="W492"/>
  <c r="X492"/>
  <c r="Y492"/>
  <c r="Z492"/>
  <c r="AA492"/>
  <c r="AB492"/>
  <c r="D493"/>
  <c r="E493"/>
  <c r="F493"/>
  <c r="G493"/>
  <c r="H493"/>
  <c r="I493"/>
  <c r="J493"/>
  <c r="K493"/>
  <c r="L493"/>
  <c r="M493"/>
  <c r="N493"/>
  <c r="AA493"/>
  <c r="AB493"/>
  <c r="D494"/>
  <c r="E494"/>
  <c r="F494"/>
  <c r="H494"/>
  <c r="I494"/>
  <c r="J494"/>
  <c r="K494"/>
  <c r="L494"/>
  <c r="M494"/>
  <c r="N494"/>
  <c r="X494"/>
  <c r="AA494"/>
  <c r="D495"/>
  <c r="E495"/>
  <c r="F495"/>
  <c r="G495"/>
  <c r="H495"/>
  <c r="I495"/>
  <c r="J495"/>
  <c r="K495"/>
  <c r="L495"/>
  <c r="M495"/>
  <c r="N495"/>
  <c r="O495"/>
  <c r="P495"/>
  <c r="Q495"/>
  <c r="R495"/>
  <c r="S495"/>
  <c r="T495"/>
  <c r="U495"/>
  <c r="V495"/>
  <c r="W495"/>
  <c r="X495"/>
  <c r="Y495"/>
  <c r="Z495"/>
  <c r="AB495"/>
  <c r="D496"/>
  <c r="E496"/>
  <c r="F496"/>
  <c r="G496"/>
  <c r="H496"/>
  <c r="I496"/>
  <c r="J496"/>
  <c r="K496"/>
  <c r="L496"/>
  <c r="M496"/>
  <c r="N496"/>
  <c r="P496"/>
  <c r="Q496"/>
  <c r="R496"/>
  <c r="S496"/>
  <c r="T496"/>
  <c r="U496"/>
  <c r="V496"/>
  <c r="W496"/>
  <c r="X496"/>
  <c r="Y496"/>
  <c r="Z496"/>
  <c r="AB496"/>
  <c r="D497"/>
  <c r="E497"/>
  <c r="F497"/>
  <c r="G497"/>
  <c r="H497"/>
  <c r="I497"/>
  <c r="J497"/>
  <c r="K497"/>
  <c r="L497"/>
  <c r="M497"/>
  <c r="N497"/>
  <c r="P497"/>
  <c r="Q497"/>
  <c r="R497"/>
  <c r="S497"/>
  <c r="T497"/>
  <c r="U497"/>
  <c r="V497"/>
  <c r="W497"/>
  <c r="X497"/>
  <c r="Y497"/>
  <c r="Z497"/>
  <c r="AA497"/>
  <c r="AB497"/>
  <c r="D498"/>
  <c r="E498"/>
  <c r="F498"/>
  <c r="G498"/>
  <c r="H498"/>
  <c r="I498"/>
  <c r="J498"/>
  <c r="K498"/>
  <c r="L498"/>
  <c r="M498"/>
  <c r="N498"/>
  <c r="AA498"/>
  <c r="AB498"/>
  <c r="D499"/>
  <c r="E499"/>
  <c r="F499"/>
  <c r="H499"/>
  <c r="I499"/>
  <c r="J499"/>
  <c r="K499"/>
  <c r="L499"/>
  <c r="M499"/>
  <c r="N499"/>
  <c r="AA499"/>
  <c r="D500"/>
  <c r="E500"/>
  <c r="F500"/>
  <c r="G500"/>
  <c r="H500"/>
  <c r="I500"/>
  <c r="J500"/>
  <c r="K500"/>
  <c r="L500"/>
  <c r="M500"/>
  <c r="N500"/>
  <c r="O500"/>
  <c r="P500"/>
  <c r="Q500"/>
  <c r="R500"/>
  <c r="S500"/>
  <c r="T500"/>
  <c r="U500"/>
  <c r="V500"/>
  <c r="W500"/>
  <c r="X500"/>
  <c r="Y500"/>
  <c r="Z500"/>
  <c r="AB500"/>
  <c r="D501"/>
  <c r="E501"/>
  <c r="F501"/>
  <c r="G501"/>
  <c r="H501"/>
  <c r="I501"/>
  <c r="J501"/>
  <c r="K501"/>
  <c r="L501"/>
  <c r="M501"/>
  <c r="N501"/>
  <c r="P501"/>
  <c r="Q501"/>
  <c r="R501"/>
  <c r="S501"/>
  <c r="T501"/>
  <c r="U501"/>
  <c r="V501"/>
  <c r="W501"/>
  <c r="X501"/>
  <c r="Y501"/>
  <c r="Z501"/>
  <c r="AB501"/>
  <c r="D502"/>
  <c r="E502"/>
  <c r="F502"/>
  <c r="G502"/>
  <c r="H502"/>
  <c r="I502"/>
  <c r="J502"/>
  <c r="K502"/>
  <c r="L502"/>
  <c r="M502"/>
  <c r="N502"/>
  <c r="P502"/>
  <c r="Q502"/>
  <c r="R502"/>
  <c r="S502"/>
  <c r="T502"/>
  <c r="U502"/>
  <c r="V502"/>
  <c r="W502"/>
  <c r="X502"/>
  <c r="Y502"/>
  <c r="Z502"/>
  <c r="AA502"/>
  <c r="AB502"/>
  <c r="D503"/>
  <c r="E503"/>
  <c r="F503"/>
  <c r="G503"/>
  <c r="H503"/>
  <c r="I503"/>
  <c r="J503"/>
  <c r="K503"/>
  <c r="L503"/>
  <c r="M503"/>
  <c r="N503"/>
  <c r="AA503"/>
  <c r="AB503"/>
  <c r="D504"/>
  <c r="E504"/>
  <c r="F504"/>
  <c r="H504"/>
  <c r="I504"/>
  <c r="J504"/>
  <c r="K504"/>
  <c r="L504"/>
  <c r="M504"/>
  <c r="N504"/>
  <c r="Z504"/>
  <c r="AA504"/>
  <c r="D505"/>
  <c r="E505"/>
  <c r="F505"/>
  <c r="G505"/>
  <c r="H505"/>
  <c r="I505"/>
  <c r="J505"/>
  <c r="K505"/>
  <c r="L505"/>
  <c r="M505"/>
  <c r="N505"/>
  <c r="O505"/>
  <c r="P505"/>
  <c r="Q505"/>
  <c r="R505"/>
  <c r="S505"/>
  <c r="T505"/>
  <c r="U505"/>
  <c r="V505"/>
  <c r="W505"/>
  <c r="X505"/>
  <c r="Y505"/>
  <c r="Z505"/>
  <c r="AB505"/>
  <c r="D506"/>
  <c r="E506"/>
  <c r="F506"/>
  <c r="G506"/>
  <c r="H506"/>
  <c r="I506"/>
  <c r="J506"/>
  <c r="K506"/>
  <c r="L506"/>
  <c r="M506"/>
  <c r="N506"/>
  <c r="P506"/>
  <c r="Q506"/>
  <c r="R506"/>
  <c r="S506"/>
  <c r="T506"/>
  <c r="U506"/>
  <c r="V506"/>
  <c r="W506"/>
  <c r="X506"/>
  <c r="Y506"/>
  <c r="Z506"/>
  <c r="AB506"/>
  <c r="D507"/>
  <c r="E507"/>
  <c r="F507"/>
  <c r="G507"/>
  <c r="H507"/>
  <c r="I507"/>
  <c r="J507"/>
  <c r="K507"/>
  <c r="L507"/>
  <c r="M507"/>
  <c r="N507"/>
  <c r="P507"/>
  <c r="Q507"/>
  <c r="R507"/>
  <c r="S507"/>
  <c r="T507"/>
  <c r="U507"/>
  <c r="V507"/>
  <c r="W507"/>
  <c r="X507"/>
  <c r="Y507"/>
  <c r="Z507"/>
  <c r="AA507"/>
  <c r="AB507"/>
  <c r="D508"/>
  <c r="E508"/>
  <c r="F508"/>
  <c r="G508"/>
  <c r="H508"/>
  <c r="I508"/>
  <c r="J508"/>
  <c r="K508"/>
  <c r="L508"/>
  <c r="M508"/>
  <c r="N508"/>
  <c r="AA508"/>
  <c r="AB508"/>
  <c r="D509"/>
  <c r="E509"/>
  <c r="F509"/>
  <c r="H509"/>
  <c r="I509"/>
  <c r="J509"/>
  <c r="K509"/>
  <c r="L509"/>
  <c r="M509"/>
  <c r="N509"/>
  <c r="AA509"/>
  <c r="D510"/>
  <c r="E510"/>
  <c r="F510"/>
  <c r="G510"/>
  <c r="H510"/>
  <c r="I510"/>
  <c r="J510"/>
  <c r="K510"/>
  <c r="L510"/>
  <c r="M510"/>
  <c r="N510"/>
  <c r="O510"/>
  <c r="P510"/>
  <c r="Q510"/>
  <c r="R510"/>
  <c r="S510"/>
  <c r="T510"/>
  <c r="U510"/>
  <c r="V510"/>
  <c r="W510"/>
  <c r="X510"/>
  <c r="Y510"/>
  <c r="Z510"/>
  <c r="AB510"/>
  <c r="D511"/>
  <c r="E511"/>
  <c r="F511"/>
  <c r="G511"/>
  <c r="H511"/>
  <c r="I511"/>
  <c r="J511"/>
  <c r="K511"/>
  <c r="L511"/>
  <c r="M511"/>
  <c r="N511"/>
  <c r="P511"/>
  <c r="Q511"/>
  <c r="R511"/>
  <c r="S511"/>
  <c r="T511"/>
  <c r="U511"/>
  <c r="V511"/>
  <c r="W511"/>
  <c r="X511"/>
  <c r="Y511"/>
  <c r="Z511"/>
  <c r="AB511"/>
  <c r="D512"/>
  <c r="E512"/>
  <c r="F512"/>
  <c r="G512"/>
  <c r="H512"/>
  <c r="I512"/>
  <c r="J512"/>
  <c r="K512"/>
  <c r="L512"/>
  <c r="M512"/>
  <c r="N512"/>
  <c r="P512"/>
  <c r="Q512"/>
  <c r="R512"/>
  <c r="S512"/>
  <c r="T512"/>
  <c r="U512"/>
  <c r="V512"/>
  <c r="W512"/>
  <c r="X512"/>
  <c r="Y512"/>
  <c r="Z512"/>
  <c r="AA512"/>
  <c r="AB512"/>
  <c r="D513"/>
  <c r="E513"/>
  <c r="F513"/>
  <c r="G513"/>
  <c r="H513"/>
  <c r="I513"/>
  <c r="J513"/>
  <c r="K513"/>
  <c r="L513"/>
  <c r="M513"/>
  <c r="N513"/>
  <c r="AA513"/>
  <c r="AB513"/>
  <c r="D514"/>
  <c r="E514"/>
  <c r="F514"/>
  <c r="H514"/>
  <c r="I514"/>
  <c r="J514"/>
  <c r="K514"/>
  <c r="L514"/>
  <c r="M514"/>
  <c r="N514"/>
  <c r="AA514"/>
  <c r="D515"/>
  <c r="E515"/>
  <c r="F515"/>
  <c r="G515"/>
  <c r="H515"/>
  <c r="I515"/>
  <c r="J515"/>
  <c r="K515"/>
  <c r="L515"/>
  <c r="M515"/>
  <c r="N515"/>
  <c r="O515"/>
  <c r="P515"/>
  <c r="Q515"/>
  <c r="R515"/>
  <c r="S515"/>
  <c r="T515"/>
  <c r="U515"/>
  <c r="V515"/>
  <c r="W515"/>
  <c r="X515"/>
  <c r="Y515"/>
  <c r="Z515"/>
  <c r="AB515"/>
  <c r="D516"/>
  <c r="E516"/>
  <c r="F516"/>
  <c r="G516"/>
  <c r="H516"/>
  <c r="I516"/>
  <c r="J516"/>
  <c r="K516"/>
  <c r="L516"/>
  <c r="M516"/>
  <c r="N516"/>
  <c r="O516"/>
  <c r="P516"/>
  <c r="Q516"/>
  <c r="R516"/>
  <c r="S516"/>
  <c r="T516"/>
  <c r="U516"/>
  <c r="V516"/>
  <c r="W516"/>
  <c r="X516"/>
  <c r="Y516"/>
  <c r="Z516"/>
  <c r="AB516"/>
  <c r="D517"/>
  <c r="E517"/>
  <c r="F517"/>
  <c r="G517"/>
  <c r="H517"/>
  <c r="I517"/>
  <c r="J517"/>
  <c r="K517"/>
  <c r="L517"/>
  <c r="M517"/>
  <c r="N517"/>
  <c r="O517"/>
  <c r="P517"/>
  <c r="Q517"/>
  <c r="R517"/>
  <c r="S517"/>
  <c r="T517"/>
  <c r="U517"/>
  <c r="V517"/>
  <c r="W517"/>
  <c r="X517"/>
  <c r="Y517"/>
  <c r="Z517"/>
  <c r="AA517"/>
  <c r="AB517"/>
  <c r="D518"/>
  <c r="E518"/>
  <c r="F518"/>
  <c r="G518"/>
  <c r="H518"/>
  <c r="I518"/>
  <c r="J518"/>
  <c r="K518"/>
  <c r="L518"/>
  <c r="M518"/>
  <c r="N518"/>
  <c r="AA518"/>
  <c r="AB518"/>
  <c r="D519"/>
  <c r="E519"/>
  <c r="F519"/>
  <c r="H519"/>
  <c r="I519"/>
  <c r="J519"/>
  <c r="K519"/>
  <c r="L519"/>
  <c r="M519"/>
  <c r="N519"/>
  <c r="Y519"/>
  <c r="AA519"/>
  <c r="D520"/>
  <c r="E520"/>
  <c r="F520"/>
  <c r="G520"/>
  <c r="H520"/>
  <c r="I520"/>
  <c r="J520"/>
  <c r="K520"/>
  <c r="L520"/>
  <c r="M520"/>
  <c r="N520"/>
  <c r="P520"/>
  <c r="Q520"/>
  <c r="R520"/>
  <c r="S520"/>
  <c r="T520"/>
  <c r="U520"/>
  <c r="V520"/>
  <c r="W520"/>
  <c r="X520"/>
  <c r="Y520"/>
  <c r="Z520"/>
  <c r="AB520"/>
  <c r="D521"/>
  <c r="E521"/>
  <c r="F521"/>
  <c r="G521"/>
  <c r="H521"/>
  <c r="I521"/>
  <c r="J521"/>
  <c r="K521"/>
  <c r="L521"/>
  <c r="M521"/>
  <c r="N521"/>
  <c r="O521"/>
  <c r="P521"/>
  <c r="Q521"/>
  <c r="R521"/>
  <c r="S521"/>
  <c r="T521"/>
  <c r="U521"/>
  <c r="V521"/>
  <c r="W521"/>
  <c r="X521"/>
  <c r="Y521"/>
  <c r="Z521"/>
  <c r="AB521"/>
  <c r="D522"/>
  <c r="E522"/>
  <c r="F522"/>
  <c r="H522"/>
  <c r="I522"/>
  <c r="J522"/>
  <c r="K522"/>
  <c r="L522"/>
  <c r="M522"/>
  <c r="N522"/>
  <c r="AA522"/>
  <c r="D523"/>
  <c r="E523"/>
  <c r="F523"/>
  <c r="G523"/>
  <c r="H523"/>
  <c r="I523"/>
  <c r="J523"/>
  <c r="K523"/>
  <c r="L523"/>
  <c r="M523"/>
  <c r="N523"/>
  <c r="P523"/>
  <c r="Q523"/>
  <c r="R523"/>
  <c r="S523"/>
  <c r="T523"/>
  <c r="U523"/>
  <c r="V523"/>
  <c r="W523"/>
  <c r="X523"/>
  <c r="Y523"/>
  <c r="Z523"/>
  <c r="AB523"/>
  <c r="D524"/>
  <c r="E524"/>
  <c r="F524"/>
  <c r="G524"/>
  <c r="H524"/>
  <c r="I524"/>
  <c r="J524"/>
  <c r="K524"/>
  <c r="L524"/>
  <c r="M524"/>
  <c r="N524"/>
  <c r="O524"/>
  <c r="P524"/>
  <c r="Q524"/>
  <c r="R524"/>
  <c r="S524"/>
  <c r="T524"/>
  <c r="U524"/>
  <c r="V524"/>
  <c r="W524"/>
  <c r="X524"/>
  <c r="Y524"/>
  <c r="Z524"/>
  <c r="AB524"/>
  <c r="D525"/>
  <c r="E525"/>
  <c r="F525"/>
  <c r="H525"/>
  <c r="I525"/>
  <c r="J525"/>
  <c r="K525"/>
  <c r="L525"/>
  <c r="M525"/>
  <c r="N525"/>
  <c r="AA525"/>
  <c r="D526"/>
  <c r="E526"/>
  <c r="F526"/>
  <c r="G526"/>
  <c r="H526"/>
  <c r="I526"/>
  <c r="J526"/>
  <c r="K526"/>
  <c r="L526"/>
  <c r="M526"/>
  <c r="N526"/>
  <c r="O526"/>
  <c r="P526"/>
  <c r="Q526"/>
  <c r="R526"/>
  <c r="S526"/>
  <c r="T526"/>
  <c r="U526"/>
  <c r="V526"/>
  <c r="W526"/>
  <c r="X526"/>
  <c r="Y526"/>
  <c r="Z526"/>
  <c r="AB526"/>
  <c r="D527"/>
  <c r="E527"/>
  <c r="F527"/>
  <c r="G527"/>
  <c r="H527"/>
  <c r="I527"/>
  <c r="J527"/>
  <c r="K527"/>
  <c r="L527"/>
  <c r="M527"/>
  <c r="N527"/>
  <c r="P527"/>
  <c r="Q527"/>
  <c r="R527"/>
  <c r="S527"/>
  <c r="T527"/>
  <c r="U527"/>
  <c r="V527"/>
  <c r="W527"/>
  <c r="X527"/>
  <c r="Y527"/>
  <c r="Z527"/>
  <c r="AB527"/>
  <c r="D528"/>
  <c r="E528"/>
  <c r="F528"/>
  <c r="G528"/>
  <c r="H528"/>
  <c r="I528"/>
  <c r="J528"/>
  <c r="K528"/>
  <c r="L528"/>
  <c r="M528"/>
  <c r="N528"/>
  <c r="P528"/>
  <c r="Q528"/>
  <c r="R528"/>
  <c r="S528"/>
  <c r="T528"/>
  <c r="U528"/>
  <c r="V528"/>
  <c r="W528"/>
  <c r="X528"/>
  <c r="Y528"/>
  <c r="Z528"/>
  <c r="AA528"/>
  <c r="AB528"/>
  <c r="D529"/>
  <c r="E529"/>
  <c r="F529"/>
  <c r="G529"/>
  <c r="H529"/>
  <c r="I529"/>
  <c r="J529"/>
  <c r="K529"/>
  <c r="L529"/>
  <c r="M529"/>
  <c r="N529"/>
  <c r="AA529"/>
  <c r="AB529"/>
  <c r="D530"/>
  <c r="E530"/>
  <c r="F530"/>
  <c r="H530"/>
  <c r="I530"/>
  <c r="J530"/>
  <c r="K530"/>
  <c r="L530"/>
  <c r="M530"/>
  <c r="N530"/>
  <c r="AA530"/>
  <c r="D531"/>
  <c r="E531"/>
  <c r="F531"/>
  <c r="G531"/>
  <c r="H531"/>
  <c r="I531"/>
  <c r="J531"/>
  <c r="K531"/>
  <c r="L531"/>
  <c r="M531"/>
  <c r="N531"/>
  <c r="O531"/>
  <c r="P531"/>
  <c r="Q531"/>
  <c r="R531"/>
  <c r="S531"/>
  <c r="T531"/>
  <c r="U531"/>
  <c r="V531"/>
  <c r="W531"/>
  <c r="X531"/>
  <c r="Y531"/>
  <c r="Z531"/>
  <c r="AB531"/>
  <c r="D532"/>
  <c r="E532"/>
  <c r="F532"/>
  <c r="G532"/>
  <c r="H532"/>
  <c r="I532"/>
  <c r="J532"/>
  <c r="K532"/>
  <c r="L532"/>
  <c r="M532"/>
  <c r="N532"/>
  <c r="P532"/>
  <c r="Q532"/>
  <c r="R532"/>
  <c r="S532"/>
  <c r="T532"/>
  <c r="U532"/>
  <c r="V532"/>
  <c r="W532"/>
  <c r="X532"/>
  <c r="Y532"/>
  <c r="Z532"/>
  <c r="AB532"/>
  <c r="D533"/>
  <c r="E533"/>
  <c r="F533"/>
  <c r="G533"/>
  <c r="H533"/>
  <c r="I533"/>
  <c r="J533"/>
  <c r="K533"/>
  <c r="L533"/>
  <c r="M533"/>
  <c r="N533"/>
  <c r="P533"/>
  <c r="Q533"/>
  <c r="R533"/>
  <c r="S533"/>
  <c r="T533"/>
  <c r="U533"/>
  <c r="V533"/>
  <c r="W533"/>
  <c r="X533"/>
  <c r="Y533"/>
  <c r="Z533"/>
  <c r="AA533"/>
  <c r="AB533"/>
  <c r="D534"/>
  <c r="E534"/>
  <c r="F534"/>
  <c r="G534"/>
  <c r="H534"/>
  <c r="I534"/>
  <c r="J534"/>
  <c r="K534"/>
  <c r="L534"/>
  <c r="M534"/>
  <c r="N534"/>
  <c r="AA534"/>
  <c r="AB534"/>
  <c r="D535"/>
  <c r="E535"/>
  <c r="F535"/>
  <c r="H535"/>
  <c r="I535"/>
  <c r="J535"/>
  <c r="K535"/>
  <c r="L535"/>
  <c r="M535"/>
  <c r="N535"/>
  <c r="AA535"/>
  <c r="D536"/>
  <c r="E536"/>
  <c r="F536"/>
  <c r="G536"/>
  <c r="H536"/>
  <c r="I536"/>
  <c r="J536"/>
  <c r="K536"/>
  <c r="L536"/>
  <c r="M536"/>
  <c r="N536"/>
  <c r="O536"/>
  <c r="P536"/>
  <c r="Q536"/>
  <c r="R536"/>
  <c r="S536"/>
  <c r="T536"/>
  <c r="U536"/>
  <c r="V536"/>
  <c r="W536"/>
  <c r="X536"/>
  <c r="Y536"/>
  <c r="Z536"/>
  <c r="AB536"/>
  <c r="D537"/>
  <c r="E537"/>
  <c r="F537"/>
  <c r="G537"/>
  <c r="H537"/>
  <c r="I537"/>
  <c r="J537"/>
  <c r="K537"/>
  <c r="L537"/>
  <c r="M537"/>
  <c r="N537"/>
  <c r="P537"/>
  <c r="Q537"/>
  <c r="R537"/>
  <c r="S537"/>
  <c r="T537"/>
  <c r="U537"/>
  <c r="V537"/>
  <c r="W537"/>
  <c r="X537"/>
  <c r="Y537"/>
  <c r="Z537"/>
  <c r="AB537"/>
  <c r="D538"/>
  <c r="E538"/>
  <c r="F538"/>
  <c r="G538"/>
  <c r="H538"/>
  <c r="I538"/>
  <c r="J538"/>
  <c r="K538"/>
  <c r="L538"/>
  <c r="M538"/>
  <c r="N538"/>
  <c r="P538"/>
  <c r="Q538"/>
  <c r="R538"/>
  <c r="S538"/>
  <c r="T538"/>
  <c r="U538"/>
  <c r="V538"/>
  <c r="W538"/>
  <c r="X538"/>
  <c r="Y538"/>
  <c r="Z538"/>
  <c r="AA538"/>
  <c r="AB538"/>
  <c r="D539"/>
  <c r="E539"/>
  <c r="F539"/>
  <c r="G539"/>
  <c r="H539"/>
  <c r="I539"/>
  <c r="J539"/>
  <c r="K539"/>
  <c r="L539"/>
  <c r="M539"/>
  <c r="N539"/>
  <c r="AA539"/>
  <c r="AB539"/>
  <c r="D540"/>
  <c r="E540"/>
  <c r="F540"/>
  <c r="H540"/>
  <c r="I540"/>
  <c r="J540"/>
  <c r="K540"/>
  <c r="L540"/>
  <c r="M540"/>
  <c r="N540"/>
  <c r="X540"/>
  <c r="AA540"/>
  <c r="D541"/>
  <c r="E541"/>
  <c r="F541"/>
  <c r="G541"/>
  <c r="H541"/>
  <c r="I541"/>
  <c r="J541"/>
  <c r="K541"/>
  <c r="L541"/>
  <c r="M541"/>
  <c r="N541"/>
  <c r="O541"/>
  <c r="P541"/>
  <c r="Q541"/>
  <c r="R541"/>
  <c r="S541"/>
  <c r="T541"/>
  <c r="U541"/>
  <c r="V541"/>
  <c r="W541"/>
  <c r="X541"/>
  <c r="Y541"/>
  <c r="Z541"/>
  <c r="AB541"/>
  <c r="D542"/>
  <c r="E542"/>
  <c r="F542"/>
  <c r="G542"/>
  <c r="H542"/>
  <c r="I542"/>
  <c r="J542"/>
  <c r="K542"/>
  <c r="L542"/>
  <c r="M542"/>
  <c r="N542"/>
  <c r="O542"/>
  <c r="P542"/>
  <c r="Q542"/>
  <c r="R542"/>
  <c r="S542"/>
  <c r="T542"/>
  <c r="U542"/>
  <c r="V542"/>
  <c r="W542"/>
  <c r="X542"/>
  <c r="Y542"/>
  <c r="Z542"/>
  <c r="AB542"/>
  <c r="D543"/>
  <c r="E543"/>
  <c r="F543"/>
  <c r="H543"/>
  <c r="I543"/>
  <c r="J543"/>
  <c r="K543"/>
  <c r="L543"/>
  <c r="M543"/>
  <c r="N543"/>
  <c r="AA543"/>
  <c r="D544"/>
  <c r="E544"/>
  <c r="F544"/>
  <c r="G544"/>
  <c r="H544"/>
  <c r="I544"/>
  <c r="J544"/>
  <c r="K544"/>
  <c r="L544"/>
  <c r="M544"/>
  <c r="N544"/>
  <c r="O544"/>
  <c r="P544"/>
  <c r="Q544"/>
  <c r="R544"/>
  <c r="S544"/>
  <c r="T544"/>
  <c r="U544"/>
  <c r="V544"/>
  <c r="W544"/>
  <c r="X544"/>
  <c r="Y544"/>
  <c r="Z544"/>
  <c r="AB544"/>
  <c r="D545"/>
  <c r="E545"/>
  <c r="F545"/>
  <c r="G545"/>
  <c r="H545"/>
  <c r="I545"/>
  <c r="J545"/>
  <c r="K545"/>
  <c r="L545"/>
  <c r="M545"/>
  <c r="N545"/>
  <c r="O545"/>
  <c r="P545"/>
  <c r="Q545"/>
  <c r="R545"/>
  <c r="S545"/>
  <c r="T545"/>
  <c r="U545"/>
  <c r="V545"/>
  <c r="W545"/>
  <c r="X545"/>
  <c r="Y545"/>
  <c r="Z545"/>
  <c r="AB545"/>
  <c r="D546"/>
  <c r="E546"/>
  <c r="F546"/>
  <c r="H546"/>
  <c r="I546"/>
  <c r="J546"/>
  <c r="K546"/>
  <c r="L546"/>
  <c r="M546"/>
  <c r="N546"/>
  <c r="Y546"/>
  <c r="Z546"/>
  <c r="AA546"/>
  <c r="D547"/>
  <c r="E547"/>
  <c r="F547"/>
  <c r="G547"/>
  <c r="H547"/>
  <c r="I547"/>
  <c r="J547"/>
  <c r="K547"/>
  <c r="L547"/>
  <c r="M547"/>
  <c r="N547"/>
  <c r="O547"/>
  <c r="P547"/>
  <c r="Q547"/>
  <c r="R547"/>
  <c r="S547"/>
  <c r="T547"/>
  <c r="U547"/>
  <c r="V547"/>
  <c r="W547"/>
  <c r="X547"/>
  <c r="Y547"/>
  <c r="Z547"/>
  <c r="AB547"/>
  <c r="D548"/>
  <c r="E548"/>
  <c r="F548"/>
  <c r="G548"/>
  <c r="H548"/>
  <c r="I548"/>
  <c r="J548"/>
  <c r="K548"/>
  <c r="L548"/>
  <c r="M548"/>
  <c r="N548"/>
  <c r="O548"/>
  <c r="P548"/>
  <c r="Q548"/>
  <c r="R548"/>
  <c r="S548"/>
  <c r="T548"/>
  <c r="U548"/>
  <c r="V548"/>
  <c r="W548"/>
  <c r="X548"/>
  <c r="Y548"/>
  <c r="Z548"/>
  <c r="AB548"/>
  <c r="D549"/>
  <c r="E549"/>
  <c r="F549"/>
  <c r="H549"/>
  <c r="I549"/>
  <c r="J549"/>
  <c r="K549"/>
  <c r="L549"/>
  <c r="M549"/>
  <c r="N549"/>
  <c r="AA549"/>
  <c r="D550"/>
  <c r="E550"/>
  <c r="F550"/>
  <c r="G550"/>
  <c r="H550"/>
  <c r="I550"/>
  <c r="J550"/>
  <c r="K550"/>
  <c r="L550"/>
  <c r="M550"/>
  <c r="N550"/>
  <c r="O550"/>
  <c r="P550"/>
  <c r="Q550"/>
  <c r="R550"/>
  <c r="S550"/>
  <c r="T550"/>
  <c r="U550"/>
  <c r="V550"/>
  <c r="W550"/>
  <c r="X550"/>
  <c r="Y550"/>
  <c r="Z550"/>
  <c r="AB550"/>
  <c r="D551"/>
  <c r="E551"/>
  <c r="F551"/>
  <c r="G551"/>
  <c r="H551"/>
  <c r="I551"/>
  <c r="J551"/>
  <c r="K551"/>
  <c r="L551"/>
  <c r="M551"/>
  <c r="N551"/>
  <c r="O551"/>
  <c r="P551"/>
  <c r="Q551"/>
  <c r="R551"/>
  <c r="S551"/>
  <c r="T551"/>
  <c r="U551"/>
  <c r="V551"/>
  <c r="W551"/>
  <c r="X551"/>
  <c r="Y551"/>
  <c r="Z551"/>
  <c r="AB551"/>
  <c r="D552"/>
  <c r="E552"/>
  <c r="F552"/>
  <c r="H552"/>
  <c r="I552"/>
  <c r="J552"/>
  <c r="K552"/>
  <c r="L552"/>
  <c r="M552"/>
  <c r="N552"/>
  <c r="AA552"/>
  <c r="D553"/>
  <c r="E553"/>
  <c r="F553"/>
  <c r="G553"/>
  <c r="H553"/>
  <c r="I553"/>
  <c r="J553"/>
  <c r="K553"/>
  <c r="L553"/>
  <c r="M553"/>
  <c r="N553"/>
  <c r="R553"/>
  <c r="S553"/>
  <c r="T553"/>
  <c r="U553"/>
  <c r="V553"/>
  <c r="W553"/>
  <c r="X553"/>
  <c r="Y553"/>
  <c r="Z553"/>
  <c r="AB553"/>
  <c r="D554"/>
  <c r="E554"/>
  <c r="F554"/>
  <c r="G554"/>
  <c r="H554"/>
  <c r="I554"/>
  <c r="J554"/>
  <c r="K554"/>
  <c r="L554"/>
  <c r="M554"/>
  <c r="N554"/>
  <c r="O554"/>
  <c r="P554"/>
  <c r="Q554"/>
  <c r="R554"/>
  <c r="S554"/>
  <c r="T554"/>
  <c r="U554"/>
  <c r="V554"/>
  <c r="W554"/>
  <c r="X554"/>
  <c r="Y554"/>
  <c r="Z554"/>
  <c r="AB554"/>
  <c r="D555"/>
  <c r="E555"/>
  <c r="F555"/>
  <c r="H555"/>
  <c r="I555"/>
  <c r="J555"/>
  <c r="K555"/>
  <c r="L555"/>
  <c r="M555"/>
  <c r="N555"/>
  <c r="X555"/>
  <c r="Y555"/>
  <c r="AA555"/>
  <c r="D556"/>
  <c r="E556"/>
  <c r="F556"/>
  <c r="G556"/>
  <c r="H556"/>
  <c r="I556"/>
  <c r="J556"/>
  <c r="K556"/>
  <c r="L556"/>
  <c r="M556"/>
  <c r="N556"/>
  <c r="R556"/>
  <c r="S556"/>
  <c r="T556"/>
  <c r="U556"/>
  <c r="V556"/>
  <c r="W556"/>
  <c r="X556"/>
  <c r="Y556"/>
  <c r="Z556"/>
  <c r="AB556"/>
  <c r="D557"/>
  <c r="E557"/>
  <c r="F557"/>
  <c r="G557"/>
  <c r="H557"/>
  <c r="I557"/>
  <c r="J557"/>
  <c r="K557"/>
  <c r="L557"/>
  <c r="M557"/>
  <c r="N557"/>
  <c r="O557"/>
  <c r="P557"/>
  <c r="Q557"/>
  <c r="R557"/>
  <c r="S557"/>
  <c r="T557"/>
  <c r="U557"/>
  <c r="V557"/>
  <c r="W557"/>
  <c r="X557"/>
  <c r="Y557"/>
  <c r="Z557"/>
  <c r="AB557"/>
  <c r="D558"/>
  <c r="E558"/>
  <c r="F558"/>
  <c r="H558"/>
  <c r="I558"/>
  <c r="J558"/>
  <c r="K558"/>
  <c r="L558"/>
  <c r="M558"/>
  <c r="N558"/>
  <c r="AA558"/>
  <c r="D559"/>
  <c r="E559"/>
  <c r="F559"/>
  <c r="G559"/>
  <c r="H559"/>
  <c r="I559"/>
  <c r="J559"/>
  <c r="K559"/>
  <c r="L559"/>
  <c r="M559"/>
  <c r="N559"/>
  <c r="R559"/>
  <c r="S559"/>
  <c r="T559"/>
  <c r="U559"/>
  <c r="V559"/>
  <c r="W559"/>
  <c r="X559"/>
  <c r="Y559"/>
  <c r="Z559"/>
  <c r="AB559"/>
  <c r="D560"/>
  <c r="E560"/>
  <c r="F560"/>
  <c r="G560"/>
  <c r="H560"/>
  <c r="I560"/>
  <c r="J560"/>
  <c r="K560"/>
  <c r="L560"/>
  <c r="M560"/>
  <c r="N560"/>
  <c r="O560"/>
  <c r="P560"/>
  <c r="Q560"/>
  <c r="R560"/>
  <c r="S560"/>
  <c r="T560"/>
  <c r="U560"/>
  <c r="V560"/>
  <c r="W560"/>
  <c r="X560"/>
  <c r="Y560"/>
  <c r="Z560"/>
  <c r="AB560"/>
  <c r="D561"/>
  <c r="E561"/>
  <c r="F561"/>
  <c r="H561"/>
  <c r="I561"/>
  <c r="J561"/>
  <c r="K561"/>
  <c r="L561"/>
  <c r="M561"/>
  <c r="N561"/>
  <c r="AA561"/>
  <c r="D562"/>
  <c r="E562"/>
  <c r="F562"/>
  <c r="G562"/>
  <c r="H562"/>
  <c r="I562"/>
  <c r="J562"/>
  <c r="K562"/>
  <c r="L562"/>
  <c r="M562"/>
  <c r="N562"/>
  <c r="R562"/>
  <c r="S562"/>
  <c r="T562"/>
  <c r="U562"/>
  <c r="V562"/>
  <c r="W562"/>
  <c r="X562"/>
  <c r="Y562"/>
  <c r="Z562"/>
  <c r="AB562"/>
  <c r="D563"/>
  <c r="E563"/>
  <c r="F563"/>
  <c r="G563"/>
  <c r="H563"/>
  <c r="I563"/>
  <c r="J563"/>
  <c r="K563"/>
  <c r="L563"/>
  <c r="M563"/>
  <c r="N563"/>
  <c r="O563"/>
  <c r="P563"/>
  <c r="Q563"/>
  <c r="R563"/>
  <c r="S563"/>
  <c r="T563"/>
  <c r="U563"/>
  <c r="V563"/>
  <c r="W563"/>
  <c r="X563"/>
  <c r="Y563"/>
  <c r="Z563"/>
  <c r="AB563"/>
  <c r="D564"/>
  <c r="E564"/>
  <c r="F564"/>
  <c r="H564"/>
  <c r="I564"/>
  <c r="J564"/>
  <c r="K564"/>
  <c r="L564"/>
  <c r="M564"/>
  <c r="N564"/>
  <c r="AA564"/>
  <c r="D565"/>
  <c r="E565"/>
  <c r="F565"/>
  <c r="G565"/>
  <c r="H565"/>
  <c r="I565"/>
  <c r="J565"/>
  <c r="K565"/>
  <c r="L565"/>
  <c r="M565"/>
  <c r="N565"/>
  <c r="R565"/>
  <c r="S565"/>
  <c r="T565"/>
  <c r="U565"/>
  <c r="V565"/>
  <c r="W565"/>
  <c r="X565"/>
  <c r="Y565"/>
  <c r="Z565"/>
  <c r="AB565"/>
  <c r="D566"/>
  <c r="E566"/>
  <c r="F566"/>
  <c r="G566"/>
  <c r="H566"/>
  <c r="I566"/>
  <c r="J566"/>
  <c r="K566"/>
  <c r="L566"/>
  <c r="M566"/>
  <c r="N566"/>
  <c r="O566"/>
  <c r="P566"/>
  <c r="Q566"/>
  <c r="R566"/>
  <c r="S566"/>
  <c r="T566"/>
  <c r="U566"/>
  <c r="V566"/>
  <c r="W566"/>
  <c r="X566"/>
  <c r="Y566"/>
  <c r="Z566"/>
  <c r="AB566"/>
  <c r="D567"/>
  <c r="E567"/>
  <c r="F567"/>
  <c r="H567"/>
  <c r="I567"/>
  <c r="J567"/>
  <c r="K567"/>
  <c r="L567"/>
  <c r="M567"/>
  <c r="N567"/>
  <c r="AA567"/>
  <c r="D568"/>
  <c r="E568"/>
  <c r="F568"/>
  <c r="G568"/>
  <c r="H568"/>
  <c r="I568"/>
  <c r="J568"/>
  <c r="K568"/>
  <c r="L568"/>
  <c r="M568"/>
  <c r="N568"/>
  <c r="O568"/>
  <c r="P568"/>
  <c r="Q568"/>
  <c r="R568"/>
  <c r="S568"/>
  <c r="T568"/>
  <c r="U568"/>
  <c r="V568"/>
  <c r="W568"/>
  <c r="X568"/>
  <c r="Y568"/>
  <c r="Z568"/>
  <c r="AB568"/>
  <c r="D569"/>
  <c r="E569"/>
  <c r="F569"/>
  <c r="G569"/>
  <c r="H569"/>
  <c r="I569"/>
  <c r="J569"/>
  <c r="K569"/>
  <c r="L569"/>
  <c r="M569"/>
  <c r="N569"/>
  <c r="O569"/>
  <c r="P569"/>
  <c r="Q569"/>
  <c r="R569"/>
  <c r="S569"/>
  <c r="T569"/>
  <c r="U569"/>
  <c r="V569"/>
  <c r="W569"/>
  <c r="X569"/>
  <c r="Y569"/>
  <c r="Z569"/>
  <c r="AB569"/>
  <c r="D570"/>
  <c r="E570"/>
  <c r="F570"/>
  <c r="H570"/>
  <c r="I570"/>
  <c r="J570"/>
  <c r="K570"/>
  <c r="L570"/>
  <c r="M570"/>
  <c r="N570"/>
  <c r="AA570"/>
  <c r="D571"/>
  <c r="E571"/>
  <c r="F571"/>
  <c r="G571"/>
  <c r="H571"/>
  <c r="I571"/>
  <c r="J571"/>
  <c r="K571"/>
  <c r="L571"/>
  <c r="M571"/>
  <c r="N571"/>
  <c r="O571"/>
  <c r="P571"/>
  <c r="Q571"/>
  <c r="R571"/>
  <c r="S571"/>
  <c r="T571"/>
  <c r="U571"/>
  <c r="V571"/>
  <c r="W571"/>
  <c r="X571"/>
  <c r="Y571"/>
  <c r="Z571"/>
  <c r="AB571"/>
  <c r="D572"/>
  <c r="E572"/>
  <c r="F572"/>
  <c r="G572"/>
  <c r="H572"/>
  <c r="I572"/>
  <c r="J572"/>
  <c r="K572"/>
  <c r="L572"/>
  <c r="M572"/>
  <c r="N572"/>
  <c r="O572"/>
  <c r="P572"/>
  <c r="Q572"/>
  <c r="R572"/>
  <c r="S572"/>
  <c r="T572"/>
  <c r="U572"/>
  <c r="V572"/>
  <c r="W572"/>
  <c r="X572"/>
  <c r="Y572"/>
  <c r="Z572"/>
  <c r="AB572"/>
  <c r="D573"/>
  <c r="E573"/>
  <c r="F573"/>
  <c r="H573"/>
  <c r="I573"/>
  <c r="J573"/>
  <c r="K573"/>
  <c r="L573"/>
  <c r="M573"/>
  <c r="N573"/>
  <c r="AA573"/>
  <c r="D574"/>
  <c r="E574"/>
  <c r="F574"/>
  <c r="G574"/>
  <c r="H574"/>
  <c r="I574"/>
  <c r="J574"/>
  <c r="K574"/>
  <c r="L574"/>
  <c r="M574"/>
  <c r="N574"/>
  <c r="R574"/>
  <c r="S574"/>
  <c r="T574"/>
  <c r="U574"/>
  <c r="V574"/>
  <c r="W574"/>
  <c r="X574"/>
  <c r="Y574"/>
  <c r="Z574"/>
  <c r="AB574"/>
  <c r="D575"/>
  <c r="E575"/>
  <c r="F575"/>
  <c r="G575"/>
  <c r="H575"/>
  <c r="I575"/>
  <c r="J575"/>
  <c r="K575"/>
  <c r="L575"/>
  <c r="M575"/>
  <c r="N575"/>
  <c r="O575"/>
  <c r="P575"/>
  <c r="Q575"/>
  <c r="R575"/>
  <c r="S575"/>
  <c r="T575"/>
  <c r="U575"/>
  <c r="V575"/>
  <c r="W575"/>
  <c r="X575"/>
  <c r="Y575"/>
  <c r="Z575"/>
  <c r="AB575"/>
  <c r="D576"/>
  <c r="E576"/>
  <c r="F576"/>
  <c r="H576"/>
  <c r="I576"/>
  <c r="J576"/>
  <c r="K576"/>
  <c r="L576"/>
  <c r="M576"/>
  <c r="N576"/>
  <c r="Y576"/>
  <c r="AA576"/>
  <c r="D577"/>
  <c r="E577"/>
  <c r="F577"/>
  <c r="G577"/>
  <c r="H577"/>
  <c r="I577"/>
  <c r="J577"/>
  <c r="K577"/>
  <c r="L577"/>
  <c r="M577"/>
  <c r="N577"/>
  <c r="R577"/>
  <c r="S577"/>
  <c r="T577"/>
  <c r="U577"/>
  <c r="V577"/>
  <c r="W577"/>
  <c r="X577"/>
  <c r="Y577"/>
  <c r="Z577"/>
  <c r="AB577"/>
  <c r="D578"/>
  <c r="E578"/>
  <c r="F578"/>
  <c r="G578"/>
  <c r="H578"/>
  <c r="I578"/>
  <c r="J578"/>
  <c r="K578"/>
  <c r="L578"/>
  <c r="M578"/>
  <c r="N578"/>
  <c r="O578"/>
  <c r="P578"/>
  <c r="Q578"/>
  <c r="R578"/>
  <c r="S578"/>
  <c r="T578"/>
  <c r="U578"/>
  <c r="V578"/>
  <c r="W578"/>
  <c r="X578"/>
  <c r="Y578"/>
  <c r="Z578"/>
  <c r="AB578"/>
  <c r="D579"/>
  <c r="E579"/>
  <c r="F579"/>
  <c r="G579"/>
  <c r="H579"/>
  <c r="I579"/>
  <c r="J579"/>
  <c r="K579"/>
  <c r="L579"/>
  <c r="M579"/>
  <c r="N579"/>
  <c r="O579"/>
  <c r="P579"/>
  <c r="Q579"/>
  <c r="R579"/>
  <c r="S579"/>
  <c r="T579"/>
  <c r="U579"/>
  <c r="V579"/>
  <c r="W579"/>
  <c r="X579"/>
  <c r="Y579"/>
  <c r="Z579"/>
  <c r="AA579"/>
  <c r="AB579"/>
  <c r="D580"/>
  <c r="E580"/>
  <c r="F580"/>
  <c r="G580"/>
  <c r="H580"/>
  <c r="I580"/>
  <c r="J580"/>
  <c r="K580"/>
  <c r="L580"/>
  <c r="M580"/>
  <c r="N580"/>
  <c r="O580"/>
  <c r="P580"/>
  <c r="Q580"/>
  <c r="R580"/>
  <c r="S580"/>
  <c r="T580"/>
  <c r="U580"/>
  <c r="V580"/>
  <c r="W580"/>
  <c r="X580"/>
  <c r="Y580"/>
  <c r="Z580"/>
  <c r="AA580"/>
  <c r="AB580"/>
  <c r="D581"/>
  <c r="E581"/>
  <c r="F581"/>
  <c r="G581"/>
  <c r="H581"/>
  <c r="I581"/>
  <c r="J581"/>
  <c r="K581"/>
  <c r="L581"/>
  <c r="M581"/>
  <c r="N581"/>
  <c r="O581"/>
  <c r="P581"/>
  <c r="Q581"/>
  <c r="R581"/>
  <c r="S581"/>
  <c r="T581"/>
  <c r="U581"/>
  <c r="V581"/>
  <c r="W581"/>
  <c r="X581"/>
  <c r="Y581"/>
  <c r="Z581"/>
  <c r="AA581"/>
  <c r="AB581"/>
  <c r="D582"/>
  <c r="E582"/>
  <c r="F582"/>
  <c r="G582"/>
  <c r="H582"/>
  <c r="I582"/>
  <c r="J582"/>
  <c r="K582"/>
  <c r="L582"/>
  <c r="M582"/>
  <c r="N582"/>
  <c r="O582"/>
  <c r="P582"/>
  <c r="Q582"/>
  <c r="R582"/>
  <c r="S582"/>
  <c r="T582"/>
  <c r="U582"/>
  <c r="V582"/>
  <c r="W582"/>
  <c r="X582"/>
  <c r="Y582"/>
  <c r="Z582"/>
  <c r="AA582"/>
  <c r="AB582"/>
  <c r="D583"/>
  <c r="E583"/>
  <c r="F583"/>
  <c r="G583"/>
  <c r="H583"/>
  <c r="I583"/>
  <c r="J583"/>
  <c r="K583"/>
  <c r="L583"/>
  <c r="M583"/>
  <c r="N583"/>
  <c r="O583"/>
  <c r="P583"/>
  <c r="Q583"/>
  <c r="R583"/>
  <c r="S583"/>
  <c r="T583"/>
  <c r="U583"/>
  <c r="V583"/>
  <c r="W583"/>
  <c r="X583"/>
  <c r="Y583"/>
  <c r="Z583"/>
  <c r="AA583"/>
  <c r="AB583"/>
  <c r="D584"/>
  <c r="E584"/>
  <c r="F584"/>
  <c r="G584"/>
  <c r="H584"/>
  <c r="I584"/>
  <c r="J584"/>
  <c r="K584"/>
  <c r="L584"/>
  <c r="M584"/>
  <c r="N584"/>
  <c r="O584"/>
  <c r="P584"/>
  <c r="Q584"/>
  <c r="R584"/>
  <c r="S584"/>
  <c r="T584"/>
  <c r="U584"/>
  <c r="V584"/>
  <c r="W584"/>
  <c r="X584"/>
  <c r="Y584"/>
  <c r="Z584"/>
  <c r="AA584"/>
  <c r="AB584"/>
  <c r="D451"/>
  <c r="E451"/>
  <c r="F451"/>
  <c r="G451"/>
  <c r="H451"/>
  <c r="I451"/>
  <c r="J451"/>
  <c r="K451"/>
  <c r="L451"/>
  <c r="M451"/>
  <c r="N451"/>
  <c r="AB451"/>
  <c r="D452"/>
  <c r="E452"/>
  <c r="F452"/>
  <c r="G452"/>
  <c r="H452"/>
  <c r="I452"/>
  <c r="J452"/>
  <c r="K452"/>
  <c r="L452"/>
  <c r="M452"/>
  <c r="N452"/>
  <c r="O452"/>
  <c r="P452"/>
  <c r="Q452"/>
  <c r="R452"/>
  <c r="S452"/>
  <c r="T452"/>
  <c r="U452"/>
  <c r="V452"/>
  <c r="W452"/>
  <c r="X452"/>
  <c r="Y452"/>
  <c r="Z452"/>
  <c r="AB452"/>
  <c r="D453"/>
  <c r="E453"/>
  <c r="G453"/>
  <c r="H453"/>
  <c r="I453"/>
  <c r="J453"/>
  <c r="K453"/>
  <c r="L453"/>
  <c r="M453"/>
  <c r="N453"/>
  <c r="AA453"/>
  <c r="AB453"/>
  <c r="D454"/>
  <c r="E454"/>
  <c r="F454"/>
  <c r="G454"/>
  <c r="H454"/>
  <c r="I454"/>
  <c r="J454"/>
  <c r="K454"/>
  <c r="L454"/>
  <c r="M454"/>
  <c r="N454"/>
  <c r="AB454"/>
  <c r="D455"/>
  <c r="E455"/>
  <c r="F455"/>
  <c r="G455"/>
  <c r="H455"/>
  <c r="I455"/>
  <c r="J455"/>
  <c r="K455"/>
  <c r="L455"/>
  <c r="M455"/>
  <c r="N455"/>
  <c r="O455"/>
  <c r="P455"/>
  <c r="Q455"/>
  <c r="R455"/>
  <c r="S455"/>
  <c r="T455"/>
  <c r="U455"/>
  <c r="V455"/>
  <c r="W455"/>
  <c r="X455"/>
  <c r="Y455"/>
  <c r="Z455"/>
  <c r="AB455"/>
  <c r="D456"/>
  <c r="E456"/>
  <c r="G456"/>
  <c r="H456"/>
  <c r="I456"/>
  <c r="J456"/>
  <c r="K456"/>
  <c r="L456"/>
  <c r="M456"/>
  <c r="N456"/>
  <c r="AA456"/>
  <c r="AB456"/>
  <c r="D457"/>
  <c r="E457"/>
  <c r="F457"/>
  <c r="G457"/>
  <c r="H457"/>
  <c r="I457"/>
  <c r="J457"/>
  <c r="K457"/>
  <c r="L457"/>
  <c r="M457"/>
  <c r="N457"/>
  <c r="AB457"/>
  <c r="D458"/>
  <c r="E458"/>
  <c r="F458"/>
  <c r="G458"/>
  <c r="H458"/>
  <c r="I458"/>
  <c r="J458"/>
  <c r="K458"/>
  <c r="L458"/>
  <c r="M458"/>
  <c r="N458"/>
  <c r="O458"/>
  <c r="P458"/>
  <c r="Q458"/>
  <c r="R458"/>
  <c r="S458"/>
  <c r="T458"/>
  <c r="U458"/>
  <c r="V458"/>
  <c r="W458"/>
  <c r="X458"/>
  <c r="Y458"/>
  <c r="Z458"/>
  <c r="AB458"/>
  <c r="D459"/>
  <c r="E459"/>
  <c r="G459"/>
  <c r="H459"/>
  <c r="I459"/>
  <c r="J459"/>
  <c r="K459"/>
  <c r="L459"/>
  <c r="M459"/>
  <c r="N459"/>
  <c r="AA459"/>
  <c r="AB459"/>
  <c r="D460"/>
  <c r="E460"/>
  <c r="F460"/>
  <c r="G460"/>
  <c r="H460"/>
  <c r="I460"/>
  <c r="J460"/>
  <c r="K460"/>
  <c r="L460"/>
  <c r="M460"/>
  <c r="N460"/>
  <c r="AB460"/>
  <c r="D461"/>
  <c r="E461"/>
  <c r="F461"/>
  <c r="G461"/>
  <c r="H461"/>
  <c r="I461"/>
  <c r="J461"/>
  <c r="K461"/>
  <c r="L461"/>
  <c r="M461"/>
  <c r="N461"/>
  <c r="O461"/>
  <c r="P461"/>
  <c r="Q461"/>
  <c r="R461"/>
  <c r="S461"/>
  <c r="T461"/>
  <c r="U461"/>
  <c r="V461"/>
  <c r="W461"/>
  <c r="X461"/>
  <c r="Y461"/>
  <c r="Z461"/>
  <c r="AB461"/>
  <c r="D462"/>
  <c r="E462"/>
  <c r="G462"/>
  <c r="H462"/>
  <c r="I462"/>
  <c r="J462"/>
  <c r="K462"/>
  <c r="L462"/>
  <c r="M462"/>
  <c r="N462"/>
  <c r="AA462"/>
  <c r="AB462"/>
  <c r="D463"/>
  <c r="E463"/>
  <c r="F463"/>
  <c r="G463"/>
  <c r="H463"/>
  <c r="I463"/>
  <c r="J463"/>
  <c r="K463"/>
  <c r="L463"/>
  <c r="M463"/>
  <c r="N463"/>
  <c r="AB463"/>
  <c r="D464"/>
  <c r="E464"/>
  <c r="F464"/>
  <c r="G464"/>
  <c r="H464"/>
  <c r="I464"/>
  <c r="J464"/>
  <c r="K464"/>
  <c r="L464"/>
  <c r="M464"/>
  <c r="N464"/>
  <c r="O464"/>
  <c r="P464"/>
  <c r="Q464"/>
  <c r="R464"/>
  <c r="S464"/>
  <c r="T464"/>
  <c r="U464"/>
  <c r="V464"/>
  <c r="W464"/>
  <c r="X464"/>
  <c r="Y464"/>
  <c r="Z464"/>
  <c r="AB464"/>
  <c r="D465"/>
  <c r="E465"/>
  <c r="F465"/>
  <c r="G465"/>
  <c r="H465"/>
  <c r="I465"/>
  <c r="J465"/>
  <c r="K465"/>
  <c r="L465"/>
  <c r="M465"/>
  <c r="N465"/>
  <c r="O465"/>
  <c r="P465"/>
  <c r="Q465"/>
  <c r="R465"/>
  <c r="S465"/>
  <c r="T465"/>
  <c r="U465"/>
  <c r="V465"/>
  <c r="W465"/>
  <c r="X465"/>
  <c r="Y465"/>
  <c r="Z465"/>
  <c r="AA465"/>
  <c r="AB465"/>
  <c r="D466"/>
  <c r="E466"/>
  <c r="F466"/>
  <c r="G466"/>
  <c r="H466"/>
  <c r="I466"/>
  <c r="J466"/>
  <c r="K466"/>
  <c r="L466"/>
  <c r="M466"/>
  <c r="N466"/>
  <c r="O466"/>
  <c r="P466"/>
  <c r="Q466"/>
  <c r="R466"/>
  <c r="S466"/>
  <c r="T466"/>
  <c r="U466"/>
  <c r="V466"/>
  <c r="W466"/>
  <c r="X466"/>
  <c r="Y466"/>
  <c r="Z466"/>
  <c r="AA466"/>
  <c r="AB466"/>
  <c r="D467"/>
  <c r="E467"/>
  <c r="F467"/>
  <c r="G467"/>
  <c r="H467"/>
  <c r="I467"/>
  <c r="J467"/>
  <c r="K467"/>
  <c r="L467"/>
  <c r="M467"/>
  <c r="N467"/>
  <c r="O467"/>
  <c r="P467"/>
  <c r="Q467"/>
  <c r="R467"/>
  <c r="S467"/>
  <c r="T467"/>
  <c r="U467"/>
  <c r="V467"/>
  <c r="W467"/>
  <c r="X467"/>
  <c r="Y467"/>
  <c r="Z467"/>
  <c r="AA467"/>
  <c r="AB467"/>
  <c r="D468"/>
  <c r="E468"/>
  <c r="F468"/>
  <c r="G468"/>
  <c r="H468"/>
  <c r="I468"/>
  <c r="J468"/>
  <c r="K468"/>
  <c r="L468"/>
  <c r="M468"/>
  <c r="N468"/>
  <c r="O468"/>
  <c r="P468"/>
  <c r="Q468"/>
  <c r="R468"/>
  <c r="S468"/>
  <c r="T468"/>
  <c r="U468"/>
  <c r="V468"/>
  <c r="W468"/>
  <c r="X468"/>
  <c r="Y468"/>
  <c r="Z468"/>
  <c r="AA468"/>
  <c r="AB468"/>
  <c r="D469"/>
  <c r="E469"/>
  <c r="F469"/>
  <c r="G469"/>
  <c r="H469"/>
  <c r="I469"/>
  <c r="J469"/>
  <c r="K469"/>
  <c r="L469"/>
  <c r="M469"/>
  <c r="N469"/>
  <c r="O469"/>
  <c r="P469"/>
  <c r="Q469"/>
  <c r="R469"/>
  <c r="S469"/>
  <c r="T469"/>
  <c r="U469"/>
  <c r="V469"/>
  <c r="W469"/>
  <c r="X469"/>
  <c r="Y469"/>
  <c r="Z469"/>
  <c r="AA469"/>
  <c r="AB469"/>
  <c r="D470"/>
  <c r="E470"/>
  <c r="F470"/>
  <c r="G470"/>
  <c r="H470"/>
  <c r="I470"/>
  <c r="J470"/>
  <c r="K470"/>
  <c r="L470"/>
  <c r="M470"/>
  <c r="N470"/>
  <c r="O470"/>
  <c r="P470"/>
  <c r="Q470"/>
  <c r="R470"/>
  <c r="S470"/>
  <c r="T470"/>
  <c r="U470"/>
  <c r="V470"/>
  <c r="W470"/>
  <c r="X470"/>
  <c r="Y470"/>
  <c r="Z470"/>
  <c r="AA470"/>
  <c r="AB470"/>
  <c r="D471"/>
  <c r="E471"/>
  <c r="F471"/>
  <c r="G471"/>
  <c r="H471"/>
  <c r="I471"/>
  <c r="J471"/>
  <c r="K471"/>
  <c r="L471"/>
  <c r="M471"/>
  <c r="N471"/>
  <c r="O471"/>
  <c r="P471"/>
  <c r="Q471"/>
  <c r="R471"/>
  <c r="S471"/>
  <c r="T471"/>
  <c r="U471"/>
  <c r="V471"/>
  <c r="W471"/>
  <c r="X471"/>
  <c r="Y471"/>
  <c r="Z471"/>
  <c r="AA471"/>
  <c r="AB471"/>
  <c r="D472"/>
  <c r="E472"/>
  <c r="F472"/>
  <c r="G472"/>
  <c r="H472"/>
  <c r="I472"/>
  <c r="J472"/>
  <c r="K472"/>
  <c r="L472"/>
  <c r="M472"/>
  <c r="N472"/>
  <c r="O472"/>
  <c r="P472"/>
  <c r="Q472"/>
  <c r="R472"/>
  <c r="S472"/>
  <c r="T472"/>
  <c r="U472"/>
  <c r="V472"/>
  <c r="W472"/>
  <c r="X472"/>
  <c r="Y472"/>
  <c r="Z472"/>
  <c r="AA472"/>
  <c r="AB472"/>
  <c r="D473"/>
  <c r="E473"/>
  <c r="F473"/>
  <c r="G473"/>
  <c r="H473"/>
  <c r="I473"/>
  <c r="J473"/>
  <c r="K473"/>
  <c r="L473"/>
  <c r="M473"/>
  <c r="N473"/>
  <c r="O473"/>
  <c r="P473"/>
  <c r="Q473"/>
  <c r="R473"/>
  <c r="S473"/>
  <c r="T473"/>
  <c r="U473"/>
  <c r="V473"/>
  <c r="W473"/>
  <c r="X473"/>
  <c r="Y473"/>
  <c r="Z473"/>
  <c r="AA473"/>
  <c r="AB473"/>
  <c r="D474"/>
  <c r="E474"/>
  <c r="F474"/>
  <c r="G474"/>
  <c r="H474"/>
  <c r="I474"/>
  <c r="J474"/>
  <c r="K474"/>
  <c r="L474"/>
  <c r="M474"/>
  <c r="N474"/>
  <c r="O474"/>
  <c r="P474"/>
  <c r="Q474"/>
  <c r="R474"/>
  <c r="S474"/>
  <c r="T474"/>
  <c r="U474"/>
  <c r="V474"/>
  <c r="W474"/>
  <c r="X474"/>
  <c r="Y474"/>
  <c r="Z474"/>
  <c r="AA474"/>
  <c r="AB474"/>
  <c r="D475"/>
  <c r="E475"/>
  <c r="F475"/>
  <c r="G475"/>
  <c r="H475"/>
  <c r="I475"/>
  <c r="J475"/>
  <c r="K475"/>
  <c r="L475"/>
  <c r="M475"/>
  <c r="N475"/>
  <c r="O475"/>
  <c r="P475"/>
  <c r="Q475"/>
  <c r="R475"/>
  <c r="S475"/>
  <c r="T475"/>
  <c r="U475"/>
  <c r="V475"/>
  <c r="W475"/>
  <c r="X475"/>
  <c r="Y475"/>
  <c r="Z475"/>
  <c r="AA475"/>
  <c r="AB475"/>
  <c r="D476"/>
  <c r="E476"/>
  <c r="F476"/>
  <c r="G476"/>
  <c r="H476"/>
  <c r="I476"/>
  <c r="J476"/>
  <c r="K476"/>
  <c r="L476"/>
  <c r="M476"/>
  <c r="N476"/>
  <c r="O476"/>
  <c r="P476"/>
  <c r="Q476"/>
  <c r="R476"/>
  <c r="S476"/>
  <c r="T476"/>
  <c r="U476"/>
  <c r="V476"/>
  <c r="W476"/>
  <c r="X476"/>
  <c r="Y476"/>
  <c r="Z476"/>
  <c r="AA476"/>
  <c r="AB476"/>
  <c r="D477"/>
  <c r="E477"/>
  <c r="F477"/>
  <c r="G477"/>
  <c r="H477"/>
  <c r="I477"/>
  <c r="J477"/>
  <c r="K477"/>
  <c r="L477"/>
  <c r="M477"/>
  <c r="N477"/>
  <c r="O477"/>
  <c r="P477"/>
  <c r="Q477"/>
  <c r="R477"/>
  <c r="S477"/>
  <c r="T477"/>
  <c r="U477"/>
  <c r="V477"/>
  <c r="W477"/>
  <c r="X477"/>
  <c r="Y477"/>
  <c r="Z477"/>
  <c r="AA477"/>
  <c r="AB477"/>
  <c r="D478"/>
  <c r="E478"/>
  <c r="F478"/>
  <c r="G478"/>
  <c r="H478"/>
  <c r="I478"/>
  <c r="J478"/>
  <c r="K478"/>
  <c r="L478"/>
  <c r="M478"/>
  <c r="N478"/>
  <c r="O478"/>
  <c r="P478"/>
  <c r="Q478"/>
  <c r="R478"/>
  <c r="S478"/>
  <c r="T478"/>
  <c r="U478"/>
  <c r="V478"/>
  <c r="W478"/>
  <c r="X478"/>
  <c r="Y478"/>
  <c r="Z478"/>
  <c r="AA478"/>
  <c r="AB478"/>
  <c r="D479"/>
  <c r="E479"/>
  <c r="F479"/>
  <c r="G479"/>
  <c r="H479"/>
  <c r="I479"/>
  <c r="J479"/>
  <c r="K479"/>
  <c r="L479"/>
  <c r="M479"/>
  <c r="N479"/>
  <c r="O479"/>
  <c r="P479"/>
  <c r="Q479"/>
  <c r="R479"/>
  <c r="S479"/>
  <c r="T479"/>
  <c r="U479"/>
  <c r="V479"/>
  <c r="W479"/>
  <c r="X479"/>
  <c r="Y479"/>
  <c r="Z479"/>
  <c r="AA479"/>
  <c r="AB479"/>
  <c r="D480"/>
  <c r="E480"/>
  <c r="F480"/>
  <c r="G480"/>
  <c r="H480"/>
  <c r="I480"/>
  <c r="J480"/>
  <c r="K480"/>
  <c r="L480"/>
  <c r="M480"/>
  <c r="N480"/>
  <c r="O480"/>
  <c r="P480"/>
  <c r="Q480"/>
  <c r="R480"/>
  <c r="S480"/>
  <c r="T480"/>
  <c r="U480"/>
  <c r="V480"/>
  <c r="W480"/>
  <c r="X480"/>
  <c r="Y480"/>
  <c r="Z480"/>
  <c r="AA480"/>
  <c r="AB480"/>
  <c r="D481"/>
  <c r="E481"/>
  <c r="F481"/>
  <c r="G481"/>
  <c r="H481"/>
  <c r="I481"/>
  <c r="J481"/>
  <c r="K481"/>
  <c r="L481"/>
  <c r="M481"/>
  <c r="N481"/>
  <c r="O481"/>
  <c r="P481"/>
  <c r="Q481"/>
  <c r="R481"/>
  <c r="S481"/>
  <c r="T481"/>
  <c r="U481"/>
  <c r="V481"/>
  <c r="W481"/>
  <c r="X481"/>
  <c r="Y481"/>
  <c r="Z481"/>
  <c r="AA481"/>
  <c r="AB481"/>
  <c r="D482"/>
  <c r="E482"/>
  <c r="F482"/>
  <c r="G482"/>
  <c r="H482"/>
  <c r="I482"/>
  <c r="J482"/>
  <c r="K482"/>
  <c r="L482"/>
  <c r="M482"/>
  <c r="N482"/>
  <c r="O482"/>
  <c r="P482"/>
  <c r="Q482"/>
  <c r="R482"/>
  <c r="S482"/>
  <c r="T482"/>
  <c r="U482"/>
  <c r="V482"/>
  <c r="W482"/>
  <c r="X482"/>
  <c r="Y482"/>
  <c r="Z482"/>
  <c r="AA482"/>
  <c r="AB482"/>
  <c r="D483"/>
  <c r="E483"/>
  <c r="F483"/>
  <c r="G483"/>
  <c r="H483"/>
  <c r="I483"/>
  <c r="J483"/>
  <c r="K483"/>
  <c r="L483"/>
  <c r="M483"/>
  <c r="N483"/>
  <c r="O483"/>
  <c r="P483"/>
  <c r="Q483"/>
  <c r="R483"/>
  <c r="S483"/>
  <c r="T483"/>
  <c r="U483"/>
  <c r="V483"/>
  <c r="W483"/>
  <c r="X483"/>
  <c r="Y483"/>
  <c r="Z483"/>
  <c r="AA483"/>
  <c r="AB483"/>
  <c r="D322"/>
  <c r="E322"/>
  <c r="F322"/>
  <c r="G322"/>
  <c r="H322"/>
  <c r="I322"/>
  <c r="J322"/>
  <c r="K322"/>
  <c r="L322"/>
  <c r="M322"/>
  <c r="N322"/>
  <c r="O322"/>
  <c r="P322"/>
  <c r="Q322"/>
  <c r="R322"/>
  <c r="S322"/>
  <c r="T322"/>
  <c r="U322"/>
  <c r="V322"/>
  <c r="W322"/>
  <c r="X322"/>
  <c r="Y322"/>
  <c r="Z322"/>
  <c r="AB322"/>
  <c r="D323"/>
  <c r="E323"/>
  <c r="F323"/>
  <c r="G323"/>
  <c r="H323"/>
  <c r="I323"/>
  <c r="J323"/>
  <c r="K323"/>
  <c r="L323"/>
  <c r="M323"/>
  <c r="N323"/>
  <c r="O323"/>
  <c r="P323"/>
  <c r="Q323"/>
  <c r="R323"/>
  <c r="S323"/>
  <c r="T323"/>
  <c r="U323"/>
  <c r="V323"/>
  <c r="W323"/>
  <c r="Y323"/>
  <c r="D324"/>
  <c r="E324"/>
  <c r="G324"/>
  <c r="H324"/>
  <c r="I324"/>
  <c r="J324"/>
  <c r="K324"/>
  <c r="L324"/>
  <c r="M324"/>
  <c r="N324"/>
  <c r="AA324"/>
  <c r="AB324"/>
  <c r="D325"/>
  <c r="E325"/>
  <c r="F325"/>
  <c r="G325"/>
  <c r="H325"/>
  <c r="I325"/>
  <c r="J325"/>
  <c r="K325"/>
  <c r="L325"/>
  <c r="M325"/>
  <c r="N325"/>
  <c r="O325"/>
  <c r="P325"/>
  <c r="Q325"/>
  <c r="R325"/>
  <c r="S325"/>
  <c r="T325"/>
  <c r="U325"/>
  <c r="V325"/>
  <c r="W325"/>
  <c r="X325"/>
  <c r="Y325"/>
  <c r="Z325"/>
  <c r="D326"/>
  <c r="E326"/>
  <c r="F326"/>
  <c r="G326"/>
  <c r="H326"/>
  <c r="I326"/>
  <c r="J326"/>
  <c r="K326"/>
  <c r="L326"/>
  <c r="M326"/>
  <c r="N326"/>
  <c r="O326"/>
  <c r="P326"/>
  <c r="Q326"/>
  <c r="R326"/>
  <c r="S326"/>
  <c r="T326"/>
  <c r="U326"/>
  <c r="V326"/>
  <c r="W326"/>
  <c r="X326"/>
  <c r="Y326"/>
  <c r="Z326"/>
  <c r="D327"/>
  <c r="E327"/>
  <c r="F327"/>
  <c r="G327"/>
  <c r="H327"/>
  <c r="I327"/>
  <c r="J327"/>
  <c r="K327"/>
  <c r="L327"/>
  <c r="M327"/>
  <c r="N327"/>
  <c r="O327"/>
  <c r="P327"/>
  <c r="Q327"/>
  <c r="R327"/>
  <c r="S327"/>
  <c r="T327"/>
  <c r="U327"/>
  <c r="V327"/>
  <c r="W327"/>
  <c r="X327"/>
  <c r="Y327"/>
  <c r="Z327"/>
  <c r="D328"/>
  <c r="E328"/>
  <c r="F328"/>
  <c r="G328"/>
  <c r="H328"/>
  <c r="I328"/>
  <c r="J328"/>
  <c r="K328"/>
  <c r="L328"/>
  <c r="M328"/>
  <c r="N328"/>
  <c r="O328"/>
  <c r="P328"/>
  <c r="Q328"/>
  <c r="R328"/>
  <c r="S328"/>
  <c r="T328"/>
  <c r="U328"/>
  <c r="V328"/>
  <c r="W328"/>
  <c r="X328"/>
  <c r="Y328"/>
  <c r="Z328"/>
  <c r="D329"/>
  <c r="E329"/>
  <c r="G329"/>
  <c r="H329"/>
  <c r="I329"/>
  <c r="J329"/>
  <c r="K329"/>
  <c r="L329"/>
  <c r="M329"/>
  <c r="N329"/>
  <c r="AA329"/>
  <c r="AB329"/>
  <c r="D330"/>
  <c r="E330"/>
  <c r="F330"/>
  <c r="G330"/>
  <c r="H330"/>
  <c r="I330"/>
  <c r="J330"/>
  <c r="K330"/>
  <c r="L330"/>
  <c r="M330"/>
  <c r="N330"/>
  <c r="O330"/>
  <c r="P330"/>
  <c r="Q330"/>
  <c r="R330"/>
  <c r="S330"/>
  <c r="T330"/>
  <c r="U330"/>
  <c r="V330"/>
  <c r="W330"/>
  <c r="X330"/>
  <c r="Y330"/>
  <c r="Z330"/>
  <c r="AB330"/>
  <c r="D331"/>
  <c r="E331"/>
  <c r="F331"/>
  <c r="G331"/>
  <c r="H331"/>
  <c r="I331"/>
  <c r="J331"/>
  <c r="K331"/>
  <c r="L331"/>
  <c r="M331"/>
  <c r="N331"/>
  <c r="O331"/>
  <c r="P331"/>
  <c r="Q331"/>
  <c r="R331"/>
  <c r="S331"/>
  <c r="T331"/>
  <c r="U331"/>
  <c r="V331"/>
  <c r="W331"/>
  <c r="X331"/>
  <c r="Y331"/>
  <c r="Z331"/>
  <c r="D332"/>
  <c r="E332"/>
  <c r="G332"/>
  <c r="H332"/>
  <c r="I332"/>
  <c r="J332"/>
  <c r="K332"/>
  <c r="L332"/>
  <c r="M332"/>
  <c r="N332"/>
  <c r="AA332"/>
  <c r="AB332"/>
  <c r="D333"/>
  <c r="E333"/>
  <c r="F333"/>
  <c r="G333"/>
  <c r="H333"/>
  <c r="I333"/>
  <c r="J333"/>
  <c r="K333"/>
  <c r="L333"/>
  <c r="M333"/>
  <c r="N333"/>
  <c r="O333"/>
  <c r="P333"/>
  <c r="Q333"/>
  <c r="R333"/>
  <c r="S333"/>
  <c r="T333"/>
  <c r="U333"/>
  <c r="V333"/>
  <c r="W333"/>
  <c r="X333"/>
  <c r="Y333"/>
  <c r="Z333"/>
  <c r="D334"/>
  <c r="E334"/>
  <c r="F334"/>
  <c r="G334"/>
  <c r="H334"/>
  <c r="I334"/>
  <c r="J334"/>
  <c r="K334"/>
  <c r="L334"/>
  <c r="M334"/>
  <c r="N334"/>
  <c r="O334"/>
  <c r="P334"/>
  <c r="Q334"/>
  <c r="R334"/>
  <c r="S334"/>
  <c r="T334"/>
  <c r="U334"/>
  <c r="V334"/>
  <c r="W334"/>
  <c r="X334"/>
  <c r="Y334"/>
  <c r="Z334"/>
  <c r="D335"/>
  <c r="E335"/>
  <c r="F335"/>
  <c r="G335"/>
  <c r="H335"/>
  <c r="I335"/>
  <c r="J335"/>
  <c r="K335"/>
  <c r="L335"/>
  <c r="M335"/>
  <c r="N335"/>
  <c r="O335"/>
  <c r="P335"/>
  <c r="Q335"/>
  <c r="R335"/>
  <c r="S335"/>
  <c r="T335"/>
  <c r="U335"/>
  <c r="V335"/>
  <c r="W335"/>
  <c r="X335"/>
  <c r="Y335"/>
  <c r="Z335"/>
  <c r="D336"/>
  <c r="E336"/>
  <c r="F336"/>
  <c r="G336"/>
  <c r="H336"/>
  <c r="I336"/>
  <c r="J336"/>
  <c r="K336"/>
  <c r="L336"/>
  <c r="M336"/>
  <c r="N336"/>
  <c r="O336"/>
  <c r="P336"/>
  <c r="Q336"/>
  <c r="R336"/>
  <c r="S336"/>
  <c r="T336"/>
  <c r="U336"/>
  <c r="V336"/>
  <c r="W336"/>
  <c r="X336"/>
  <c r="Y336"/>
  <c r="Z336"/>
  <c r="D337"/>
  <c r="E337"/>
  <c r="G337"/>
  <c r="H337"/>
  <c r="I337"/>
  <c r="J337"/>
  <c r="K337"/>
  <c r="L337"/>
  <c r="M337"/>
  <c r="N337"/>
  <c r="AA337"/>
  <c r="AB337"/>
  <c r="D338"/>
  <c r="E338"/>
  <c r="F338"/>
  <c r="G338"/>
  <c r="H338"/>
  <c r="I338"/>
  <c r="J338"/>
  <c r="K338"/>
  <c r="L338"/>
  <c r="M338"/>
  <c r="N338"/>
  <c r="AB338"/>
  <c r="D339"/>
  <c r="E339"/>
  <c r="F339"/>
  <c r="G339"/>
  <c r="H339"/>
  <c r="I339"/>
  <c r="J339"/>
  <c r="K339"/>
  <c r="L339"/>
  <c r="M339"/>
  <c r="N339"/>
  <c r="O339"/>
  <c r="P339"/>
  <c r="Q339"/>
  <c r="R339"/>
  <c r="S339"/>
  <c r="T339"/>
  <c r="U339"/>
  <c r="V339"/>
  <c r="W339"/>
  <c r="X339"/>
  <c r="Y339"/>
  <c r="Z339"/>
  <c r="D340"/>
  <c r="E340"/>
  <c r="F340"/>
  <c r="G340"/>
  <c r="H340"/>
  <c r="I340"/>
  <c r="J340"/>
  <c r="K340"/>
  <c r="L340"/>
  <c r="M340"/>
  <c r="N340"/>
  <c r="O340"/>
  <c r="P340"/>
  <c r="Q340"/>
  <c r="R340"/>
  <c r="S340"/>
  <c r="T340"/>
  <c r="U340"/>
  <c r="V340"/>
  <c r="W340"/>
  <c r="X340"/>
  <c r="Y340"/>
  <c r="Z340"/>
  <c r="D341"/>
  <c r="E341"/>
  <c r="F341"/>
  <c r="G341"/>
  <c r="H341"/>
  <c r="I341"/>
  <c r="J341"/>
  <c r="K341"/>
  <c r="L341"/>
  <c r="M341"/>
  <c r="N341"/>
  <c r="O341"/>
  <c r="P341"/>
  <c r="Q341"/>
  <c r="R341"/>
  <c r="S341"/>
  <c r="T341"/>
  <c r="U341"/>
  <c r="V341"/>
  <c r="W341"/>
  <c r="X341"/>
  <c r="Y341"/>
  <c r="Z341"/>
  <c r="D342"/>
  <c r="E342"/>
  <c r="F342"/>
  <c r="G342"/>
  <c r="H342"/>
  <c r="I342"/>
  <c r="J342"/>
  <c r="K342"/>
  <c r="L342"/>
  <c r="M342"/>
  <c r="N342"/>
  <c r="O342"/>
  <c r="P342"/>
  <c r="Q342"/>
  <c r="R342"/>
  <c r="S342"/>
  <c r="T342"/>
  <c r="U342"/>
  <c r="V342"/>
  <c r="W342"/>
  <c r="X342"/>
  <c r="Y342"/>
  <c r="Z342"/>
  <c r="D343"/>
  <c r="E343"/>
  <c r="G343"/>
  <c r="H343"/>
  <c r="I343"/>
  <c r="J343"/>
  <c r="K343"/>
  <c r="L343"/>
  <c r="M343"/>
  <c r="N343"/>
  <c r="AA343"/>
  <c r="AB343"/>
  <c r="D344"/>
  <c r="E344"/>
  <c r="F344"/>
  <c r="G344"/>
  <c r="H344"/>
  <c r="I344"/>
  <c r="J344"/>
  <c r="K344"/>
  <c r="L344"/>
  <c r="M344"/>
  <c r="N344"/>
  <c r="AB344"/>
  <c r="D345"/>
  <c r="E345"/>
  <c r="F345"/>
  <c r="G345"/>
  <c r="H345"/>
  <c r="I345"/>
  <c r="J345"/>
  <c r="K345"/>
  <c r="L345"/>
  <c r="M345"/>
  <c r="N345"/>
  <c r="O345"/>
  <c r="P345"/>
  <c r="Q345"/>
  <c r="R345"/>
  <c r="S345"/>
  <c r="T345"/>
  <c r="U345"/>
  <c r="V345"/>
  <c r="W345"/>
  <c r="X345"/>
  <c r="Y345"/>
  <c r="Z345"/>
  <c r="D346"/>
  <c r="E346"/>
  <c r="F346"/>
  <c r="G346"/>
  <c r="H346"/>
  <c r="I346"/>
  <c r="J346"/>
  <c r="K346"/>
  <c r="L346"/>
  <c r="M346"/>
  <c r="N346"/>
  <c r="O346"/>
  <c r="P346"/>
  <c r="Q346"/>
  <c r="R346"/>
  <c r="S346"/>
  <c r="T346"/>
  <c r="U346"/>
  <c r="V346"/>
  <c r="W346"/>
  <c r="X346"/>
  <c r="Y346"/>
  <c r="Z346"/>
  <c r="D347"/>
  <c r="E347"/>
  <c r="F347"/>
  <c r="G347"/>
  <c r="H347"/>
  <c r="I347"/>
  <c r="J347"/>
  <c r="K347"/>
  <c r="L347"/>
  <c r="M347"/>
  <c r="N347"/>
  <c r="AB347"/>
  <c r="D348"/>
  <c r="E348"/>
  <c r="G348"/>
  <c r="H348"/>
  <c r="I348"/>
  <c r="J348"/>
  <c r="K348"/>
  <c r="L348"/>
  <c r="M348"/>
  <c r="N348"/>
  <c r="AA348"/>
  <c r="AB348"/>
  <c r="D349"/>
  <c r="E349"/>
  <c r="F349"/>
  <c r="G349"/>
  <c r="H349"/>
  <c r="I349"/>
  <c r="J349"/>
  <c r="K349"/>
  <c r="L349"/>
  <c r="M349"/>
  <c r="N349"/>
  <c r="O349"/>
  <c r="P349"/>
  <c r="Q349"/>
  <c r="R349"/>
  <c r="S349"/>
  <c r="T349"/>
  <c r="U349"/>
  <c r="V349"/>
  <c r="W349"/>
  <c r="X349"/>
  <c r="Y349"/>
  <c r="Z349"/>
  <c r="AB349"/>
  <c r="D350"/>
  <c r="E350"/>
  <c r="F350"/>
  <c r="G350"/>
  <c r="H350"/>
  <c r="I350"/>
  <c r="J350"/>
  <c r="K350"/>
  <c r="L350"/>
  <c r="M350"/>
  <c r="N350"/>
  <c r="O350"/>
  <c r="P350"/>
  <c r="Q350"/>
  <c r="R350"/>
  <c r="S350"/>
  <c r="T350"/>
  <c r="U350"/>
  <c r="V350"/>
  <c r="W350"/>
  <c r="X350"/>
  <c r="Y350"/>
  <c r="Z350"/>
  <c r="D351"/>
  <c r="E351"/>
  <c r="F351"/>
  <c r="G351"/>
  <c r="H351"/>
  <c r="I351"/>
  <c r="J351"/>
  <c r="K351"/>
  <c r="L351"/>
  <c r="M351"/>
  <c r="N351"/>
  <c r="O351"/>
  <c r="P351"/>
  <c r="R351"/>
  <c r="S351"/>
  <c r="T351"/>
  <c r="U351"/>
  <c r="V351"/>
  <c r="W351"/>
  <c r="X351"/>
  <c r="Y351"/>
  <c r="Z351"/>
  <c r="D352"/>
  <c r="E352"/>
  <c r="F352"/>
  <c r="G352"/>
  <c r="H352"/>
  <c r="I352"/>
  <c r="J352"/>
  <c r="K352"/>
  <c r="L352"/>
  <c r="M352"/>
  <c r="N352"/>
  <c r="O352"/>
  <c r="P352"/>
  <c r="Q352"/>
  <c r="R352"/>
  <c r="S352"/>
  <c r="T352"/>
  <c r="U352"/>
  <c r="V352"/>
  <c r="W352"/>
  <c r="X352"/>
  <c r="Y352"/>
  <c r="Z352"/>
  <c r="D353"/>
  <c r="E353"/>
  <c r="G353"/>
  <c r="H353"/>
  <c r="I353"/>
  <c r="J353"/>
  <c r="K353"/>
  <c r="L353"/>
  <c r="M353"/>
  <c r="N353"/>
  <c r="AA353"/>
  <c r="AB353"/>
  <c r="D354"/>
  <c r="E354"/>
  <c r="F354"/>
  <c r="G354"/>
  <c r="H354"/>
  <c r="I354"/>
  <c r="J354"/>
  <c r="K354"/>
  <c r="L354"/>
  <c r="M354"/>
  <c r="N354"/>
  <c r="O354"/>
  <c r="P354"/>
  <c r="Q354"/>
  <c r="R354"/>
  <c r="S354"/>
  <c r="T354"/>
  <c r="U354"/>
  <c r="V354"/>
  <c r="W354"/>
  <c r="X354"/>
  <c r="Y354"/>
  <c r="Z354"/>
  <c r="AB354"/>
  <c r="D355"/>
  <c r="E355"/>
  <c r="F355"/>
  <c r="G355"/>
  <c r="H355"/>
  <c r="I355"/>
  <c r="J355"/>
  <c r="K355"/>
  <c r="L355"/>
  <c r="M355"/>
  <c r="N355"/>
  <c r="O355"/>
  <c r="P355"/>
  <c r="Q355"/>
  <c r="R355"/>
  <c r="S355"/>
  <c r="T355"/>
  <c r="U355"/>
  <c r="V355"/>
  <c r="W355"/>
  <c r="X355"/>
  <c r="Y355"/>
  <c r="Z355"/>
  <c r="D356"/>
  <c r="E356"/>
  <c r="F356"/>
  <c r="G356"/>
  <c r="H356"/>
  <c r="I356"/>
  <c r="J356"/>
  <c r="K356"/>
  <c r="L356"/>
  <c r="M356"/>
  <c r="N356"/>
  <c r="O356"/>
  <c r="P356"/>
  <c r="AB356"/>
  <c r="D357"/>
  <c r="E357"/>
  <c r="G357"/>
  <c r="H357"/>
  <c r="I357"/>
  <c r="J357"/>
  <c r="K357"/>
  <c r="L357"/>
  <c r="M357"/>
  <c r="N357"/>
  <c r="AA357"/>
  <c r="AB357"/>
  <c r="D358"/>
  <c r="E358"/>
  <c r="F358"/>
  <c r="G358"/>
  <c r="H358"/>
  <c r="I358"/>
  <c r="J358"/>
  <c r="K358"/>
  <c r="L358"/>
  <c r="M358"/>
  <c r="N358"/>
  <c r="O358"/>
  <c r="P358"/>
  <c r="Q358"/>
  <c r="R358"/>
  <c r="S358"/>
  <c r="T358"/>
  <c r="U358"/>
  <c r="V358"/>
  <c r="W358"/>
  <c r="X358"/>
  <c r="Y358"/>
  <c r="Z358"/>
  <c r="D359"/>
  <c r="E359"/>
  <c r="F359"/>
  <c r="G359"/>
  <c r="H359"/>
  <c r="I359"/>
  <c r="J359"/>
  <c r="K359"/>
  <c r="L359"/>
  <c r="M359"/>
  <c r="N359"/>
  <c r="O359"/>
  <c r="P359"/>
  <c r="Q359"/>
  <c r="R359"/>
  <c r="S359"/>
  <c r="T359"/>
  <c r="U359"/>
  <c r="V359"/>
  <c r="W359"/>
  <c r="X359"/>
  <c r="Y359"/>
  <c r="Z359"/>
  <c r="D360"/>
  <c r="E360"/>
  <c r="F360"/>
  <c r="G360"/>
  <c r="H360"/>
  <c r="I360"/>
  <c r="J360"/>
  <c r="K360"/>
  <c r="L360"/>
  <c r="M360"/>
  <c r="N360"/>
  <c r="O360"/>
  <c r="P360"/>
  <c r="Q360"/>
  <c r="R360"/>
  <c r="S360"/>
  <c r="T360"/>
  <c r="U360"/>
  <c r="V360"/>
  <c r="W360"/>
  <c r="X360"/>
  <c r="Y360"/>
  <c r="Z360"/>
  <c r="D361"/>
  <c r="E361"/>
  <c r="F361"/>
  <c r="G361"/>
  <c r="H361"/>
  <c r="I361"/>
  <c r="J361"/>
  <c r="K361"/>
  <c r="L361"/>
  <c r="M361"/>
  <c r="N361"/>
  <c r="O361"/>
  <c r="P361"/>
  <c r="Q361"/>
  <c r="R361"/>
  <c r="S361"/>
  <c r="T361"/>
  <c r="U361"/>
  <c r="V361"/>
  <c r="W361"/>
  <c r="X361"/>
  <c r="Y361"/>
  <c r="Z361"/>
  <c r="D362"/>
  <c r="E362"/>
  <c r="G362"/>
  <c r="H362"/>
  <c r="I362"/>
  <c r="J362"/>
  <c r="K362"/>
  <c r="L362"/>
  <c r="M362"/>
  <c r="N362"/>
  <c r="AA362"/>
  <c r="AB362"/>
  <c r="D363"/>
  <c r="E363"/>
  <c r="F363"/>
  <c r="G363"/>
  <c r="H363"/>
  <c r="I363"/>
  <c r="J363"/>
  <c r="K363"/>
  <c r="L363"/>
  <c r="M363"/>
  <c r="N363"/>
  <c r="O363"/>
  <c r="P363"/>
  <c r="Q363"/>
  <c r="R363"/>
  <c r="S363"/>
  <c r="T363"/>
  <c r="U363"/>
  <c r="V363"/>
  <c r="W363"/>
  <c r="X363"/>
  <c r="Y363"/>
  <c r="Z363"/>
  <c r="D364"/>
  <c r="E364"/>
  <c r="F364"/>
  <c r="G364"/>
  <c r="H364"/>
  <c r="I364"/>
  <c r="J364"/>
  <c r="K364"/>
  <c r="L364"/>
  <c r="M364"/>
  <c r="N364"/>
  <c r="O364"/>
  <c r="P364"/>
  <c r="Q364"/>
  <c r="R364"/>
  <c r="S364"/>
  <c r="T364"/>
  <c r="U364"/>
  <c r="V364"/>
  <c r="W364"/>
  <c r="X364"/>
  <c r="Y364"/>
  <c r="Z364"/>
  <c r="D365"/>
  <c r="E365"/>
  <c r="F365"/>
  <c r="G365"/>
  <c r="H365"/>
  <c r="I365"/>
  <c r="J365"/>
  <c r="K365"/>
  <c r="L365"/>
  <c r="M365"/>
  <c r="N365"/>
  <c r="O365"/>
  <c r="P365"/>
  <c r="Q365"/>
  <c r="R365"/>
  <c r="S365"/>
  <c r="T365"/>
  <c r="U365"/>
  <c r="V365"/>
  <c r="W365"/>
  <c r="X365"/>
  <c r="Y365"/>
  <c r="Z365"/>
  <c r="D366"/>
  <c r="E366"/>
  <c r="F366"/>
  <c r="G366"/>
  <c r="H366"/>
  <c r="I366"/>
  <c r="J366"/>
  <c r="K366"/>
  <c r="L366"/>
  <c r="M366"/>
  <c r="N366"/>
  <c r="O366"/>
  <c r="P366"/>
  <c r="Q366"/>
  <c r="R366"/>
  <c r="S366"/>
  <c r="T366"/>
  <c r="U366"/>
  <c r="V366"/>
  <c r="W366"/>
  <c r="X366"/>
  <c r="Y366"/>
  <c r="Z366"/>
  <c r="D367"/>
  <c r="E367"/>
  <c r="G367"/>
  <c r="H367"/>
  <c r="I367"/>
  <c r="J367"/>
  <c r="K367"/>
  <c r="L367"/>
  <c r="M367"/>
  <c r="N367"/>
  <c r="AA367"/>
  <c r="AB367"/>
  <c r="D368"/>
  <c r="E368"/>
  <c r="F368"/>
  <c r="G368"/>
  <c r="H368"/>
  <c r="I368"/>
  <c r="J368"/>
  <c r="K368"/>
  <c r="L368"/>
  <c r="M368"/>
  <c r="N368"/>
  <c r="O368"/>
  <c r="P368"/>
  <c r="Q368"/>
  <c r="R368"/>
  <c r="S368"/>
  <c r="T368"/>
  <c r="U368"/>
  <c r="V368"/>
  <c r="W368"/>
  <c r="X368"/>
  <c r="Y368"/>
  <c r="Z368"/>
  <c r="AB368"/>
  <c r="D369"/>
  <c r="E369"/>
  <c r="F369"/>
  <c r="G369"/>
  <c r="H369"/>
  <c r="I369"/>
  <c r="J369"/>
  <c r="K369"/>
  <c r="L369"/>
  <c r="M369"/>
  <c r="N369"/>
  <c r="AB369"/>
  <c r="D370"/>
  <c r="E370"/>
  <c r="G370"/>
  <c r="H370"/>
  <c r="I370"/>
  <c r="J370"/>
  <c r="K370"/>
  <c r="L370"/>
  <c r="M370"/>
  <c r="N370"/>
  <c r="AA370"/>
  <c r="AB370"/>
  <c r="D371"/>
  <c r="E371"/>
  <c r="F371"/>
  <c r="G371"/>
  <c r="H371"/>
  <c r="I371"/>
  <c r="J371"/>
  <c r="K371"/>
  <c r="L371"/>
  <c r="M371"/>
  <c r="N371"/>
  <c r="O371"/>
  <c r="P371"/>
  <c r="Q371"/>
  <c r="R371"/>
  <c r="S371"/>
  <c r="T371"/>
  <c r="U371"/>
  <c r="V371"/>
  <c r="W371"/>
  <c r="X371"/>
  <c r="Y371"/>
  <c r="Z371"/>
  <c r="AB371"/>
  <c r="D372"/>
  <c r="E372"/>
  <c r="F372"/>
  <c r="G372"/>
  <c r="H372"/>
  <c r="I372"/>
  <c r="J372"/>
  <c r="K372"/>
  <c r="L372"/>
  <c r="M372"/>
  <c r="N372"/>
  <c r="AB372"/>
  <c r="D373"/>
  <c r="E373"/>
  <c r="G373"/>
  <c r="H373"/>
  <c r="I373"/>
  <c r="J373"/>
  <c r="K373"/>
  <c r="L373"/>
  <c r="M373"/>
  <c r="N373"/>
  <c r="AA373"/>
  <c r="AB373"/>
  <c r="D374"/>
  <c r="E374"/>
  <c r="F374"/>
  <c r="G374"/>
  <c r="H374"/>
  <c r="I374"/>
  <c r="J374"/>
  <c r="K374"/>
  <c r="L374"/>
  <c r="M374"/>
  <c r="N374"/>
  <c r="AB374"/>
  <c r="D375"/>
  <c r="E375"/>
  <c r="F375"/>
  <c r="G375"/>
  <c r="H375"/>
  <c r="I375"/>
  <c r="J375"/>
  <c r="K375"/>
  <c r="L375"/>
  <c r="M375"/>
  <c r="N375"/>
  <c r="O375"/>
  <c r="P375"/>
  <c r="Q375"/>
  <c r="R375"/>
  <c r="S375"/>
  <c r="T375"/>
  <c r="U375"/>
  <c r="V375"/>
  <c r="W375"/>
  <c r="X375"/>
  <c r="Y375"/>
  <c r="Z375"/>
  <c r="AB375"/>
  <c r="D376"/>
  <c r="E376"/>
  <c r="G376"/>
  <c r="H376"/>
  <c r="I376"/>
  <c r="J376"/>
  <c r="K376"/>
  <c r="L376"/>
  <c r="M376"/>
  <c r="N376"/>
  <c r="AA376"/>
  <c r="AB376"/>
  <c r="D377"/>
  <c r="E377"/>
  <c r="F377"/>
  <c r="G377"/>
  <c r="H377"/>
  <c r="I377"/>
  <c r="J377"/>
  <c r="K377"/>
  <c r="L377"/>
  <c r="M377"/>
  <c r="N377"/>
  <c r="O377"/>
  <c r="P377"/>
  <c r="Q377"/>
  <c r="R377"/>
  <c r="S377"/>
  <c r="T377"/>
  <c r="U377"/>
  <c r="V377"/>
  <c r="W377"/>
  <c r="X377"/>
  <c r="Y377"/>
  <c r="Z377"/>
  <c r="D378"/>
  <c r="E378"/>
  <c r="F378"/>
  <c r="G378"/>
  <c r="H378"/>
  <c r="I378"/>
  <c r="J378"/>
  <c r="K378"/>
  <c r="L378"/>
  <c r="M378"/>
  <c r="N378"/>
  <c r="O378"/>
  <c r="P378"/>
  <c r="Q378"/>
  <c r="R378"/>
  <c r="S378"/>
  <c r="T378"/>
  <c r="U378"/>
  <c r="V378"/>
  <c r="W378"/>
  <c r="X378"/>
  <c r="Y378"/>
  <c r="Z378"/>
  <c r="D379"/>
  <c r="E379"/>
  <c r="F379"/>
  <c r="G379"/>
  <c r="H379"/>
  <c r="I379"/>
  <c r="J379"/>
  <c r="K379"/>
  <c r="L379"/>
  <c r="M379"/>
  <c r="N379"/>
  <c r="O379"/>
  <c r="P379"/>
  <c r="Q379"/>
  <c r="R379"/>
  <c r="S379"/>
  <c r="T379"/>
  <c r="U379"/>
  <c r="V379"/>
  <c r="W379"/>
  <c r="X379"/>
  <c r="Y379"/>
  <c r="Z379"/>
  <c r="D380"/>
  <c r="E380"/>
  <c r="F380"/>
  <c r="G380"/>
  <c r="H380"/>
  <c r="I380"/>
  <c r="J380"/>
  <c r="K380"/>
  <c r="L380"/>
  <c r="M380"/>
  <c r="N380"/>
  <c r="AB380"/>
  <c r="D381"/>
  <c r="E381"/>
  <c r="G381"/>
  <c r="H381"/>
  <c r="I381"/>
  <c r="J381"/>
  <c r="K381"/>
  <c r="L381"/>
  <c r="M381"/>
  <c r="N381"/>
  <c r="AA381"/>
  <c r="AB381"/>
  <c r="D382"/>
  <c r="E382"/>
  <c r="F382"/>
  <c r="G382"/>
  <c r="H382"/>
  <c r="I382"/>
  <c r="J382"/>
  <c r="K382"/>
  <c r="L382"/>
  <c r="M382"/>
  <c r="N382"/>
  <c r="O382"/>
  <c r="P382"/>
  <c r="Q382"/>
  <c r="R382"/>
  <c r="S382"/>
  <c r="T382"/>
  <c r="U382"/>
  <c r="V382"/>
  <c r="W382"/>
  <c r="X382"/>
  <c r="Y382"/>
  <c r="Z382"/>
  <c r="D383"/>
  <c r="E383"/>
  <c r="F383"/>
  <c r="G383"/>
  <c r="H383"/>
  <c r="I383"/>
  <c r="J383"/>
  <c r="K383"/>
  <c r="L383"/>
  <c r="M383"/>
  <c r="N383"/>
  <c r="O383"/>
  <c r="P383"/>
  <c r="Q383"/>
  <c r="R383"/>
  <c r="S383"/>
  <c r="T383"/>
  <c r="U383"/>
  <c r="V383"/>
  <c r="W383"/>
  <c r="X383"/>
  <c r="Y383"/>
  <c r="Z383"/>
  <c r="D384"/>
  <c r="E384"/>
  <c r="F384"/>
  <c r="G384"/>
  <c r="H384"/>
  <c r="I384"/>
  <c r="J384"/>
  <c r="K384"/>
  <c r="L384"/>
  <c r="M384"/>
  <c r="N384"/>
  <c r="O384"/>
  <c r="P384"/>
  <c r="Q384"/>
  <c r="R384"/>
  <c r="S384"/>
  <c r="T384"/>
  <c r="U384"/>
  <c r="V384"/>
  <c r="W384"/>
  <c r="X384"/>
  <c r="Y384"/>
  <c r="Z384"/>
  <c r="D385"/>
  <c r="E385"/>
  <c r="F385"/>
  <c r="G385"/>
  <c r="H385"/>
  <c r="I385"/>
  <c r="J385"/>
  <c r="K385"/>
  <c r="L385"/>
  <c r="M385"/>
  <c r="N385"/>
  <c r="AB385"/>
  <c r="D386"/>
  <c r="E386"/>
  <c r="G386"/>
  <c r="H386"/>
  <c r="I386"/>
  <c r="J386"/>
  <c r="K386"/>
  <c r="L386"/>
  <c r="M386"/>
  <c r="N386"/>
  <c r="AA386"/>
  <c r="AB386"/>
  <c r="D387"/>
  <c r="E387"/>
  <c r="F387"/>
  <c r="G387"/>
  <c r="H387"/>
  <c r="I387"/>
  <c r="J387"/>
  <c r="K387"/>
  <c r="L387"/>
  <c r="M387"/>
  <c r="N387"/>
  <c r="O387"/>
  <c r="P387"/>
  <c r="Q387"/>
  <c r="R387"/>
  <c r="S387"/>
  <c r="T387"/>
  <c r="U387"/>
  <c r="V387"/>
  <c r="W387"/>
  <c r="X387"/>
  <c r="Y387"/>
  <c r="Z387"/>
  <c r="D388"/>
  <c r="E388"/>
  <c r="F388"/>
  <c r="G388"/>
  <c r="H388"/>
  <c r="I388"/>
  <c r="J388"/>
  <c r="K388"/>
  <c r="L388"/>
  <c r="M388"/>
  <c r="N388"/>
  <c r="O388"/>
  <c r="P388"/>
  <c r="Q388"/>
  <c r="R388"/>
  <c r="S388"/>
  <c r="T388"/>
  <c r="U388"/>
  <c r="V388"/>
  <c r="W388"/>
  <c r="X388"/>
  <c r="Y388"/>
  <c r="Z388"/>
  <c r="D389"/>
  <c r="E389"/>
  <c r="F389"/>
  <c r="G389"/>
  <c r="H389"/>
  <c r="I389"/>
  <c r="J389"/>
  <c r="K389"/>
  <c r="L389"/>
  <c r="M389"/>
  <c r="N389"/>
  <c r="O389"/>
  <c r="P389"/>
  <c r="Q389"/>
  <c r="R389"/>
  <c r="S389"/>
  <c r="T389"/>
  <c r="U389"/>
  <c r="V389"/>
  <c r="W389"/>
  <c r="X389"/>
  <c r="Y389"/>
  <c r="Z389"/>
  <c r="D390"/>
  <c r="E390"/>
  <c r="F390"/>
  <c r="G390"/>
  <c r="H390"/>
  <c r="I390"/>
  <c r="J390"/>
  <c r="K390"/>
  <c r="L390"/>
  <c r="M390"/>
  <c r="N390"/>
  <c r="AB390"/>
  <c r="D391"/>
  <c r="E391"/>
  <c r="G391"/>
  <c r="H391"/>
  <c r="I391"/>
  <c r="J391"/>
  <c r="K391"/>
  <c r="L391"/>
  <c r="M391"/>
  <c r="N391"/>
  <c r="AA391"/>
  <c r="AB391"/>
  <c r="D392"/>
  <c r="E392"/>
  <c r="F392"/>
  <c r="G392"/>
  <c r="H392"/>
  <c r="I392"/>
  <c r="J392"/>
  <c r="K392"/>
  <c r="L392"/>
  <c r="M392"/>
  <c r="N392"/>
  <c r="O392"/>
  <c r="P392"/>
  <c r="Q392"/>
  <c r="R392"/>
  <c r="S392"/>
  <c r="T392"/>
  <c r="U392"/>
  <c r="V392"/>
  <c r="W392"/>
  <c r="X392"/>
  <c r="Y392"/>
  <c r="Z392"/>
  <c r="D393"/>
  <c r="E393"/>
  <c r="F393"/>
  <c r="G393"/>
  <c r="H393"/>
  <c r="I393"/>
  <c r="J393"/>
  <c r="K393"/>
  <c r="L393"/>
  <c r="M393"/>
  <c r="N393"/>
  <c r="O393"/>
  <c r="P393"/>
  <c r="Q393"/>
  <c r="R393"/>
  <c r="S393"/>
  <c r="T393"/>
  <c r="U393"/>
  <c r="V393"/>
  <c r="W393"/>
  <c r="X393"/>
  <c r="Y393"/>
  <c r="Z393"/>
  <c r="D394"/>
  <c r="E394"/>
  <c r="F394"/>
  <c r="G394"/>
  <c r="H394"/>
  <c r="I394"/>
  <c r="J394"/>
  <c r="K394"/>
  <c r="L394"/>
  <c r="M394"/>
  <c r="N394"/>
  <c r="O394"/>
  <c r="P394"/>
  <c r="Q394"/>
  <c r="R394"/>
  <c r="S394"/>
  <c r="T394"/>
  <c r="U394"/>
  <c r="V394"/>
  <c r="W394"/>
  <c r="X394"/>
  <c r="Y394"/>
  <c r="Z394"/>
  <c r="D395"/>
  <c r="E395"/>
  <c r="F395"/>
  <c r="G395"/>
  <c r="H395"/>
  <c r="I395"/>
  <c r="J395"/>
  <c r="K395"/>
  <c r="L395"/>
  <c r="M395"/>
  <c r="N395"/>
  <c r="AB395"/>
  <c r="D396"/>
  <c r="E396"/>
  <c r="G396"/>
  <c r="H396"/>
  <c r="I396"/>
  <c r="J396"/>
  <c r="K396"/>
  <c r="L396"/>
  <c r="M396"/>
  <c r="N396"/>
  <c r="AA396"/>
  <c r="AB396"/>
  <c r="D397"/>
  <c r="E397"/>
  <c r="F397"/>
  <c r="G397"/>
  <c r="H397"/>
  <c r="I397"/>
  <c r="J397"/>
  <c r="K397"/>
  <c r="L397"/>
  <c r="M397"/>
  <c r="N397"/>
  <c r="AB397"/>
  <c r="D398"/>
  <c r="E398"/>
  <c r="F398"/>
  <c r="G398"/>
  <c r="H398"/>
  <c r="I398"/>
  <c r="J398"/>
  <c r="K398"/>
  <c r="L398"/>
  <c r="M398"/>
  <c r="N398"/>
  <c r="O398"/>
  <c r="P398"/>
  <c r="Q398"/>
  <c r="R398"/>
  <c r="S398"/>
  <c r="T398"/>
  <c r="U398"/>
  <c r="V398"/>
  <c r="W398"/>
  <c r="X398"/>
  <c r="Y398"/>
  <c r="Z398"/>
  <c r="D399"/>
  <c r="E399"/>
  <c r="F399"/>
  <c r="G399"/>
  <c r="H399"/>
  <c r="I399"/>
  <c r="J399"/>
  <c r="K399"/>
  <c r="L399"/>
  <c r="M399"/>
  <c r="N399"/>
  <c r="R399"/>
  <c r="S399"/>
  <c r="T399"/>
  <c r="U399"/>
  <c r="V399"/>
  <c r="W399"/>
  <c r="X399"/>
  <c r="Y399"/>
  <c r="Z399"/>
  <c r="D400"/>
  <c r="E400"/>
  <c r="F400"/>
  <c r="G400"/>
  <c r="H400"/>
  <c r="I400"/>
  <c r="J400"/>
  <c r="K400"/>
  <c r="L400"/>
  <c r="M400"/>
  <c r="N400"/>
  <c r="O400"/>
  <c r="P400"/>
  <c r="Q400"/>
  <c r="R400"/>
  <c r="S400"/>
  <c r="T400"/>
  <c r="U400"/>
  <c r="V400"/>
  <c r="W400"/>
  <c r="X400"/>
  <c r="Y400"/>
  <c r="Z400"/>
  <c r="D401"/>
  <c r="E401"/>
  <c r="F401"/>
  <c r="G401"/>
  <c r="H401"/>
  <c r="I401"/>
  <c r="J401"/>
  <c r="K401"/>
  <c r="L401"/>
  <c r="M401"/>
  <c r="N401"/>
  <c r="AB401"/>
  <c r="D402"/>
  <c r="E402"/>
  <c r="G402"/>
  <c r="H402"/>
  <c r="I402"/>
  <c r="J402"/>
  <c r="K402"/>
  <c r="L402"/>
  <c r="M402"/>
  <c r="N402"/>
  <c r="AA402"/>
  <c r="AB402"/>
  <c r="D403"/>
  <c r="E403"/>
  <c r="F403"/>
  <c r="G403"/>
  <c r="H403"/>
  <c r="I403"/>
  <c r="J403"/>
  <c r="K403"/>
  <c r="L403"/>
  <c r="M403"/>
  <c r="N403"/>
  <c r="AB403"/>
  <c r="D404"/>
  <c r="E404"/>
  <c r="F404"/>
  <c r="G404"/>
  <c r="H404"/>
  <c r="I404"/>
  <c r="J404"/>
  <c r="K404"/>
  <c r="L404"/>
  <c r="M404"/>
  <c r="N404"/>
  <c r="AB404"/>
  <c r="D405"/>
  <c r="E405"/>
  <c r="F405"/>
  <c r="G405"/>
  <c r="H405"/>
  <c r="I405"/>
  <c r="J405"/>
  <c r="K405"/>
  <c r="L405"/>
  <c r="M405"/>
  <c r="N405"/>
  <c r="O405"/>
  <c r="P405"/>
  <c r="Q405"/>
  <c r="R405"/>
  <c r="S405"/>
  <c r="T405"/>
  <c r="U405"/>
  <c r="V405"/>
  <c r="W405"/>
  <c r="X405"/>
  <c r="Y405"/>
  <c r="Z405"/>
  <c r="AB405"/>
  <c r="D406"/>
  <c r="E406"/>
  <c r="G406"/>
  <c r="H406"/>
  <c r="I406"/>
  <c r="J406"/>
  <c r="K406"/>
  <c r="L406"/>
  <c r="M406"/>
  <c r="N406"/>
  <c r="AA406"/>
  <c r="AB406"/>
  <c r="D407"/>
  <c r="E407"/>
  <c r="F407"/>
  <c r="G407"/>
  <c r="H407"/>
  <c r="I407"/>
  <c r="J407"/>
  <c r="K407"/>
  <c r="L407"/>
  <c r="M407"/>
  <c r="N407"/>
  <c r="AB407"/>
  <c r="D408"/>
  <c r="E408"/>
  <c r="F408"/>
  <c r="G408"/>
  <c r="H408"/>
  <c r="I408"/>
  <c r="J408"/>
  <c r="K408"/>
  <c r="L408"/>
  <c r="M408"/>
  <c r="N408"/>
  <c r="AB408"/>
  <c r="D409"/>
  <c r="E409"/>
  <c r="F409"/>
  <c r="G409"/>
  <c r="H409"/>
  <c r="I409"/>
  <c r="J409"/>
  <c r="K409"/>
  <c r="L409"/>
  <c r="M409"/>
  <c r="N409"/>
  <c r="O409"/>
  <c r="P409"/>
  <c r="Q409"/>
  <c r="R409"/>
  <c r="S409"/>
  <c r="T409"/>
  <c r="U409"/>
  <c r="V409"/>
  <c r="W409"/>
  <c r="X409"/>
  <c r="Y409"/>
  <c r="Z409"/>
  <c r="AB409"/>
  <c r="D410"/>
  <c r="E410"/>
  <c r="G410"/>
  <c r="H410"/>
  <c r="I410"/>
  <c r="J410"/>
  <c r="K410"/>
  <c r="L410"/>
  <c r="M410"/>
  <c r="N410"/>
  <c r="AA410"/>
  <c r="AB410"/>
  <c r="D411"/>
  <c r="E411"/>
  <c r="F411"/>
  <c r="G411"/>
  <c r="H411"/>
  <c r="I411"/>
  <c r="J411"/>
  <c r="K411"/>
  <c r="L411"/>
  <c r="M411"/>
  <c r="N411"/>
  <c r="AB411"/>
  <c r="D412"/>
  <c r="E412"/>
  <c r="F412"/>
  <c r="G412"/>
  <c r="H412"/>
  <c r="I412"/>
  <c r="J412"/>
  <c r="K412"/>
  <c r="L412"/>
  <c r="M412"/>
  <c r="N412"/>
  <c r="AB412"/>
  <c r="D413"/>
  <c r="E413"/>
  <c r="F413"/>
  <c r="G413"/>
  <c r="H413"/>
  <c r="I413"/>
  <c r="J413"/>
  <c r="K413"/>
  <c r="L413"/>
  <c r="M413"/>
  <c r="N413"/>
  <c r="O413"/>
  <c r="P413"/>
  <c r="Q413"/>
  <c r="R413"/>
  <c r="S413"/>
  <c r="T413"/>
  <c r="U413"/>
  <c r="V413"/>
  <c r="W413"/>
  <c r="X413"/>
  <c r="Y413"/>
  <c r="Z413"/>
  <c r="AB413"/>
  <c r="D414"/>
  <c r="E414"/>
  <c r="G414"/>
  <c r="H414"/>
  <c r="I414"/>
  <c r="J414"/>
  <c r="K414"/>
  <c r="L414"/>
  <c r="M414"/>
  <c r="N414"/>
  <c r="AA414"/>
  <c r="AB414"/>
  <c r="D415"/>
  <c r="E415"/>
  <c r="F415"/>
  <c r="G415"/>
  <c r="H415"/>
  <c r="I415"/>
  <c r="J415"/>
  <c r="K415"/>
  <c r="L415"/>
  <c r="M415"/>
  <c r="N415"/>
  <c r="AB415"/>
  <c r="D416"/>
  <c r="E416"/>
  <c r="F416"/>
  <c r="G416"/>
  <c r="H416"/>
  <c r="I416"/>
  <c r="J416"/>
  <c r="K416"/>
  <c r="L416"/>
  <c r="M416"/>
  <c r="N416"/>
  <c r="AB416"/>
  <c r="D417"/>
  <c r="E417"/>
  <c r="F417"/>
  <c r="G417"/>
  <c r="H417"/>
  <c r="I417"/>
  <c r="J417"/>
  <c r="K417"/>
  <c r="L417"/>
  <c r="M417"/>
  <c r="N417"/>
  <c r="O417"/>
  <c r="P417"/>
  <c r="Q417"/>
  <c r="R417"/>
  <c r="S417"/>
  <c r="T417"/>
  <c r="U417"/>
  <c r="V417"/>
  <c r="W417"/>
  <c r="X417"/>
  <c r="Y417"/>
  <c r="Z417"/>
  <c r="AB417"/>
  <c r="D418"/>
  <c r="E418"/>
  <c r="G418"/>
  <c r="H418"/>
  <c r="I418"/>
  <c r="J418"/>
  <c r="K418"/>
  <c r="L418"/>
  <c r="M418"/>
  <c r="N418"/>
  <c r="AA418"/>
  <c r="AB418"/>
  <c r="D419"/>
  <c r="E419"/>
  <c r="F419"/>
  <c r="G419"/>
  <c r="H419"/>
  <c r="I419"/>
  <c r="J419"/>
  <c r="K419"/>
  <c r="L419"/>
  <c r="M419"/>
  <c r="N419"/>
  <c r="O419"/>
  <c r="P419"/>
  <c r="Q419"/>
  <c r="R419"/>
  <c r="S419"/>
  <c r="T419"/>
  <c r="U419"/>
  <c r="V419"/>
  <c r="W419"/>
  <c r="X419"/>
  <c r="Y419"/>
  <c r="Z419"/>
  <c r="D420"/>
  <c r="E420"/>
  <c r="F420"/>
  <c r="G420"/>
  <c r="H420"/>
  <c r="I420"/>
  <c r="J420"/>
  <c r="K420"/>
  <c r="L420"/>
  <c r="M420"/>
  <c r="N420"/>
  <c r="D421"/>
  <c r="E421"/>
  <c r="F421"/>
  <c r="G421"/>
  <c r="H421"/>
  <c r="I421"/>
  <c r="J421"/>
  <c r="K421"/>
  <c r="L421"/>
  <c r="M421"/>
  <c r="N421"/>
  <c r="X421"/>
  <c r="Y421"/>
  <c r="Z421"/>
  <c r="AB421"/>
  <c r="D422"/>
  <c r="E422"/>
  <c r="G422"/>
  <c r="H422"/>
  <c r="I422"/>
  <c r="J422"/>
  <c r="K422"/>
  <c r="L422"/>
  <c r="M422"/>
  <c r="N422"/>
  <c r="Y422"/>
  <c r="Z422"/>
  <c r="AA422"/>
  <c r="AB422"/>
  <c r="D423"/>
  <c r="E423"/>
  <c r="F423"/>
  <c r="G423"/>
  <c r="H423"/>
  <c r="I423"/>
  <c r="J423"/>
  <c r="K423"/>
  <c r="L423"/>
  <c r="M423"/>
  <c r="N423"/>
  <c r="O423"/>
  <c r="P423"/>
  <c r="Q423"/>
  <c r="R423"/>
  <c r="S423"/>
  <c r="T423"/>
  <c r="U423"/>
  <c r="V423"/>
  <c r="W423"/>
  <c r="X423"/>
  <c r="Y423"/>
  <c r="Z423"/>
  <c r="D424"/>
  <c r="E424"/>
  <c r="F424"/>
  <c r="G424"/>
  <c r="H424"/>
  <c r="I424"/>
  <c r="J424"/>
  <c r="K424"/>
  <c r="L424"/>
  <c r="M424"/>
  <c r="N424"/>
  <c r="D425"/>
  <c r="E425"/>
  <c r="F425"/>
  <c r="G425"/>
  <c r="H425"/>
  <c r="I425"/>
  <c r="J425"/>
  <c r="K425"/>
  <c r="L425"/>
  <c r="M425"/>
  <c r="N425"/>
  <c r="X425"/>
  <c r="Y425"/>
  <c r="Z425"/>
  <c r="AB425"/>
  <c r="D426"/>
  <c r="E426"/>
  <c r="G426"/>
  <c r="H426"/>
  <c r="I426"/>
  <c r="J426"/>
  <c r="K426"/>
  <c r="L426"/>
  <c r="M426"/>
  <c r="N426"/>
  <c r="AA426"/>
  <c r="AB426"/>
  <c r="D427"/>
  <c r="E427"/>
  <c r="F427"/>
  <c r="G427"/>
  <c r="H427"/>
  <c r="I427"/>
  <c r="J427"/>
  <c r="K427"/>
  <c r="L427"/>
  <c r="M427"/>
  <c r="N427"/>
  <c r="O427"/>
  <c r="P427"/>
  <c r="Q427"/>
  <c r="R427"/>
  <c r="S427"/>
  <c r="T427"/>
  <c r="U427"/>
  <c r="V427"/>
  <c r="W427"/>
  <c r="X427"/>
  <c r="Y427"/>
  <c r="Z427"/>
  <c r="D428"/>
  <c r="E428"/>
  <c r="F428"/>
  <c r="G428"/>
  <c r="H428"/>
  <c r="I428"/>
  <c r="J428"/>
  <c r="K428"/>
  <c r="L428"/>
  <c r="M428"/>
  <c r="N428"/>
  <c r="O428"/>
  <c r="P428"/>
  <c r="Q428"/>
  <c r="R428"/>
  <c r="S428"/>
  <c r="T428"/>
  <c r="U428"/>
  <c r="V428"/>
  <c r="W428"/>
  <c r="X428"/>
  <c r="Y428"/>
  <c r="Z428"/>
  <c r="D429"/>
  <c r="E429"/>
  <c r="F429"/>
  <c r="G429"/>
  <c r="H429"/>
  <c r="I429"/>
  <c r="J429"/>
  <c r="K429"/>
  <c r="L429"/>
  <c r="M429"/>
  <c r="N429"/>
  <c r="AB429"/>
  <c r="D430"/>
  <c r="E430"/>
  <c r="G430"/>
  <c r="H430"/>
  <c r="I430"/>
  <c r="J430"/>
  <c r="K430"/>
  <c r="L430"/>
  <c r="M430"/>
  <c r="N430"/>
  <c r="AA430"/>
  <c r="AB430"/>
  <c r="D431"/>
  <c r="E431"/>
  <c r="F431"/>
  <c r="G431"/>
  <c r="H431"/>
  <c r="I431"/>
  <c r="J431"/>
  <c r="K431"/>
  <c r="L431"/>
  <c r="M431"/>
  <c r="N431"/>
  <c r="O431"/>
  <c r="P431"/>
  <c r="Q431"/>
  <c r="R431"/>
  <c r="S431"/>
  <c r="T431"/>
  <c r="U431"/>
  <c r="V431"/>
  <c r="W431"/>
  <c r="X431"/>
  <c r="Y431"/>
  <c r="Z431"/>
  <c r="D432"/>
  <c r="E432"/>
  <c r="F432"/>
  <c r="G432"/>
  <c r="H432"/>
  <c r="I432"/>
  <c r="J432"/>
  <c r="K432"/>
  <c r="L432"/>
  <c r="M432"/>
  <c r="N432"/>
  <c r="O432"/>
  <c r="P432"/>
  <c r="Q432"/>
  <c r="R432"/>
  <c r="S432"/>
  <c r="T432"/>
  <c r="U432"/>
  <c r="V432"/>
  <c r="W432"/>
  <c r="X432"/>
  <c r="Y432"/>
  <c r="Z432"/>
  <c r="D433"/>
  <c r="E433"/>
  <c r="F433"/>
  <c r="G433"/>
  <c r="H433"/>
  <c r="I433"/>
  <c r="J433"/>
  <c r="K433"/>
  <c r="L433"/>
  <c r="M433"/>
  <c r="N433"/>
  <c r="AB433"/>
  <c r="D434"/>
  <c r="E434"/>
  <c r="G434"/>
  <c r="H434"/>
  <c r="I434"/>
  <c r="J434"/>
  <c r="K434"/>
  <c r="L434"/>
  <c r="M434"/>
  <c r="N434"/>
  <c r="AA434"/>
  <c r="AB434"/>
  <c r="D435"/>
  <c r="E435"/>
  <c r="F435"/>
  <c r="G435"/>
  <c r="H435"/>
  <c r="I435"/>
  <c r="J435"/>
  <c r="K435"/>
  <c r="L435"/>
  <c r="M435"/>
  <c r="N435"/>
  <c r="O435"/>
  <c r="P435"/>
  <c r="Q435"/>
  <c r="R435"/>
  <c r="S435"/>
  <c r="T435"/>
  <c r="U435"/>
  <c r="V435"/>
  <c r="W435"/>
  <c r="X435"/>
  <c r="Y435"/>
  <c r="Z435"/>
  <c r="D436"/>
  <c r="E436"/>
  <c r="F436"/>
  <c r="G436"/>
  <c r="H436"/>
  <c r="I436"/>
  <c r="J436"/>
  <c r="K436"/>
  <c r="L436"/>
  <c r="M436"/>
  <c r="N436"/>
  <c r="O436"/>
  <c r="P436"/>
  <c r="Q436"/>
  <c r="R436"/>
  <c r="S436"/>
  <c r="T436"/>
  <c r="U436"/>
  <c r="V436"/>
  <c r="W436"/>
  <c r="X436"/>
  <c r="Y436"/>
  <c r="Z436"/>
  <c r="D437"/>
  <c r="E437"/>
  <c r="F437"/>
  <c r="G437"/>
  <c r="H437"/>
  <c r="I437"/>
  <c r="J437"/>
  <c r="K437"/>
  <c r="L437"/>
  <c r="M437"/>
  <c r="N437"/>
  <c r="AB437"/>
  <c r="D438"/>
  <c r="E438"/>
  <c r="G438"/>
  <c r="H438"/>
  <c r="I438"/>
  <c r="J438"/>
  <c r="K438"/>
  <c r="L438"/>
  <c r="M438"/>
  <c r="N438"/>
  <c r="AA438"/>
  <c r="AB438"/>
  <c r="D439"/>
  <c r="E439"/>
  <c r="F439"/>
  <c r="G439"/>
  <c r="H439"/>
  <c r="I439"/>
  <c r="J439"/>
  <c r="K439"/>
  <c r="L439"/>
  <c r="M439"/>
  <c r="N439"/>
  <c r="O439"/>
  <c r="P439"/>
  <c r="Q439"/>
  <c r="R439"/>
  <c r="S439"/>
  <c r="T439"/>
  <c r="U439"/>
  <c r="V439"/>
  <c r="W439"/>
  <c r="X439"/>
  <c r="Y439"/>
  <c r="Z439"/>
  <c r="D440"/>
  <c r="E440"/>
  <c r="F440"/>
  <c r="G440"/>
  <c r="H440"/>
  <c r="I440"/>
  <c r="J440"/>
  <c r="K440"/>
  <c r="L440"/>
  <c r="M440"/>
  <c r="N440"/>
  <c r="O440"/>
  <c r="P440"/>
  <c r="Q440"/>
  <c r="R440"/>
  <c r="S440"/>
  <c r="T440"/>
  <c r="U440"/>
  <c r="V440"/>
  <c r="W440"/>
  <c r="X440"/>
  <c r="Y440"/>
  <c r="Z440"/>
  <c r="D441"/>
  <c r="E441"/>
  <c r="F441"/>
  <c r="G441"/>
  <c r="H441"/>
  <c r="I441"/>
  <c r="J441"/>
  <c r="K441"/>
  <c r="L441"/>
  <c r="M441"/>
  <c r="N441"/>
  <c r="AB441"/>
  <c r="D442"/>
  <c r="E442"/>
  <c r="G442"/>
  <c r="H442"/>
  <c r="I442"/>
  <c r="J442"/>
  <c r="K442"/>
  <c r="L442"/>
  <c r="M442"/>
  <c r="N442"/>
  <c r="AA442"/>
  <c r="AB442"/>
  <c r="D443"/>
  <c r="E443"/>
  <c r="F443"/>
  <c r="G443"/>
  <c r="H443"/>
  <c r="I443"/>
  <c r="J443"/>
  <c r="K443"/>
  <c r="L443"/>
  <c r="M443"/>
  <c r="N443"/>
  <c r="O443"/>
  <c r="P443"/>
  <c r="Q443"/>
  <c r="R443"/>
  <c r="S443"/>
  <c r="T443"/>
  <c r="U443"/>
  <c r="V443"/>
  <c r="W443"/>
  <c r="X443"/>
  <c r="Y443"/>
  <c r="Z443"/>
  <c r="D444"/>
  <c r="E444"/>
  <c r="F444"/>
  <c r="G444"/>
  <c r="H444"/>
  <c r="I444"/>
  <c r="J444"/>
  <c r="K444"/>
  <c r="L444"/>
  <c r="M444"/>
  <c r="N444"/>
  <c r="O444"/>
  <c r="P444"/>
  <c r="Q444"/>
  <c r="R444"/>
  <c r="S444"/>
  <c r="T444"/>
  <c r="U444"/>
  <c r="V444"/>
  <c r="W444"/>
  <c r="X444"/>
  <c r="Y444"/>
  <c r="Z444"/>
  <c r="D445"/>
  <c r="E445"/>
  <c r="F445"/>
  <c r="G445"/>
  <c r="H445"/>
  <c r="I445"/>
  <c r="J445"/>
  <c r="K445"/>
  <c r="L445"/>
  <c r="M445"/>
  <c r="N445"/>
  <c r="AB445"/>
  <c r="D446"/>
  <c r="E446"/>
  <c r="G446"/>
  <c r="H446"/>
  <c r="I446"/>
  <c r="J446"/>
  <c r="K446"/>
  <c r="L446"/>
  <c r="M446"/>
  <c r="N446"/>
  <c r="AA446"/>
  <c r="AB446"/>
  <c r="D447"/>
  <c r="E447"/>
  <c r="F447"/>
  <c r="G447"/>
  <c r="H447"/>
  <c r="I447"/>
  <c r="J447"/>
  <c r="K447"/>
  <c r="L447"/>
  <c r="M447"/>
  <c r="N447"/>
  <c r="O447"/>
  <c r="P447"/>
  <c r="Q447"/>
  <c r="R447"/>
  <c r="S447"/>
  <c r="T447"/>
  <c r="U447"/>
  <c r="V447"/>
  <c r="W447"/>
  <c r="X447"/>
  <c r="Y447"/>
  <c r="Z447"/>
  <c r="D448"/>
  <c r="E448"/>
  <c r="F448"/>
  <c r="G448"/>
  <c r="H448"/>
  <c r="I448"/>
  <c r="J448"/>
  <c r="K448"/>
  <c r="L448"/>
  <c r="M448"/>
  <c r="N448"/>
  <c r="O448"/>
  <c r="P448"/>
  <c r="Q448"/>
  <c r="R448"/>
  <c r="S448"/>
  <c r="T448"/>
  <c r="U448"/>
  <c r="V448"/>
  <c r="W448"/>
  <c r="X448"/>
  <c r="Y448"/>
  <c r="Z448"/>
  <c r="D449"/>
  <c r="E449"/>
  <c r="F449"/>
  <c r="G449"/>
  <c r="H449"/>
  <c r="I449"/>
  <c r="J449"/>
  <c r="K449"/>
  <c r="L449"/>
  <c r="M449"/>
  <c r="N449"/>
  <c r="AB449"/>
  <c r="D450"/>
  <c r="E450"/>
  <c r="G450"/>
  <c r="H450"/>
  <c r="I450"/>
  <c r="J450"/>
  <c r="K450"/>
  <c r="L450"/>
  <c r="M450"/>
  <c r="N450"/>
  <c r="AA450"/>
  <c r="AB450"/>
  <c r="E321"/>
  <c r="G321"/>
  <c r="H321"/>
  <c r="I321"/>
  <c r="J321"/>
  <c r="K321"/>
  <c r="L321"/>
  <c r="M321"/>
  <c r="N321"/>
  <c r="Y321"/>
  <c r="AA321"/>
  <c r="AB321"/>
  <c r="D321"/>
  <c r="D288"/>
  <c r="E288"/>
  <c r="G288"/>
  <c r="H288"/>
  <c r="I288"/>
  <c r="J288"/>
  <c r="K288"/>
  <c r="L288"/>
  <c r="M288"/>
  <c r="N288"/>
  <c r="AA288"/>
  <c r="AB288"/>
  <c r="D289"/>
  <c r="E289"/>
  <c r="F289"/>
  <c r="G289"/>
  <c r="H289"/>
  <c r="I289"/>
  <c r="J289"/>
  <c r="K289"/>
  <c r="L289"/>
  <c r="M289"/>
  <c r="N289"/>
  <c r="R289"/>
  <c r="S289"/>
  <c r="T289"/>
  <c r="U289"/>
  <c r="V289"/>
  <c r="W289"/>
  <c r="X289"/>
  <c r="Y289"/>
  <c r="Z289"/>
  <c r="D290"/>
  <c r="E290"/>
  <c r="F290"/>
  <c r="G290"/>
  <c r="H290"/>
  <c r="I290"/>
  <c r="J290"/>
  <c r="K290"/>
  <c r="L290"/>
  <c r="M290"/>
  <c r="N290"/>
  <c r="O290"/>
  <c r="P290"/>
  <c r="Q290"/>
  <c r="R290"/>
  <c r="S290"/>
  <c r="T290"/>
  <c r="U290"/>
  <c r="V290"/>
  <c r="W290"/>
  <c r="X290"/>
  <c r="Y290"/>
  <c r="Z290"/>
  <c r="D291"/>
  <c r="E291"/>
  <c r="G291"/>
  <c r="H291"/>
  <c r="I291"/>
  <c r="J291"/>
  <c r="K291"/>
  <c r="L291"/>
  <c r="M291"/>
  <c r="N291"/>
  <c r="AA291"/>
  <c r="AB291"/>
  <c r="D292"/>
  <c r="E292"/>
  <c r="F292"/>
  <c r="G292"/>
  <c r="H292"/>
  <c r="I292"/>
  <c r="J292"/>
  <c r="K292"/>
  <c r="L292"/>
  <c r="M292"/>
  <c r="N292"/>
  <c r="R292"/>
  <c r="S292"/>
  <c r="T292"/>
  <c r="U292"/>
  <c r="V292"/>
  <c r="W292"/>
  <c r="X292"/>
  <c r="Y292"/>
  <c r="Z292"/>
  <c r="D293"/>
  <c r="E293"/>
  <c r="F293"/>
  <c r="G293"/>
  <c r="H293"/>
  <c r="I293"/>
  <c r="J293"/>
  <c r="K293"/>
  <c r="L293"/>
  <c r="M293"/>
  <c r="N293"/>
  <c r="O293"/>
  <c r="P293"/>
  <c r="Q293"/>
  <c r="R293"/>
  <c r="S293"/>
  <c r="T293"/>
  <c r="U293"/>
  <c r="V293"/>
  <c r="W293"/>
  <c r="X293"/>
  <c r="Y293"/>
  <c r="Z293"/>
  <c r="D294"/>
  <c r="E294"/>
  <c r="G294"/>
  <c r="H294"/>
  <c r="I294"/>
  <c r="J294"/>
  <c r="K294"/>
  <c r="L294"/>
  <c r="M294"/>
  <c r="N294"/>
  <c r="X294"/>
  <c r="AA294"/>
  <c r="AB294"/>
  <c r="D295"/>
  <c r="E295"/>
  <c r="F295"/>
  <c r="G295"/>
  <c r="H295"/>
  <c r="I295"/>
  <c r="J295"/>
  <c r="K295"/>
  <c r="L295"/>
  <c r="M295"/>
  <c r="N295"/>
  <c r="R295"/>
  <c r="S295"/>
  <c r="T295"/>
  <c r="U295"/>
  <c r="V295"/>
  <c r="W295"/>
  <c r="X295"/>
  <c r="Y295"/>
  <c r="Z295"/>
  <c r="D296"/>
  <c r="E296"/>
  <c r="F296"/>
  <c r="G296"/>
  <c r="H296"/>
  <c r="I296"/>
  <c r="J296"/>
  <c r="K296"/>
  <c r="L296"/>
  <c r="M296"/>
  <c r="N296"/>
  <c r="O296"/>
  <c r="P296"/>
  <c r="Q296"/>
  <c r="R296"/>
  <c r="S296"/>
  <c r="T296"/>
  <c r="U296"/>
  <c r="V296"/>
  <c r="W296"/>
  <c r="X296"/>
  <c r="Y296"/>
  <c r="Z296"/>
  <c r="D297"/>
  <c r="E297"/>
  <c r="G297"/>
  <c r="H297"/>
  <c r="I297"/>
  <c r="J297"/>
  <c r="K297"/>
  <c r="L297"/>
  <c r="M297"/>
  <c r="N297"/>
  <c r="AA297"/>
  <c r="AB297"/>
  <c r="D298"/>
  <c r="E298"/>
  <c r="F298"/>
  <c r="G298"/>
  <c r="H298"/>
  <c r="I298"/>
  <c r="J298"/>
  <c r="K298"/>
  <c r="L298"/>
  <c r="M298"/>
  <c r="N298"/>
  <c r="R298"/>
  <c r="S298"/>
  <c r="T298"/>
  <c r="U298"/>
  <c r="V298"/>
  <c r="W298"/>
  <c r="X298"/>
  <c r="Y298"/>
  <c r="Z298"/>
  <c r="D299"/>
  <c r="E299"/>
  <c r="F299"/>
  <c r="G299"/>
  <c r="H299"/>
  <c r="I299"/>
  <c r="J299"/>
  <c r="K299"/>
  <c r="L299"/>
  <c r="M299"/>
  <c r="N299"/>
  <c r="O299"/>
  <c r="P299"/>
  <c r="Q299"/>
  <c r="R299"/>
  <c r="S299"/>
  <c r="T299"/>
  <c r="U299"/>
  <c r="V299"/>
  <c r="W299"/>
  <c r="X299"/>
  <c r="Y299"/>
  <c r="Z299"/>
  <c r="D300"/>
  <c r="E300"/>
  <c r="G300"/>
  <c r="H300"/>
  <c r="I300"/>
  <c r="J300"/>
  <c r="K300"/>
  <c r="L300"/>
  <c r="M300"/>
  <c r="N300"/>
  <c r="AA300"/>
  <c r="AB300"/>
  <c r="D301"/>
  <c r="E301"/>
  <c r="F301"/>
  <c r="G301"/>
  <c r="H301"/>
  <c r="I301"/>
  <c r="J301"/>
  <c r="K301"/>
  <c r="L301"/>
  <c r="M301"/>
  <c r="N301"/>
  <c r="R301"/>
  <c r="S301"/>
  <c r="T301"/>
  <c r="U301"/>
  <c r="V301"/>
  <c r="W301"/>
  <c r="X301"/>
  <c r="Y301"/>
  <c r="Z301"/>
  <c r="D302"/>
  <c r="E302"/>
  <c r="F302"/>
  <c r="G302"/>
  <c r="H302"/>
  <c r="I302"/>
  <c r="J302"/>
  <c r="K302"/>
  <c r="L302"/>
  <c r="M302"/>
  <c r="N302"/>
  <c r="O302"/>
  <c r="P302"/>
  <c r="Q302"/>
  <c r="R302"/>
  <c r="S302"/>
  <c r="T302"/>
  <c r="U302"/>
  <c r="V302"/>
  <c r="W302"/>
  <c r="X302"/>
  <c r="Y302"/>
  <c r="Z302"/>
  <c r="D303"/>
  <c r="E303"/>
  <c r="G303"/>
  <c r="H303"/>
  <c r="I303"/>
  <c r="J303"/>
  <c r="K303"/>
  <c r="L303"/>
  <c r="M303"/>
  <c r="N303"/>
  <c r="AA303"/>
  <c r="AB303"/>
  <c r="D304"/>
  <c r="E304"/>
  <c r="F304"/>
  <c r="G304"/>
  <c r="H304"/>
  <c r="I304"/>
  <c r="J304"/>
  <c r="K304"/>
  <c r="L304"/>
  <c r="M304"/>
  <c r="N304"/>
  <c r="R304"/>
  <c r="S304"/>
  <c r="T304"/>
  <c r="U304"/>
  <c r="V304"/>
  <c r="W304"/>
  <c r="X304"/>
  <c r="Y304"/>
  <c r="Z304"/>
  <c r="D305"/>
  <c r="E305"/>
  <c r="F305"/>
  <c r="G305"/>
  <c r="H305"/>
  <c r="I305"/>
  <c r="J305"/>
  <c r="K305"/>
  <c r="L305"/>
  <c r="M305"/>
  <c r="N305"/>
  <c r="O305"/>
  <c r="P305"/>
  <c r="Q305"/>
  <c r="R305"/>
  <c r="S305"/>
  <c r="T305"/>
  <c r="U305"/>
  <c r="V305"/>
  <c r="W305"/>
  <c r="X305"/>
  <c r="Y305"/>
  <c r="Z305"/>
  <c r="D306"/>
  <c r="E306"/>
  <c r="G306"/>
  <c r="H306"/>
  <c r="I306"/>
  <c r="J306"/>
  <c r="K306"/>
  <c r="L306"/>
  <c r="M306"/>
  <c r="N306"/>
  <c r="AA306"/>
  <c r="AB306"/>
  <c r="D307"/>
  <c r="E307"/>
  <c r="F307"/>
  <c r="G307"/>
  <c r="H307"/>
  <c r="I307"/>
  <c r="J307"/>
  <c r="K307"/>
  <c r="L307"/>
  <c r="M307"/>
  <c r="N307"/>
  <c r="R307"/>
  <c r="S307"/>
  <c r="T307"/>
  <c r="U307"/>
  <c r="V307"/>
  <c r="W307"/>
  <c r="X307"/>
  <c r="Y307"/>
  <c r="Z307"/>
  <c r="D308"/>
  <c r="E308"/>
  <c r="F308"/>
  <c r="G308"/>
  <c r="H308"/>
  <c r="I308"/>
  <c r="J308"/>
  <c r="K308"/>
  <c r="L308"/>
  <c r="M308"/>
  <c r="N308"/>
  <c r="O308"/>
  <c r="P308"/>
  <c r="Q308"/>
  <c r="R308"/>
  <c r="S308"/>
  <c r="T308"/>
  <c r="U308"/>
  <c r="V308"/>
  <c r="W308"/>
  <c r="X308"/>
  <c r="Y308"/>
  <c r="Z308"/>
  <c r="D309"/>
  <c r="E309"/>
  <c r="G309"/>
  <c r="H309"/>
  <c r="I309"/>
  <c r="J309"/>
  <c r="K309"/>
  <c r="L309"/>
  <c r="M309"/>
  <c r="N309"/>
  <c r="AA309"/>
  <c r="AB309"/>
  <c r="D310"/>
  <c r="E310"/>
  <c r="F310"/>
  <c r="G310"/>
  <c r="H310"/>
  <c r="I310"/>
  <c r="J310"/>
  <c r="K310"/>
  <c r="L310"/>
  <c r="M310"/>
  <c r="N310"/>
  <c r="O310"/>
  <c r="P310"/>
  <c r="Q310"/>
  <c r="R310"/>
  <c r="S310"/>
  <c r="T310"/>
  <c r="U310"/>
  <c r="V310"/>
  <c r="W310"/>
  <c r="X310"/>
  <c r="Y310"/>
  <c r="Z310"/>
  <c r="D311"/>
  <c r="E311"/>
  <c r="F311"/>
  <c r="G311"/>
  <c r="H311"/>
  <c r="I311"/>
  <c r="J311"/>
  <c r="K311"/>
  <c r="L311"/>
  <c r="M311"/>
  <c r="N311"/>
  <c r="O311"/>
  <c r="P311"/>
  <c r="Q311"/>
  <c r="R311"/>
  <c r="S311"/>
  <c r="T311"/>
  <c r="U311"/>
  <c r="V311"/>
  <c r="W311"/>
  <c r="X311"/>
  <c r="Y311"/>
  <c r="Z311"/>
  <c r="D312"/>
  <c r="E312"/>
  <c r="F312"/>
  <c r="G312"/>
  <c r="H312"/>
  <c r="I312"/>
  <c r="J312"/>
  <c r="K312"/>
  <c r="L312"/>
  <c r="M312"/>
  <c r="N312"/>
  <c r="O312"/>
  <c r="P312"/>
  <c r="Q312"/>
  <c r="R312"/>
  <c r="S312"/>
  <c r="T312"/>
  <c r="U312"/>
  <c r="V312"/>
  <c r="W312"/>
  <c r="X312"/>
  <c r="Y312"/>
  <c r="Z312"/>
  <c r="AA312"/>
  <c r="AB312"/>
  <c r="D313"/>
  <c r="E313"/>
  <c r="F313"/>
  <c r="G313"/>
  <c r="H313"/>
  <c r="I313"/>
  <c r="J313"/>
  <c r="K313"/>
  <c r="L313"/>
  <c r="M313"/>
  <c r="N313"/>
  <c r="O313"/>
  <c r="P313"/>
  <c r="Q313"/>
  <c r="R313"/>
  <c r="S313"/>
  <c r="T313"/>
  <c r="U313"/>
  <c r="V313"/>
  <c r="W313"/>
  <c r="X313"/>
  <c r="Y313"/>
  <c r="Z313"/>
  <c r="AA313"/>
  <c r="AB313"/>
  <c r="D314"/>
  <c r="E314"/>
  <c r="F314"/>
  <c r="G314"/>
  <c r="H314"/>
  <c r="I314"/>
  <c r="J314"/>
  <c r="K314"/>
  <c r="L314"/>
  <c r="M314"/>
  <c r="N314"/>
  <c r="O314"/>
  <c r="P314"/>
  <c r="Q314"/>
  <c r="R314"/>
  <c r="S314"/>
  <c r="T314"/>
  <c r="U314"/>
  <c r="V314"/>
  <c r="W314"/>
  <c r="X314"/>
  <c r="Y314"/>
  <c r="Z314"/>
  <c r="AA314"/>
  <c r="AB314"/>
  <c r="D315"/>
  <c r="E315"/>
  <c r="F315"/>
  <c r="G315"/>
  <c r="H315"/>
  <c r="I315"/>
  <c r="J315"/>
  <c r="K315"/>
  <c r="L315"/>
  <c r="M315"/>
  <c r="N315"/>
  <c r="O315"/>
  <c r="P315"/>
  <c r="Q315"/>
  <c r="R315"/>
  <c r="S315"/>
  <c r="T315"/>
  <c r="U315"/>
  <c r="V315"/>
  <c r="W315"/>
  <c r="X315"/>
  <c r="Y315"/>
  <c r="Z315"/>
  <c r="AA315"/>
  <c r="AB315"/>
  <c r="D316"/>
  <c r="E316"/>
  <c r="F316"/>
  <c r="G316"/>
  <c r="H316"/>
  <c r="I316"/>
  <c r="J316"/>
  <c r="K316"/>
  <c r="L316"/>
  <c r="M316"/>
  <c r="N316"/>
  <c r="O316"/>
  <c r="P316"/>
  <c r="Q316"/>
  <c r="R316"/>
  <c r="S316"/>
  <c r="T316"/>
  <c r="U316"/>
  <c r="V316"/>
  <c r="W316"/>
  <c r="X316"/>
  <c r="Y316"/>
  <c r="Z316"/>
  <c r="AA316"/>
  <c r="AB316"/>
  <c r="D317"/>
  <c r="E317"/>
  <c r="F317"/>
  <c r="G317"/>
  <c r="H317"/>
  <c r="I317"/>
  <c r="J317"/>
  <c r="K317"/>
  <c r="L317"/>
  <c r="M317"/>
  <c r="N317"/>
  <c r="O317"/>
  <c r="P317"/>
  <c r="Q317"/>
  <c r="R317"/>
  <c r="S317"/>
  <c r="T317"/>
  <c r="U317"/>
  <c r="V317"/>
  <c r="W317"/>
  <c r="X317"/>
  <c r="Y317"/>
  <c r="Z317"/>
  <c r="AA317"/>
  <c r="AB317"/>
  <c r="D318"/>
  <c r="E318"/>
  <c r="F318"/>
  <c r="G318"/>
  <c r="H318"/>
  <c r="I318"/>
  <c r="J318"/>
  <c r="K318"/>
  <c r="L318"/>
  <c r="M318"/>
  <c r="N318"/>
  <c r="O318"/>
  <c r="P318"/>
  <c r="Q318"/>
  <c r="R318"/>
  <c r="S318"/>
  <c r="T318"/>
  <c r="U318"/>
  <c r="V318"/>
  <c r="W318"/>
  <c r="X318"/>
  <c r="Y318"/>
  <c r="Z318"/>
  <c r="AA318"/>
  <c r="AB318"/>
  <c r="D319"/>
  <c r="E319"/>
  <c r="F319"/>
  <c r="G319"/>
  <c r="H319"/>
  <c r="I319"/>
  <c r="J319"/>
  <c r="K319"/>
  <c r="L319"/>
  <c r="M319"/>
  <c r="N319"/>
  <c r="O319"/>
  <c r="P319"/>
  <c r="Q319"/>
  <c r="R319"/>
  <c r="S319"/>
  <c r="T319"/>
  <c r="U319"/>
  <c r="V319"/>
  <c r="W319"/>
  <c r="X319"/>
  <c r="Y319"/>
  <c r="Z319"/>
  <c r="AA319"/>
  <c r="AB319"/>
  <c r="D320"/>
  <c r="E320"/>
  <c r="F320"/>
  <c r="G320"/>
  <c r="H320"/>
  <c r="I320"/>
  <c r="J320"/>
  <c r="K320"/>
  <c r="L320"/>
  <c r="M320"/>
  <c r="N320"/>
  <c r="O320"/>
  <c r="P320"/>
  <c r="Q320"/>
  <c r="R320"/>
  <c r="S320"/>
  <c r="T320"/>
  <c r="U320"/>
  <c r="V320"/>
  <c r="W320"/>
  <c r="X320"/>
  <c r="Y320"/>
  <c r="Z320"/>
  <c r="AA320"/>
  <c r="AB320"/>
  <c r="D198"/>
  <c r="E198"/>
  <c r="F198"/>
  <c r="G198"/>
  <c r="H198"/>
  <c r="I198"/>
  <c r="J198"/>
  <c r="K198"/>
  <c r="L198"/>
  <c r="M198"/>
  <c r="N198"/>
  <c r="O198"/>
  <c r="P198"/>
  <c r="Q198"/>
  <c r="R198"/>
  <c r="S198"/>
  <c r="T198"/>
  <c r="U198"/>
  <c r="V198"/>
  <c r="W198"/>
  <c r="X198"/>
  <c r="Y198"/>
  <c r="Z198"/>
  <c r="D199"/>
  <c r="E199"/>
  <c r="F199"/>
  <c r="G199"/>
  <c r="H199"/>
  <c r="I199"/>
  <c r="J199"/>
  <c r="K199"/>
  <c r="L199"/>
  <c r="M199"/>
  <c r="N199"/>
  <c r="O199"/>
  <c r="P199"/>
  <c r="Q199"/>
  <c r="R199"/>
  <c r="S199"/>
  <c r="T199"/>
  <c r="U199"/>
  <c r="V199"/>
  <c r="W199"/>
  <c r="X199"/>
  <c r="Y199"/>
  <c r="Z199"/>
  <c r="D200"/>
  <c r="E200"/>
  <c r="F200"/>
  <c r="G200"/>
  <c r="H200"/>
  <c r="I200"/>
  <c r="J200"/>
  <c r="K200"/>
  <c r="L200"/>
  <c r="M200"/>
  <c r="N200"/>
  <c r="O200"/>
  <c r="P200"/>
  <c r="Q200"/>
  <c r="R200"/>
  <c r="S200"/>
  <c r="T200"/>
  <c r="U200"/>
  <c r="V200"/>
  <c r="W200"/>
  <c r="X200"/>
  <c r="Y200"/>
  <c r="Z200"/>
  <c r="D201"/>
  <c r="E201"/>
  <c r="F201"/>
  <c r="G201"/>
  <c r="H201"/>
  <c r="I201"/>
  <c r="J201"/>
  <c r="K201"/>
  <c r="L201"/>
  <c r="M201"/>
  <c r="N201"/>
  <c r="O201"/>
  <c r="P201"/>
  <c r="Q201"/>
  <c r="R201"/>
  <c r="S201"/>
  <c r="T201"/>
  <c r="U201"/>
  <c r="V201"/>
  <c r="W201"/>
  <c r="X201"/>
  <c r="Y201"/>
  <c r="Z201"/>
  <c r="D202"/>
  <c r="E202"/>
  <c r="F202"/>
  <c r="G202"/>
  <c r="H202"/>
  <c r="I202"/>
  <c r="J202"/>
  <c r="K202"/>
  <c r="L202"/>
  <c r="M202"/>
  <c r="N202"/>
  <c r="O202"/>
  <c r="P202"/>
  <c r="Q202"/>
  <c r="R202"/>
  <c r="S202"/>
  <c r="T202"/>
  <c r="U202"/>
  <c r="V202"/>
  <c r="W202"/>
  <c r="X202"/>
  <c r="Y202"/>
  <c r="Z202"/>
  <c r="D203"/>
  <c r="E203"/>
  <c r="G203"/>
  <c r="H203"/>
  <c r="I203"/>
  <c r="J203"/>
  <c r="K203"/>
  <c r="L203"/>
  <c r="M203"/>
  <c r="N203"/>
  <c r="Y203"/>
  <c r="Z203"/>
  <c r="AA203"/>
  <c r="AB203"/>
  <c r="D204"/>
  <c r="E204"/>
  <c r="F204"/>
  <c r="G204"/>
  <c r="H204"/>
  <c r="I204"/>
  <c r="J204"/>
  <c r="K204"/>
  <c r="L204"/>
  <c r="M204"/>
  <c r="N204"/>
  <c r="O204"/>
  <c r="P204"/>
  <c r="Q204"/>
  <c r="R204"/>
  <c r="S204"/>
  <c r="T204"/>
  <c r="U204"/>
  <c r="V204"/>
  <c r="W204"/>
  <c r="X204"/>
  <c r="Y204"/>
  <c r="Z204"/>
  <c r="D205"/>
  <c r="E205"/>
  <c r="F205"/>
  <c r="G205"/>
  <c r="H205"/>
  <c r="I205"/>
  <c r="J205"/>
  <c r="K205"/>
  <c r="L205"/>
  <c r="M205"/>
  <c r="N205"/>
  <c r="O205"/>
  <c r="P205"/>
  <c r="Q205"/>
  <c r="R205"/>
  <c r="S205"/>
  <c r="T205"/>
  <c r="U205"/>
  <c r="V205"/>
  <c r="W205"/>
  <c r="X205"/>
  <c r="Y205"/>
  <c r="Z205"/>
  <c r="D206"/>
  <c r="E206"/>
  <c r="F206"/>
  <c r="G206"/>
  <c r="H206"/>
  <c r="I206"/>
  <c r="J206"/>
  <c r="K206"/>
  <c r="L206"/>
  <c r="M206"/>
  <c r="N206"/>
  <c r="O206"/>
  <c r="P206"/>
  <c r="Q206"/>
  <c r="R206"/>
  <c r="S206"/>
  <c r="T206"/>
  <c r="U206"/>
  <c r="V206"/>
  <c r="W206"/>
  <c r="X206"/>
  <c r="Y206"/>
  <c r="Z206"/>
  <c r="D207"/>
  <c r="E207"/>
  <c r="F207"/>
  <c r="G207"/>
  <c r="H207"/>
  <c r="I207"/>
  <c r="J207"/>
  <c r="K207"/>
  <c r="L207"/>
  <c r="M207"/>
  <c r="N207"/>
  <c r="O207"/>
  <c r="P207"/>
  <c r="Q207"/>
  <c r="R207"/>
  <c r="S207"/>
  <c r="T207"/>
  <c r="U207"/>
  <c r="V207"/>
  <c r="W207"/>
  <c r="X207"/>
  <c r="Y207"/>
  <c r="Z207"/>
  <c r="D208"/>
  <c r="E208"/>
  <c r="F208"/>
  <c r="G208"/>
  <c r="H208"/>
  <c r="I208"/>
  <c r="J208"/>
  <c r="K208"/>
  <c r="L208"/>
  <c r="M208"/>
  <c r="N208"/>
  <c r="O208"/>
  <c r="P208"/>
  <c r="Q208"/>
  <c r="R208"/>
  <c r="S208"/>
  <c r="T208"/>
  <c r="U208"/>
  <c r="V208"/>
  <c r="W208"/>
  <c r="X208"/>
  <c r="Y208"/>
  <c r="Z208"/>
  <c r="D209"/>
  <c r="E209"/>
  <c r="G209"/>
  <c r="H209"/>
  <c r="I209"/>
  <c r="J209"/>
  <c r="K209"/>
  <c r="L209"/>
  <c r="M209"/>
  <c r="N209"/>
  <c r="AA209"/>
  <c r="AB209"/>
  <c r="D210"/>
  <c r="E210"/>
  <c r="F210"/>
  <c r="G210"/>
  <c r="H210"/>
  <c r="I210"/>
  <c r="J210"/>
  <c r="K210"/>
  <c r="L210"/>
  <c r="M210"/>
  <c r="N210"/>
  <c r="O210"/>
  <c r="P210"/>
  <c r="Q210"/>
  <c r="R210"/>
  <c r="S210"/>
  <c r="T210"/>
  <c r="U210"/>
  <c r="V210"/>
  <c r="W210"/>
  <c r="X210"/>
  <c r="Y210"/>
  <c r="Z210"/>
  <c r="D211"/>
  <c r="E211"/>
  <c r="F211"/>
  <c r="G211"/>
  <c r="H211"/>
  <c r="I211"/>
  <c r="J211"/>
  <c r="K211"/>
  <c r="L211"/>
  <c r="M211"/>
  <c r="N211"/>
  <c r="O211"/>
  <c r="P211"/>
  <c r="Q211"/>
  <c r="R211"/>
  <c r="S211"/>
  <c r="T211"/>
  <c r="U211"/>
  <c r="V211"/>
  <c r="W211"/>
  <c r="X211"/>
  <c r="Y211"/>
  <c r="Z211"/>
  <c r="D212"/>
  <c r="E212"/>
  <c r="F212"/>
  <c r="G212"/>
  <c r="H212"/>
  <c r="I212"/>
  <c r="J212"/>
  <c r="K212"/>
  <c r="L212"/>
  <c r="M212"/>
  <c r="N212"/>
  <c r="O212"/>
  <c r="P212"/>
  <c r="Q212"/>
  <c r="R212"/>
  <c r="S212"/>
  <c r="T212"/>
  <c r="U212"/>
  <c r="V212"/>
  <c r="W212"/>
  <c r="X212"/>
  <c r="Y212"/>
  <c r="Z212"/>
  <c r="D213"/>
  <c r="E213"/>
  <c r="F213"/>
  <c r="G213"/>
  <c r="H213"/>
  <c r="I213"/>
  <c r="J213"/>
  <c r="K213"/>
  <c r="L213"/>
  <c r="M213"/>
  <c r="N213"/>
  <c r="O213"/>
  <c r="P213"/>
  <c r="Q213"/>
  <c r="R213"/>
  <c r="S213"/>
  <c r="T213"/>
  <c r="U213"/>
  <c r="V213"/>
  <c r="W213"/>
  <c r="X213"/>
  <c r="Y213"/>
  <c r="Z213"/>
  <c r="D214"/>
  <c r="E214"/>
  <c r="G214"/>
  <c r="H214"/>
  <c r="I214"/>
  <c r="J214"/>
  <c r="K214"/>
  <c r="L214"/>
  <c r="M214"/>
  <c r="N214"/>
  <c r="Z214"/>
  <c r="AA214"/>
  <c r="AB214"/>
  <c r="D215"/>
  <c r="E215"/>
  <c r="F215"/>
  <c r="G215"/>
  <c r="H215"/>
  <c r="I215"/>
  <c r="J215"/>
  <c r="K215"/>
  <c r="L215"/>
  <c r="M215"/>
  <c r="N215"/>
  <c r="O215"/>
  <c r="P215"/>
  <c r="Q215"/>
  <c r="R215"/>
  <c r="S215"/>
  <c r="T215"/>
  <c r="U215"/>
  <c r="V215"/>
  <c r="W215"/>
  <c r="X215"/>
  <c r="Y215"/>
  <c r="Z215"/>
  <c r="D216"/>
  <c r="E216"/>
  <c r="F216"/>
  <c r="G216"/>
  <c r="H216"/>
  <c r="I216"/>
  <c r="J216"/>
  <c r="K216"/>
  <c r="L216"/>
  <c r="M216"/>
  <c r="N216"/>
  <c r="O216"/>
  <c r="P216"/>
  <c r="Q216"/>
  <c r="R216"/>
  <c r="S216"/>
  <c r="T216"/>
  <c r="U216"/>
  <c r="V216"/>
  <c r="W216"/>
  <c r="X216"/>
  <c r="Y216"/>
  <c r="Z216"/>
  <c r="D217"/>
  <c r="E217"/>
  <c r="F217"/>
  <c r="G217"/>
  <c r="H217"/>
  <c r="I217"/>
  <c r="J217"/>
  <c r="K217"/>
  <c r="L217"/>
  <c r="M217"/>
  <c r="N217"/>
  <c r="O217"/>
  <c r="P217"/>
  <c r="Q217"/>
  <c r="R217"/>
  <c r="S217"/>
  <c r="T217"/>
  <c r="U217"/>
  <c r="V217"/>
  <c r="W217"/>
  <c r="X217"/>
  <c r="Y217"/>
  <c r="Z217"/>
  <c r="D218"/>
  <c r="E218"/>
  <c r="F218"/>
  <c r="G218"/>
  <c r="H218"/>
  <c r="I218"/>
  <c r="J218"/>
  <c r="K218"/>
  <c r="L218"/>
  <c r="M218"/>
  <c r="N218"/>
  <c r="O218"/>
  <c r="P218"/>
  <c r="Q218"/>
  <c r="R218"/>
  <c r="S218"/>
  <c r="T218"/>
  <c r="U218"/>
  <c r="V218"/>
  <c r="W218"/>
  <c r="X218"/>
  <c r="Y218"/>
  <c r="Z218"/>
  <c r="D219"/>
  <c r="E219"/>
  <c r="G219"/>
  <c r="H219"/>
  <c r="I219"/>
  <c r="J219"/>
  <c r="K219"/>
  <c r="L219"/>
  <c r="M219"/>
  <c r="N219"/>
  <c r="X219"/>
  <c r="Y219"/>
  <c r="AA219"/>
  <c r="AB219"/>
  <c r="D220"/>
  <c r="E220"/>
  <c r="F220"/>
  <c r="G220"/>
  <c r="H220"/>
  <c r="I220"/>
  <c r="J220"/>
  <c r="K220"/>
  <c r="L220"/>
  <c r="M220"/>
  <c r="N220"/>
  <c r="O220"/>
  <c r="P220"/>
  <c r="Q220"/>
  <c r="R220"/>
  <c r="S220"/>
  <c r="T220"/>
  <c r="U220"/>
  <c r="V220"/>
  <c r="W220"/>
  <c r="X220"/>
  <c r="Y220"/>
  <c r="Z220"/>
  <c r="D221"/>
  <c r="E221"/>
  <c r="F221"/>
  <c r="G221"/>
  <c r="H221"/>
  <c r="I221"/>
  <c r="J221"/>
  <c r="K221"/>
  <c r="L221"/>
  <c r="M221"/>
  <c r="N221"/>
  <c r="O221"/>
  <c r="P221"/>
  <c r="Q221"/>
  <c r="R221"/>
  <c r="S221"/>
  <c r="T221"/>
  <c r="U221"/>
  <c r="V221"/>
  <c r="W221"/>
  <c r="X221"/>
  <c r="Y221"/>
  <c r="Z221"/>
  <c r="D222"/>
  <c r="E222"/>
  <c r="F222"/>
  <c r="G222"/>
  <c r="H222"/>
  <c r="I222"/>
  <c r="J222"/>
  <c r="K222"/>
  <c r="L222"/>
  <c r="M222"/>
  <c r="N222"/>
  <c r="O222"/>
  <c r="P222"/>
  <c r="Q222"/>
  <c r="R222"/>
  <c r="S222"/>
  <c r="T222"/>
  <c r="U222"/>
  <c r="V222"/>
  <c r="W222"/>
  <c r="X222"/>
  <c r="Y222"/>
  <c r="Z222"/>
  <c r="D223"/>
  <c r="E223"/>
  <c r="F223"/>
  <c r="G223"/>
  <c r="H223"/>
  <c r="I223"/>
  <c r="J223"/>
  <c r="K223"/>
  <c r="L223"/>
  <c r="M223"/>
  <c r="N223"/>
  <c r="O223"/>
  <c r="P223"/>
  <c r="Q223"/>
  <c r="R223"/>
  <c r="S223"/>
  <c r="T223"/>
  <c r="U223"/>
  <c r="V223"/>
  <c r="W223"/>
  <c r="X223"/>
  <c r="Y223"/>
  <c r="Z223"/>
  <c r="D224"/>
  <c r="E224"/>
  <c r="G224"/>
  <c r="H224"/>
  <c r="I224"/>
  <c r="J224"/>
  <c r="K224"/>
  <c r="L224"/>
  <c r="M224"/>
  <c r="N224"/>
  <c r="AA224"/>
  <c r="AB224"/>
  <c r="D225"/>
  <c r="E225"/>
  <c r="F225"/>
  <c r="G225"/>
  <c r="H225"/>
  <c r="I225"/>
  <c r="J225"/>
  <c r="K225"/>
  <c r="L225"/>
  <c r="M225"/>
  <c r="N225"/>
  <c r="R225"/>
  <c r="S225"/>
  <c r="T225"/>
  <c r="U225"/>
  <c r="V225"/>
  <c r="W225"/>
  <c r="X225"/>
  <c r="Y225"/>
  <c r="Z225"/>
  <c r="D226"/>
  <c r="E226"/>
  <c r="F226"/>
  <c r="G226"/>
  <c r="H226"/>
  <c r="I226"/>
  <c r="J226"/>
  <c r="K226"/>
  <c r="L226"/>
  <c r="M226"/>
  <c r="N226"/>
  <c r="O226"/>
  <c r="P226"/>
  <c r="Q226"/>
  <c r="R226"/>
  <c r="S226"/>
  <c r="T226"/>
  <c r="U226"/>
  <c r="V226"/>
  <c r="W226"/>
  <c r="X226"/>
  <c r="Y226"/>
  <c r="Z226"/>
  <c r="D227"/>
  <c r="E227"/>
  <c r="G227"/>
  <c r="H227"/>
  <c r="I227"/>
  <c r="J227"/>
  <c r="K227"/>
  <c r="L227"/>
  <c r="M227"/>
  <c r="N227"/>
  <c r="Z227"/>
  <c r="AA227"/>
  <c r="AB227"/>
  <c r="D228"/>
  <c r="E228"/>
  <c r="F228"/>
  <c r="G228"/>
  <c r="H228"/>
  <c r="I228"/>
  <c r="J228"/>
  <c r="K228"/>
  <c r="L228"/>
  <c r="M228"/>
  <c r="N228"/>
  <c r="R228"/>
  <c r="S228"/>
  <c r="T228"/>
  <c r="U228"/>
  <c r="V228"/>
  <c r="W228"/>
  <c r="X228"/>
  <c r="Y228"/>
  <c r="Z228"/>
  <c r="D229"/>
  <c r="E229"/>
  <c r="F229"/>
  <c r="G229"/>
  <c r="H229"/>
  <c r="I229"/>
  <c r="J229"/>
  <c r="K229"/>
  <c r="L229"/>
  <c r="M229"/>
  <c r="N229"/>
  <c r="O229"/>
  <c r="P229"/>
  <c r="Q229"/>
  <c r="R229"/>
  <c r="S229"/>
  <c r="T229"/>
  <c r="U229"/>
  <c r="V229"/>
  <c r="W229"/>
  <c r="X229"/>
  <c r="Y229"/>
  <c r="Z229"/>
  <c r="D230"/>
  <c r="E230"/>
  <c r="G230"/>
  <c r="H230"/>
  <c r="I230"/>
  <c r="J230"/>
  <c r="K230"/>
  <c r="L230"/>
  <c r="M230"/>
  <c r="N230"/>
  <c r="X230"/>
  <c r="Y230"/>
  <c r="AA230"/>
  <c r="AB230"/>
  <c r="D231"/>
  <c r="E231"/>
  <c r="F231"/>
  <c r="G231"/>
  <c r="H231"/>
  <c r="I231"/>
  <c r="J231"/>
  <c r="K231"/>
  <c r="L231"/>
  <c r="M231"/>
  <c r="N231"/>
  <c r="O231"/>
  <c r="P231"/>
  <c r="Q231"/>
  <c r="R231"/>
  <c r="S231"/>
  <c r="T231"/>
  <c r="U231"/>
  <c r="V231"/>
  <c r="W231"/>
  <c r="X231"/>
  <c r="Y231"/>
  <c r="Z231"/>
  <c r="D232"/>
  <c r="E232"/>
  <c r="F232"/>
  <c r="G232"/>
  <c r="H232"/>
  <c r="I232"/>
  <c r="J232"/>
  <c r="K232"/>
  <c r="L232"/>
  <c r="M232"/>
  <c r="N232"/>
  <c r="O232"/>
  <c r="P232"/>
  <c r="Q232"/>
  <c r="R232"/>
  <c r="S232"/>
  <c r="T232"/>
  <c r="U232"/>
  <c r="V232"/>
  <c r="W232"/>
  <c r="X232"/>
  <c r="Y232"/>
  <c r="Z232"/>
  <c r="D233"/>
  <c r="E233"/>
  <c r="G233"/>
  <c r="H233"/>
  <c r="I233"/>
  <c r="J233"/>
  <c r="K233"/>
  <c r="L233"/>
  <c r="M233"/>
  <c r="N233"/>
  <c r="AA233"/>
  <c r="AB233"/>
  <c r="D234"/>
  <c r="E234"/>
  <c r="F234"/>
  <c r="G234"/>
  <c r="H234"/>
  <c r="I234"/>
  <c r="J234"/>
  <c r="K234"/>
  <c r="L234"/>
  <c r="M234"/>
  <c r="N234"/>
  <c r="R234"/>
  <c r="S234"/>
  <c r="T234"/>
  <c r="U234"/>
  <c r="V234"/>
  <c r="W234"/>
  <c r="X234"/>
  <c r="Y234"/>
  <c r="Z234"/>
  <c r="D235"/>
  <c r="E235"/>
  <c r="F235"/>
  <c r="G235"/>
  <c r="H235"/>
  <c r="I235"/>
  <c r="J235"/>
  <c r="K235"/>
  <c r="L235"/>
  <c r="M235"/>
  <c r="N235"/>
  <c r="O235"/>
  <c r="P235"/>
  <c r="Q235"/>
  <c r="R235"/>
  <c r="S235"/>
  <c r="T235"/>
  <c r="U235"/>
  <c r="V235"/>
  <c r="W235"/>
  <c r="X235"/>
  <c r="Y235"/>
  <c r="Z235"/>
  <c r="D236"/>
  <c r="E236"/>
  <c r="G236"/>
  <c r="H236"/>
  <c r="I236"/>
  <c r="J236"/>
  <c r="K236"/>
  <c r="L236"/>
  <c r="M236"/>
  <c r="N236"/>
  <c r="Y236"/>
  <c r="Z236"/>
  <c r="AA236"/>
  <c r="AB236"/>
  <c r="D237"/>
  <c r="E237"/>
  <c r="F237"/>
  <c r="G237"/>
  <c r="H237"/>
  <c r="I237"/>
  <c r="J237"/>
  <c r="K237"/>
  <c r="L237"/>
  <c r="M237"/>
  <c r="N237"/>
  <c r="R237"/>
  <c r="S237"/>
  <c r="T237"/>
  <c r="U237"/>
  <c r="V237"/>
  <c r="W237"/>
  <c r="X237"/>
  <c r="Y237"/>
  <c r="Z237"/>
  <c r="D238"/>
  <c r="E238"/>
  <c r="F238"/>
  <c r="G238"/>
  <c r="H238"/>
  <c r="I238"/>
  <c r="J238"/>
  <c r="K238"/>
  <c r="L238"/>
  <c r="M238"/>
  <c r="N238"/>
  <c r="O238"/>
  <c r="P238"/>
  <c r="Q238"/>
  <c r="R238"/>
  <c r="S238"/>
  <c r="T238"/>
  <c r="U238"/>
  <c r="V238"/>
  <c r="W238"/>
  <c r="X238"/>
  <c r="Y238"/>
  <c r="Z238"/>
  <c r="D239"/>
  <c r="E239"/>
  <c r="G239"/>
  <c r="H239"/>
  <c r="I239"/>
  <c r="J239"/>
  <c r="K239"/>
  <c r="L239"/>
  <c r="M239"/>
  <c r="N239"/>
  <c r="AA239"/>
  <c r="AB239"/>
  <c r="D240"/>
  <c r="E240"/>
  <c r="F240"/>
  <c r="G240"/>
  <c r="H240"/>
  <c r="I240"/>
  <c r="J240"/>
  <c r="K240"/>
  <c r="L240"/>
  <c r="M240"/>
  <c r="N240"/>
  <c r="O240"/>
  <c r="P240"/>
  <c r="Q240"/>
  <c r="R240"/>
  <c r="S240"/>
  <c r="T240"/>
  <c r="U240"/>
  <c r="V240"/>
  <c r="W240"/>
  <c r="X240"/>
  <c r="Y240"/>
  <c r="Z240"/>
  <c r="D241"/>
  <c r="E241"/>
  <c r="F241"/>
  <c r="G241"/>
  <c r="H241"/>
  <c r="I241"/>
  <c r="J241"/>
  <c r="K241"/>
  <c r="L241"/>
  <c r="M241"/>
  <c r="N241"/>
  <c r="O241"/>
  <c r="P241"/>
  <c r="Q241"/>
  <c r="R241"/>
  <c r="S241"/>
  <c r="T241"/>
  <c r="U241"/>
  <c r="V241"/>
  <c r="W241"/>
  <c r="X241"/>
  <c r="Y241"/>
  <c r="Z241"/>
  <c r="D242"/>
  <c r="E242"/>
  <c r="F242"/>
  <c r="G242"/>
  <c r="H242"/>
  <c r="I242"/>
  <c r="J242"/>
  <c r="K242"/>
  <c r="L242"/>
  <c r="M242"/>
  <c r="N242"/>
  <c r="O242"/>
  <c r="P242"/>
  <c r="Q242"/>
  <c r="R242"/>
  <c r="S242"/>
  <c r="T242"/>
  <c r="U242"/>
  <c r="V242"/>
  <c r="W242"/>
  <c r="X242"/>
  <c r="Y242"/>
  <c r="Z242"/>
  <c r="D243"/>
  <c r="E243"/>
  <c r="F243"/>
  <c r="G243"/>
  <c r="H243"/>
  <c r="I243"/>
  <c r="J243"/>
  <c r="K243"/>
  <c r="L243"/>
  <c r="M243"/>
  <c r="N243"/>
  <c r="O243"/>
  <c r="P243"/>
  <c r="Q243"/>
  <c r="R243"/>
  <c r="S243"/>
  <c r="T243"/>
  <c r="U243"/>
  <c r="V243"/>
  <c r="W243"/>
  <c r="X243"/>
  <c r="Y243"/>
  <c r="Z243"/>
  <c r="D244"/>
  <c r="E244"/>
  <c r="G244"/>
  <c r="H244"/>
  <c r="I244"/>
  <c r="J244"/>
  <c r="K244"/>
  <c r="L244"/>
  <c r="M244"/>
  <c r="N244"/>
  <c r="AA244"/>
  <c r="AB244"/>
  <c r="D245"/>
  <c r="E245"/>
  <c r="F245"/>
  <c r="G245"/>
  <c r="H245"/>
  <c r="I245"/>
  <c r="J245"/>
  <c r="K245"/>
  <c r="L245"/>
  <c r="M245"/>
  <c r="N245"/>
  <c r="O245"/>
  <c r="P245"/>
  <c r="Q245"/>
  <c r="R245"/>
  <c r="S245"/>
  <c r="T245"/>
  <c r="U245"/>
  <c r="V245"/>
  <c r="W245"/>
  <c r="X245"/>
  <c r="Y245"/>
  <c r="Z245"/>
  <c r="D246"/>
  <c r="E246"/>
  <c r="F246"/>
  <c r="G246"/>
  <c r="H246"/>
  <c r="I246"/>
  <c r="J246"/>
  <c r="K246"/>
  <c r="L246"/>
  <c r="M246"/>
  <c r="N246"/>
  <c r="O246"/>
  <c r="P246"/>
  <c r="Q246"/>
  <c r="R246"/>
  <c r="S246"/>
  <c r="T246"/>
  <c r="U246"/>
  <c r="V246"/>
  <c r="W246"/>
  <c r="X246"/>
  <c r="Y246"/>
  <c r="Z246"/>
  <c r="D247"/>
  <c r="E247"/>
  <c r="G247"/>
  <c r="H247"/>
  <c r="I247"/>
  <c r="J247"/>
  <c r="K247"/>
  <c r="L247"/>
  <c r="M247"/>
  <c r="N247"/>
  <c r="X247"/>
  <c r="Y247"/>
  <c r="Z247"/>
  <c r="AA247"/>
  <c r="AB247"/>
  <c r="D248"/>
  <c r="E248"/>
  <c r="F248"/>
  <c r="G248"/>
  <c r="H248"/>
  <c r="I248"/>
  <c r="J248"/>
  <c r="K248"/>
  <c r="L248"/>
  <c r="M248"/>
  <c r="N248"/>
  <c r="O248"/>
  <c r="P248"/>
  <c r="Q248"/>
  <c r="R248"/>
  <c r="S248"/>
  <c r="T248"/>
  <c r="U248"/>
  <c r="V248"/>
  <c r="W248"/>
  <c r="X248"/>
  <c r="Y248"/>
  <c r="Z248"/>
  <c r="D249"/>
  <c r="E249"/>
  <c r="F249"/>
  <c r="G249"/>
  <c r="H249"/>
  <c r="I249"/>
  <c r="J249"/>
  <c r="K249"/>
  <c r="L249"/>
  <c r="M249"/>
  <c r="N249"/>
  <c r="O249"/>
  <c r="P249"/>
  <c r="Q249"/>
  <c r="R249"/>
  <c r="S249"/>
  <c r="T249"/>
  <c r="U249"/>
  <c r="V249"/>
  <c r="W249"/>
  <c r="X249"/>
  <c r="Y249"/>
  <c r="Z249"/>
  <c r="D250"/>
  <c r="E250"/>
  <c r="F250"/>
  <c r="G250"/>
  <c r="H250"/>
  <c r="I250"/>
  <c r="J250"/>
  <c r="K250"/>
  <c r="L250"/>
  <c r="M250"/>
  <c r="N250"/>
  <c r="O250"/>
  <c r="P250"/>
  <c r="Q250"/>
  <c r="R250"/>
  <c r="S250"/>
  <c r="T250"/>
  <c r="U250"/>
  <c r="V250"/>
  <c r="W250"/>
  <c r="X250"/>
  <c r="Y250"/>
  <c r="Z250"/>
  <c r="D251"/>
  <c r="E251"/>
  <c r="F251"/>
  <c r="G251"/>
  <c r="H251"/>
  <c r="I251"/>
  <c r="J251"/>
  <c r="K251"/>
  <c r="L251"/>
  <c r="M251"/>
  <c r="N251"/>
  <c r="O251"/>
  <c r="P251"/>
  <c r="Q251"/>
  <c r="R251"/>
  <c r="S251"/>
  <c r="T251"/>
  <c r="U251"/>
  <c r="V251"/>
  <c r="W251"/>
  <c r="X251"/>
  <c r="Y251"/>
  <c r="Z251"/>
  <c r="D252"/>
  <c r="E252"/>
  <c r="G252"/>
  <c r="H252"/>
  <c r="I252"/>
  <c r="J252"/>
  <c r="K252"/>
  <c r="L252"/>
  <c r="M252"/>
  <c r="N252"/>
  <c r="AA252"/>
  <c r="AB252"/>
  <c r="D253"/>
  <c r="E253"/>
  <c r="F253"/>
  <c r="G253"/>
  <c r="H253"/>
  <c r="I253"/>
  <c r="J253"/>
  <c r="K253"/>
  <c r="L253"/>
  <c r="M253"/>
  <c r="N253"/>
  <c r="O253"/>
  <c r="P253"/>
  <c r="Q253"/>
  <c r="R253"/>
  <c r="S253"/>
  <c r="T253"/>
  <c r="U253"/>
  <c r="V253"/>
  <c r="W253"/>
  <c r="X253"/>
  <c r="Y253"/>
  <c r="Z253"/>
  <c r="D254"/>
  <c r="E254"/>
  <c r="F254"/>
  <c r="G254"/>
  <c r="H254"/>
  <c r="I254"/>
  <c r="J254"/>
  <c r="K254"/>
  <c r="L254"/>
  <c r="M254"/>
  <c r="N254"/>
  <c r="O254"/>
  <c r="P254"/>
  <c r="Q254"/>
  <c r="R254"/>
  <c r="S254"/>
  <c r="T254"/>
  <c r="U254"/>
  <c r="V254"/>
  <c r="W254"/>
  <c r="X254"/>
  <c r="Y254"/>
  <c r="Z254"/>
  <c r="D255"/>
  <c r="E255"/>
  <c r="G255"/>
  <c r="H255"/>
  <c r="I255"/>
  <c r="J255"/>
  <c r="K255"/>
  <c r="L255"/>
  <c r="M255"/>
  <c r="N255"/>
  <c r="Z255"/>
  <c r="AA255"/>
  <c r="AB255"/>
  <c r="D256"/>
  <c r="E256"/>
  <c r="F256"/>
  <c r="G256"/>
  <c r="H256"/>
  <c r="I256"/>
  <c r="J256"/>
  <c r="K256"/>
  <c r="L256"/>
  <c r="M256"/>
  <c r="N256"/>
  <c r="O256"/>
  <c r="P256"/>
  <c r="Q256"/>
  <c r="R256"/>
  <c r="S256"/>
  <c r="T256"/>
  <c r="U256"/>
  <c r="V256"/>
  <c r="W256"/>
  <c r="X256"/>
  <c r="Y256"/>
  <c r="Z256"/>
  <c r="D257"/>
  <c r="E257"/>
  <c r="F257"/>
  <c r="G257"/>
  <c r="H257"/>
  <c r="I257"/>
  <c r="J257"/>
  <c r="K257"/>
  <c r="L257"/>
  <c r="M257"/>
  <c r="N257"/>
  <c r="O257"/>
  <c r="P257"/>
  <c r="Q257"/>
  <c r="R257"/>
  <c r="S257"/>
  <c r="T257"/>
  <c r="U257"/>
  <c r="V257"/>
  <c r="W257"/>
  <c r="X257"/>
  <c r="Y257"/>
  <c r="Z257"/>
  <c r="D258"/>
  <c r="E258"/>
  <c r="G258"/>
  <c r="H258"/>
  <c r="I258"/>
  <c r="J258"/>
  <c r="K258"/>
  <c r="L258"/>
  <c r="M258"/>
  <c r="N258"/>
  <c r="AA258"/>
  <c r="AB258"/>
  <c r="D259"/>
  <c r="E259"/>
  <c r="F259"/>
  <c r="G259"/>
  <c r="H259"/>
  <c r="I259"/>
  <c r="J259"/>
  <c r="K259"/>
  <c r="L259"/>
  <c r="M259"/>
  <c r="N259"/>
  <c r="O259"/>
  <c r="P259"/>
  <c r="Q259"/>
  <c r="R259"/>
  <c r="S259"/>
  <c r="T259"/>
  <c r="U259"/>
  <c r="V259"/>
  <c r="W259"/>
  <c r="X259"/>
  <c r="Y259"/>
  <c r="Z259"/>
  <c r="D260"/>
  <c r="E260"/>
  <c r="F260"/>
  <c r="G260"/>
  <c r="H260"/>
  <c r="I260"/>
  <c r="J260"/>
  <c r="K260"/>
  <c r="L260"/>
  <c r="M260"/>
  <c r="N260"/>
  <c r="O260"/>
  <c r="P260"/>
  <c r="Q260"/>
  <c r="R260"/>
  <c r="S260"/>
  <c r="T260"/>
  <c r="U260"/>
  <c r="V260"/>
  <c r="W260"/>
  <c r="X260"/>
  <c r="Y260"/>
  <c r="Z260"/>
  <c r="D261"/>
  <c r="E261"/>
  <c r="G261"/>
  <c r="H261"/>
  <c r="I261"/>
  <c r="J261"/>
  <c r="K261"/>
  <c r="L261"/>
  <c r="M261"/>
  <c r="N261"/>
  <c r="Y261"/>
  <c r="AA261"/>
  <c r="AB261"/>
  <c r="D262"/>
  <c r="E262"/>
  <c r="F262"/>
  <c r="G262"/>
  <c r="H262"/>
  <c r="I262"/>
  <c r="J262"/>
  <c r="K262"/>
  <c r="L262"/>
  <c r="M262"/>
  <c r="N262"/>
  <c r="O262"/>
  <c r="P262"/>
  <c r="Q262"/>
  <c r="R262"/>
  <c r="S262"/>
  <c r="T262"/>
  <c r="U262"/>
  <c r="V262"/>
  <c r="W262"/>
  <c r="X262"/>
  <c r="Y262"/>
  <c r="Z262"/>
  <c r="D263"/>
  <c r="E263"/>
  <c r="F263"/>
  <c r="G263"/>
  <c r="H263"/>
  <c r="I263"/>
  <c r="J263"/>
  <c r="K263"/>
  <c r="L263"/>
  <c r="M263"/>
  <c r="N263"/>
  <c r="O263"/>
  <c r="P263"/>
  <c r="Q263"/>
  <c r="R263"/>
  <c r="S263"/>
  <c r="T263"/>
  <c r="U263"/>
  <c r="V263"/>
  <c r="W263"/>
  <c r="X263"/>
  <c r="Y263"/>
  <c r="Z263"/>
  <c r="D264"/>
  <c r="E264"/>
  <c r="G264"/>
  <c r="H264"/>
  <c r="I264"/>
  <c r="J264"/>
  <c r="K264"/>
  <c r="L264"/>
  <c r="M264"/>
  <c r="N264"/>
  <c r="AA264"/>
  <c r="AB264"/>
  <c r="D265"/>
  <c r="E265"/>
  <c r="F265"/>
  <c r="G265"/>
  <c r="H265"/>
  <c r="I265"/>
  <c r="J265"/>
  <c r="K265"/>
  <c r="L265"/>
  <c r="M265"/>
  <c r="N265"/>
  <c r="O265"/>
  <c r="P265"/>
  <c r="Q265"/>
  <c r="R265"/>
  <c r="S265"/>
  <c r="T265"/>
  <c r="U265"/>
  <c r="V265"/>
  <c r="W265"/>
  <c r="X265"/>
  <c r="Y265"/>
  <c r="Z265"/>
  <c r="D266"/>
  <c r="E266"/>
  <c r="F266"/>
  <c r="G266"/>
  <c r="H266"/>
  <c r="I266"/>
  <c r="J266"/>
  <c r="K266"/>
  <c r="L266"/>
  <c r="M266"/>
  <c r="N266"/>
  <c r="O266"/>
  <c r="P266"/>
  <c r="Q266"/>
  <c r="R266"/>
  <c r="S266"/>
  <c r="T266"/>
  <c r="U266"/>
  <c r="V266"/>
  <c r="W266"/>
  <c r="X266"/>
  <c r="Y266"/>
  <c r="Z266"/>
  <c r="D267"/>
  <c r="E267"/>
  <c r="G267"/>
  <c r="H267"/>
  <c r="I267"/>
  <c r="J267"/>
  <c r="K267"/>
  <c r="L267"/>
  <c r="M267"/>
  <c r="N267"/>
  <c r="AA267"/>
  <c r="AB267"/>
  <c r="D268"/>
  <c r="E268"/>
  <c r="F268"/>
  <c r="G268"/>
  <c r="H268"/>
  <c r="I268"/>
  <c r="J268"/>
  <c r="K268"/>
  <c r="L268"/>
  <c r="M268"/>
  <c r="N268"/>
  <c r="R268"/>
  <c r="S268"/>
  <c r="T268"/>
  <c r="U268"/>
  <c r="V268"/>
  <c r="W268"/>
  <c r="X268"/>
  <c r="Y268"/>
  <c r="Z268"/>
  <c r="D269"/>
  <c r="E269"/>
  <c r="F269"/>
  <c r="G269"/>
  <c r="H269"/>
  <c r="I269"/>
  <c r="J269"/>
  <c r="K269"/>
  <c r="L269"/>
  <c r="M269"/>
  <c r="N269"/>
  <c r="O269"/>
  <c r="P269"/>
  <c r="Q269"/>
  <c r="R269"/>
  <c r="S269"/>
  <c r="T269"/>
  <c r="U269"/>
  <c r="V269"/>
  <c r="W269"/>
  <c r="X269"/>
  <c r="Y269"/>
  <c r="Z269"/>
  <c r="D270"/>
  <c r="E270"/>
  <c r="G270"/>
  <c r="H270"/>
  <c r="I270"/>
  <c r="J270"/>
  <c r="K270"/>
  <c r="L270"/>
  <c r="M270"/>
  <c r="N270"/>
  <c r="X270"/>
  <c r="AA270"/>
  <c r="AB270"/>
  <c r="D271"/>
  <c r="E271"/>
  <c r="F271"/>
  <c r="G271"/>
  <c r="H271"/>
  <c r="I271"/>
  <c r="J271"/>
  <c r="K271"/>
  <c r="L271"/>
  <c r="M271"/>
  <c r="N271"/>
  <c r="R271"/>
  <c r="S271"/>
  <c r="T271"/>
  <c r="U271"/>
  <c r="V271"/>
  <c r="W271"/>
  <c r="X271"/>
  <c r="Y271"/>
  <c r="Z271"/>
  <c r="D272"/>
  <c r="E272"/>
  <c r="F272"/>
  <c r="G272"/>
  <c r="H272"/>
  <c r="I272"/>
  <c r="J272"/>
  <c r="K272"/>
  <c r="L272"/>
  <c r="M272"/>
  <c r="N272"/>
  <c r="O272"/>
  <c r="P272"/>
  <c r="Q272"/>
  <c r="R272"/>
  <c r="S272"/>
  <c r="T272"/>
  <c r="U272"/>
  <c r="V272"/>
  <c r="W272"/>
  <c r="X272"/>
  <c r="Y272"/>
  <c r="Z272"/>
  <c r="D273"/>
  <c r="E273"/>
  <c r="G273"/>
  <c r="H273"/>
  <c r="I273"/>
  <c r="J273"/>
  <c r="K273"/>
  <c r="L273"/>
  <c r="M273"/>
  <c r="N273"/>
  <c r="AA273"/>
  <c r="AB273"/>
  <c r="D274"/>
  <c r="E274"/>
  <c r="F274"/>
  <c r="G274"/>
  <c r="H274"/>
  <c r="I274"/>
  <c r="J274"/>
  <c r="K274"/>
  <c r="L274"/>
  <c r="M274"/>
  <c r="N274"/>
  <c r="R274"/>
  <c r="S274"/>
  <c r="T274"/>
  <c r="U274"/>
  <c r="V274"/>
  <c r="W274"/>
  <c r="X274"/>
  <c r="Y274"/>
  <c r="Z274"/>
  <c r="D275"/>
  <c r="E275"/>
  <c r="F275"/>
  <c r="G275"/>
  <c r="H275"/>
  <c r="I275"/>
  <c r="J275"/>
  <c r="K275"/>
  <c r="L275"/>
  <c r="M275"/>
  <c r="N275"/>
  <c r="O275"/>
  <c r="P275"/>
  <c r="Q275"/>
  <c r="R275"/>
  <c r="S275"/>
  <c r="T275"/>
  <c r="U275"/>
  <c r="V275"/>
  <c r="W275"/>
  <c r="X275"/>
  <c r="Y275"/>
  <c r="Z275"/>
  <c r="D276"/>
  <c r="E276"/>
  <c r="G276"/>
  <c r="H276"/>
  <c r="I276"/>
  <c r="J276"/>
  <c r="K276"/>
  <c r="L276"/>
  <c r="M276"/>
  <c r="N276"/>
  <c r="AA276"/>
  <c r="AB276"/>
  <c r="D277"/>
  <c r="E277"/>
  <c r="F277"/>
  <c r="G277"/>
  <c r="H277"/>
  <c r="I277"/>
  <c r="J277"/>
  <c r="K277"/>
  <c r="L277"/>
  <c r="M277"/>
  <c r="N277"/>
  <c r="R277"/>
  <c r="S277"/>
  <c r="T277"/>
  <c r="U277"/>
  <c r="V277"/>
  <c r="W277"/>
  <c r="X277"/>
  <c r="Y277"/>
  <c r="Z277"/>
  <c r="D278"/>
  <c r="E278"/>
  <c r="F278"/>
  <c r="G278"/>
  <c r="H278"/>
  <c r="I278"/>
  <c r="J278"/>
  <c r="K278"/>
  <c r="L278"/>
  <c r="M278"/>
  <c r="N278"/>
  <c r="O278"/>
  <c r="P278"/>
  <c r="Q278"/>
  <c r="R278"/>
  <c r="S278"/>
  <c r="T278"/>
  <c r="U278"/>
  <c r="V278"/>
  <c r="W278"/>
  <c r="X278"/>
  <c r="Y278"/>
  <c r="Z278"/>
  <c r="D279"/>
  <c r="E279"/>
  <c r="G279"/>
  <c r="H279"/>
  <c r="I279"/>
  <c r="J279"/>
  <c r="K279"/>
  <c r="L279"/>
  <c r="M279"/>
  <c r="N279"/>
  <c r="AA279"/>
  <c r="AB279"/>
  <c r="D280"/>
  <c r="E280"/>
  <c r="F280"/>
  <c r="G280"/>
  <c r="H280"/>
  <c r="I280"/>
  <c r="J280"/>
  <c r="K280"/>
  <c r="L280"/>
  <c r="M280"/>
  <c r="N280"/>
  <c r="R280"/>
  <c r="S280"/>
  <c r="T280"/>
  <c r="U280"/>
  <c r="V280"/>
  <c r="W280"/>
  <c r="X280"/>
  <c r="Y280"/>
  <c r="Z280"/>
  <c r="D281"/>
  <c r="E281"/>
  <c r="F281"/>
  <c r="G281"/>
  <c r="H281"/>
  <c r="I281"/>
  <c r="J281"/>
  <c r="K281"/>
  <c r="L281"/>
  <c r="M281"/>
  <c r="N281"/>
  <c r="O281"/>
  <c r="P281"/>
  <c r="Q281"/>
  <c r="R281"/>
  <c r="S281"/>
  <c r="T281"/>
  <c r="U281"/>
  <c r="V281"/>
  <c r="W281"/>
  <c r="X281"/>
  <c r="Y281"/>
  <c r="Z281"/>
  <c r="D282"/>
  <c r="E282"/>
  <c r="G282"/>
  <c r="H282"/>
  <c r="I282"/>
  <c r="J282"/>
  <c r="K282"/>
  <c r="L282"/>
  <c r="M282"/>
  <c r="N282"/>
  <c r="AA282"/>
  <c r="AB282"/>
  <c r="D283"/>
  <c r="E283"/>
  <c r="F283"/>
  <c r="G283"/>
  <c r="H283"/>
  <c r="I283"/>
  <c r="J283"/>
  <c r="K283"/>
  <c r="L283"/>
  <c r="M283"/>
  <c r="N283"/>
  <c r="R283"/>
  <c r="S283"/>
  <c r="T283"/>
  <c r="U283"/>
  <c r="V283"/>
  <c r="W283"/>
  <c r="X283"/>
  <c r="Y283"/>
  <c r="Z283"/>
  <c r="D284"/>
  <c r="E284"/>
  <c r="F284"/>
  <c r="G284"/>
  <c r="H284"/>
  <c r="I284"/>
  <c r="J284"/>
  <c r="K284"/>
  <c r="L284"/>
  <c r="M284"/>
  <c r="N284"/>
  <c r="O284"/>
  <c r="P284"/>
  <c r="Q284"/>
  <c r="R284"/>
  <c r="S284"/>
  <c r="T284"/>
  <c r="U284"/>
  <c r="V284"/>
  <c r="W284"/>
  <c r="X284"/>
  <c r="Y284"/>
  <c r="Z284"/>
  <c r="D285"/>
  <c r="E285"/>
  <c r="G285"/>
  <c r="H285"/>
  <c r="I285"/>
  <c r="J285"/>
  <c r="K285"/>
  <c r="L285"/>
  <c r="M285"/>
  <c r="N285"/>
  <c r="AA285"/>
  <c r="AB285"/>
  <c r="D286"/>
  <c r="E286"/>
  <c r="F286"/>
  <c r="G286"/>
  <c r="H286"/>
  <c r="I286"/>
  <c r="J286"/>
  <c r="K286"/>
  <c r="L286"/>
  <c r="M286"/>
  <c r="N286"/>
  <c r="R286"/>
  <c r="S286"/>
  <c r="T286"/>
  <c r="U286"/>
  <c r="V286"/>
  <c r="W286"/>
  <c r="X286"/>
  <c r="Y286"/>
  <c r="Z286"/>
  <c r="D287"/>
  <c r="E287"/>
  <c r="F287"/>
  <c r="G287"/>
  <c r="H287"/>
  <c r="I287"/>
  <c r="J287"/>
  <c r="K287"/>
  <c r="L287"/>
  <c r="M287"/>
  <c r="N287"/>
  <c r="O287"/>
  <c r="P287"/>
  <c r="Q287"/>
  <c r="R287"/>
  <c r="S287"/>
  <c r="T287"/>
  <c r="U287"/>
  <c r="V287"/>
  <c r="W287"/>
  <c r="X287"/>
  <c r="Y287"/>
  <c r="Z287"/>
  <c r="E197"/>
  <c r="G197"/>
  <c r="H197"/>
  <c r="I197"/>
  <c r="J197"/>
  <c r="K197"/>
  <c r="L197"/>
  <c r="M197"/>
  <c r="N197"/>
  <c r="AA197"/>
  <c r="AB197"/>
  <c r="D197"/>
  <c r="D178"/>
  <c r="E178"/>
  <c r="F178"/>
  <c r="G178"/>
  <c r="H178"/>
  <c r="I178"/>
  <c r="J178"/>
  <c r="K178"/>
  <c r="L178"/>
  <c r="M178"/>
  <c r="N178"/>
  <c r="O178"/>
  <c r="P178"/>
  <c r="R178"/>
  <c r="S178"/>
  <c r="T178"/>
  <c r="U178"/>
  <c r="V178"/>
  <c r="W178"/>
  <c r="X178"/>
  <c r="Y178"/>
  <c r="Z178"/>
  <c r="AB178"/>
  <c r="D179"/>
  <c r="E179"/>
  <c r="F179"/>
  <c r="G179"/>
  <c r="H179"/>
  <c r="I179"/>
  <c r="J179"/>
  <c r="K179"/>
  <c r="L179"/>
  <c r="M179"/>
  <c r="N179"/>
  <c r="O179"/>
  <c r="P179"/>
  <c r="Q179"/>
  <c r="R179"/>
  <c r="S179"/>
  <c r="T179"/>
  <c r="U179"/>
  <c r="V179"/>
  <c r="W179"/>
  <c r="X179"/>
  <c r="Y179"/>
  <c r="Z179"/>
  <c r="AB179"/>
  <c r="D180"/>
  <c r="E180"/>
  <c r="G180"/>
  <c r="H180"/>
  <c r="I180"/>
  <c r="J180"/>
  <c r="K180"/>
  <c r="L180"/>
  <c r="M180"/>
  <c r="N180"/>
  <c r="O180"/>
  <c r="P180"/>
  <c r="Q180"/>
  <c r="R180"/>
  <c r="S180"/>
  <c r="T180"/>
  <c r="U180"/>
  <c r="V180"/>
  <c r="W180"/>
  <c r="X180"/>
  <c r="Y180"/>
  <c r="Z180"/>
  <c r="AA180"/>
  <c r="D181"/>
  <c r="E181"/>
  <c r="F181"/>
  <c r="G181"/>
  <c r="H181"/>
  <c r="I181"/>
  <c r="J181"/>
  <c r="K181"/>
  <c r="L181"/>
  <c r="M181"/>
  <c r="N181"/>
  <c r="O181"/>
  <c r="P181"/>
  <c r="Q181"/>
  <c r="R181"/>
  <c r="S181"/>
  <c r="T181"/>
  <c r="U181"/>
  <c r="V181"/>
  <c r="W181"/>
  <c r="X181"/>
  <c r="Y181"/>
  <c r="Z181"/>
  <c r="AB181"/>
  <c r="D182"/>
  <c r="E182"/>
  <c r="F182"/>
  <c r="G182"/>
  <c r="H182"/>
  <c r="I182"/>
  <c r="J182"/>
  <c r="K182"/>
  <c r="L182"/>
  <c r="M182"/>
  <c r="N182"/>
  <c r="O182"/>
  <c r="P182"/>
  <c r="Q182"/>
  <c r="R182"/>
  <c r="S182"/>
  <c r="T182"/>
  <c r="U182"/>
  <c r="V182"/>
  <c r="W182"/>
  <c r="X182"/>
  <c r="Y182"/>
  <c r="Z182"/>
  <c r="AB182"/>
  <c r="D183"/>
  <c r="E183"/>
  <c r="G183"/>
  <c r="H183"/>
  <c r="I183"/>
  <c r="J183"/>
  <c r="K183"/>
  <c r="L183"/>
  <c r="M183"/>
  <c r="N183"/>
  <c r="X183"/>
  <c r="Y183"/>
  <c r="Z183"/>
  <c r="AA183"/>
  <c r="D184"/>
  <c r="E184"/>
  <c r="F184"/>
  <c r="G184"/>
  <c r="H184"/>
  <c r="I184"/>
  <c r="J184"/>
  <c r="K184"/>
  <c r="L184"/>
  <c r="M184"/>
  <c r="N184"/>
  <c r="O184"/>
  <c r="P184"/>
  <c r="Q184"/>
  <c r="R184"/>
  <c r="S184"/>
  <c r="T184"/>
  <c r="U184"/>
  <c r="V184"/>
  <c r="W184"/>
  <c r="X184"/>
  <c r="Y184"/>
  <c r="Z184"/>
  <c r="AB184"/>
  <c r="D185"/>
  <c r="E185"/>
  <c r="F185"/>
  <c r="G185"/>
  <c r="H185"/>
  <c r="I185"/>
  <c r="J185"/>
  <c r="K185"/>
  <c r="L185"/>
  <c r="M185"/>
  <c r="N185"/>
  <c r="O185"/>
  <c r="P185"/>
  <c r="Q185"/>
  <c r="R185"/>
  <c r="S185"/>
  <c r="T185"/>
  <c r="U185"/>
  <c r="V185"/>
  <c r="W185"/>
  <c r="X185"/>
  <c r="Y185"/>
  <c r="Z185"/>
  <c r="AB185"/>
  <c r="D186"/>
  <c r="E186"/>
  <c r="F186"/>
  <c r="G186"/>
  <c r="H186"/>
  <c r="I186"/>
  <c r="J186"/>
  <c r="K186"/>
  <c r="L186"/>
  <c r="M186"/>
  <c r="N186"/>
  <c r="O186"/>
  <c r="P186"/>
  <c r="Q186"/>
  <c r="R186"/>
  <c r="S186"/>
  <c r="T186"/>
  <c r="U186"/>
  <c r="V186"/>
  <c r="W186"/>
  <c r="X186"/>
  <c r="Y186"/>
  <c r="Z186"/>
  <c r="AA186"/>
  <c r="AB186"/>
  <c r="D187"/>
  <c r="E187"/>
  <c r="F187"/>
  <c r="G187"/>
  <c r="H187"/>
  <c r="I187"/>
  <c r="J187"/>
  <c r="K187"/>
  <c r="L187"/>
  <c r="M187"/>
  <c r="N187"/>
  <c r="O187"/>
  <c r="P187"/>
  <c r="Q187"/>
  <c r="R187"/>
  <c r="S187"/>
  <c r="T187"/>
  <c r="U187"/>
  <c r="V187"/>
  <c r="W187"/>
  <c r="X187"/>
  <c r="Y187"/>
  <c r="Z187"/>
  <c r="AA187"/>
  <c r="AB187"/>
  <c r="D188"/>
  <c r="E188"/>
  <c r="F188"/>
  <c r="G188"/>
  <c r="H188"/>
  <c r="I188"/>
  <c r="J188"/>
  <c r="K188"/>
  <c r="L188"/>
  <c r="M188"/>
  <c r="N188"/>
  <c r="O188"/>
  <c r="P188"/>
  <c r="Q188"/>
  <c r="R188"/>
  <c r="S188"/>
  <c r="T188"/>
  <c r="U188"/>
  <c r="V188"/>
  <c r="W188"/>
  <c r="X188"/>
  <c r="Y188"/>
  <c r="Z188"/>
  <c r="AA188"/>
  <c r="AB188"/>
  <c r="D189"/>
  <c r="E189"/>
  <c r="F189"/>
  <c r="G189"/>
  <c r="H189"/>
  <c r="I189"/>
  <c r="J189"/>
  <c r="K189"/>
  <c r="L189"/>
  <c r="M189"/>
  <c r="N189"/>
  <c r="O189"/>
  <c r="P189"/>
  <c r="Q189"/>
  <c r="R189"/>
  <c r="S189"/>
  <c r="T189"/>
  <c r="U189"/>
  <c r="V189"/>
  <c r="W189"/>
  <c r="X189"/>
  <c r="Y189"/>
  <c r="Z189"/>
  <c r="AA189"/>
  <c r="AB189"/>
  <c r="D190"/>
  <c r="E190"/>
  <c r="F190"/>
  <c r="G190"/>
  <c r="H190"/>
  <c r="I190"/>
  <c r="J190"/>
  <c r="K190"/>
  <c r="L190"/>
  <c r="M190"/>
  <c r="N190"/>
  <c r="O190"/>
  <c r="P190"/>
  <c r="Q190"/>
  <c r="R190"/>
  <c r="S190"/>
  <c r="T190"/>
  <c r="U190"/>
  <c r="V190"/>
  <c r="W190"/>
  <c r="X190"/>
  <c r="Y190"/>
  <c r="Z190"/>
  <c r="AA190"/>
  <c r="AB190"/>
  <c r="D191"/>
  <c r="E191"/>
  <c r="F191"/>
  <c r="G191"/>
  <c r="H191"/>
  <c r="I191"/>
  <c r="J191"/>
  <c r="K191"/>
  <c r="L191"/>
  <c r="M191"/>
  <c r="N191"/>
  <c r="O191"/>
  <c r="P191"/>
  <c r="Q191"/>
  <c r="R191"/>
  <c r="S191"/>
  <c r="T191"/>
  <c r="U191"/>
  <c r="V191"/>
  <c r="W191"/>
  <c r="X191"/>
  <c r="Y191"/>
  <c r="Z191"/>
  <c r="AA191"/>
  <c r="AB191"/>
  <c r="D192"/>
  <c r="E192"/>
  <c r="F192"/>
  <c r="G192"/>
  <c r="H192"/>
  <c r="I192"/>
  <c r="J192"/>
  <c r="K192"/>
  <c r="L192"/>
  <c r="M192"/>
  <c r="N192"/>
  <c r="O192"/>
  <c r="P192"/>
  <c r="Q192"/>
  <c r="R192"/>
  <c r="S192"/>
  <c r="T192"/>
  <c r="U192"/>
  <c r="V192"/>
  <c r="W192"/>
  <c r="X192"/>
  <c r="Y192"/>
  <c r="Z192"/>
  <c r="AA192"/>
  <c r="AB192"/>
  <c r="D193"/>
  <c r="E193"/>
  <c r="F193"/>
  <c r="G193"/>
  <c r="H193"/>
  <c r="I193"/>
  <c r="J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AB193"/>
  <c r="D194"/>
  <c r="E194"/>
  <c r="F194"/>
  <c r="G194"/>
  <c r="H194"/>
  <c r="I194"/>
  <c r="J194"/>
  <c r="K194"/>
  <c r="L194"/>
  <c r="M194"/>
  <c r="N194"/>
  <c r="O194"/>
  <c r="P194"/>
  <c r="Q194"/>
  <c r="R194"/>
  <c r="S194"/>
  <c r="T194"/>
  <c r="U194"/>
  <c r="V194"/>
  <c r="W194"/>
  <c r="X194"/>
  <c r="Y194"/>
  <c r="Z194"/>
  <c r="AA194"/>
  <c r="AB194"/>
  <c r="D195"/>
  <c r="E195"/>
  <c r="F195"/>
  <c r="G195"/>
  <c r="H195"/>
  <c r="I195"/>
  <c r="J195"/>
  <c r="K195"/>
  <c r="L195"/>
  <c r="M195"/>
  <c r="N195"/>
  <c r="O195"/>
  <c r="P195"/>
  <c r="Q195"/>
  <c r="R195"/>
  <c r="S195"/>
  <c r="T195"/>
  <c r="U195"/>
  <c r="V195"/>
  <c r="W195"/>
  <c r="X195"/>
  <c r="Y195"/>
  <c r="Z195"/>
  <c r="AA195"/>
  <c r="AB195"/>
  <c r="D196"/>
  <c r="E196"/>
  <c r="F196"/>
  <c r="G196"/>
  <c r="H196"/>
  <c r="I196"/>
  <c r="J196"/>
  <c r="K196"/>
  <c r="L196"/>
  <c r="M196"/>
  <c r="N196"/>
  <c r="O196"/>
  <c r="P196"/>
  <c r="Q196"/>
  <c r="R196"/>
  <c r="S196"/>
  <c r="T196"/>
  <c r="U196"/>
  <c r="V196"/>
  <c r="W196"/>
  <c r="X196"/>
  <c r="Y196"/>
  <c r="Z196"/>
  <c r="AA196"/>
  <c r="AB196"/>
  <c r="E177"/>
  <c r="G177"/>
  <c r="H177"/>
  <c r="I177"/>
  <c r="J177"/>
  <c r="K177"/>
  <c r="L177"/>
  <c r="M177"/>
  <c r="N177"/>
  <c r="Y177"/>
  <c r="AA177"/>
  <c r="D165"/>
  <c r="E165"/>
  <c r="F165"/>
  <c r="G165"/>
  <c r="H165"/>
  <c r="I165"/>
  <c r="J165"/>
  <c r="K165"/>
  <c r="L165"/>
  <c r="M165"/>
  <c r="N165"/>
  <c r="O165"/>
  <c r="P165"/>
  <c r="Q165"/>
  <c r="R165"/>
  <c r="S165"/>
  <c r="T165"/>
  <c r="U165"/>
  <c r="V165"/>
  <c r="W165"/>
  <c r="X165"/>
  <c r="Y165"/>
  <c r="Z165"/>
  <c r="AB165"/>
  <c r="D166"/>
  <c r="E166"/>
  <c r="G166"/>
  <c r="H166"/>
  <c r="I166"/>
  <c r="J166"/>
  <c r="K166"/>
  <c r="M166"/>
  <c r="N166"/>
  <c r="AA166"/>
  <c r="D167"/>
  <c r="E167"/>
  <c r="F167"/>
  <c r="G167"/>
  <c r="H167"/>
  <c r="I167"/>
  <c r="J167"/>
  <c r="K167"/>
  <c r="L167"/>
  <c r="M167"/>
  <c r="N167"/>
  <c r="O167"/>
  <c r="P167"/>
  <c r="Q167"/>
  <c r="R167"/>
  <c r="S167"/>
  <c r="T167"/>
  <c r="U167"/>
  <c r="V167"/>
  <c r="W167"/>
  <c r="X167"/>
  <c r="Y167"/>
  <c r="Z167"/>
  <c r="AA167"/>
  <c r="AB167"/>
  <c r="D168"/>
  <c r="E168"/>
  <c r="F168"/>
  <c r="G168"/>
  <c r="H168"/>
  <c r="I168"/>
  <c r="J168"/>
  <c r="K168"/>
  <c r="L168"/>
  <c r="M168"/>
  <c r="N168"/>
  <c r="O168"/>
  <c r="P168"/>
  <c r="Q168"/>
  <c r="R168"/>
  <c r="S168"/>
  <c r="T168"/>
  <c r="U168"/>
  <c r="V168"/>
  <c r="W168"/>
  <c r="X168"/>
  <c r="Y168"/>
  <c r="Z168"/>
  <c r="AA168"/>
  <c r="AB168"/>
  <c r="D169"/>
  <c r="E169"/>
  <c r="G169"/>
  <c r="H169"/>
  <c r="I169"/>
  <c r="J169"/>
  <c r="K169"/>
  <c r="M169"/>
  <c r="N169"/>
  <c r="AA169"/>
  <c r="D170"/>
  <c r="E170"/>
  <c r="F170"/>
  <c r="G170"/>
  <c r="H170"/>
  <c r="I170"/>
  <c r="J170"/>
  <c r="K170"/>
  <c r="L170"/>
  <c r="M170"/>
  <c r="N170"/>
  <c r="O170"/>
  <c r="P170"/>
  <c r="Q170"/>
  <c r="R170"/>
  <c r="S170"/>
  <c r="T170"/>
  <c r="U170"/>
  <c r="V170"/>
  <c r="W170"/>
  <c r="X170"/>
  <c r="Y170"/>
  <c r="Z170"/>
  <c r="AA170"/>
  <c r="AB170"/>
  <c r="D171"/>
  <c r="E171"/>
  <c r="F171"/>
  <c r="G171"/>
  <c r="H171"/>
  <c r="I171"/>
  <c r="J171"/>
  <c r="K171"/>
  <c r="L171"/>
  <c r="M171"/>
  <c r="N171"/>
  <c r="O171"/>
  <c r="P171"/>
  <c r="Q171"/>
  <c r="R171"/>
  <c r="S171"/>
  <c r="T171"/>
  <c r="U171"/>
  <c r="V171"/>
  <c r="W171"/>
  <c r="X171"/>
  <c r="Y171"/>
  <c r="Z171"/>
  <c r="AA171"/>
  <c r="AB171"/>
  <c r="D172"/>
  <c r="E172"/>
  <c r="G172"/>
  <c r="H172"/>
  <c r="I172"/>
  <c r="J172"/>
  <c r="K172"/>
  <c r="M172"/>
  <c r="N172"/>
  <c r="AA172"/>
  <c r="D173"/>
  <c r="E173"/>
  <c r="F173"/>
  <c r="G173"/>
  <c r="H173"/>
  <c r="I173"/>
  <c r="J173"/>
  <c r="K173"/>
  <c r="L173"/>
  <c r="M173"/>
  <c r="N173"/>
  <c r="O173"/>
  <c r="P173"/>
  <c r="Q173"/>
  <c r="R173"/>
  <c r="S173"/>
  <c r="T173"/>
  <c r="U173"/>
  <c r="V173"/>
  <c r="W173"/>
  <c r="X173"/>
  <c r="Y173"/>
  <c r="Z173"/>
  <c r="AA173"/>
  <c r="AB173"/>
  <c r="D174"/>
  <c r="E174"/>
  <c r="F174"/>
  <c r="G174"/>
  <c r="H174"/>
  <c r="I174"/>
  <c r="J174"/>
  <c r="K174"/>
  <c r="L174"/>
  <c r="M174"/>
  <c r="N174"/>
  <c r="O174"/>
  <c r="P174"/>
  <c r="Q174"/>
  <c r="R174"/>
  <c r="S174"/>
  <c r="T174"/>
  <c r="U174"/>
  <c r="V174"/>
  <c r="W174"/>
  <c r="X174"/>
  <c r="Y174"/>
  <c r="Z174"/>
  <c r="AA174"/>
  <c r="AB174"/>
  <c r="D175"/>
  <c r="E175"/>
  <c r="F175"/>
  <c r="G175"/>
  <c r="H175"/>
  <c r="I175"/>
  <c r="J175"/>
  <c r="K175"/>
  <c r="L175"/>
  <c r="M175"/>
  <c r="N175"/>
  <c r="O175"/>
  <c r="P175"/>
  <c r="Q175"/>
  <c r="R175"/>
  <c r="S175"/>
  <c r="T175"/>
  <c r="U175"/>
  <c r="V175"/>
  <c r="W175"/>
  <c r="X175"/>
  <c r="Y175"/>
  <c r="Z175"/>
  <c r="AA175"/>
  <c r="AB175"/>
  <c r="D176"/>
  <c r="E176"/>
  <c r="F176"/>
  <c r="G176"/>
  <c r="H176"/>
  <c r="I176"/>
  <c r="J176"/>
  <c r="K176"/>
  <c r="L176"/>
  <c r="M176"/>
  <c r="N176"/>
  <c r="O176"/>
  <c r="P176"/>
  <c r="Q176"/>
  <c r="R176"/>
  <c r="S176"/>
  <c r="T176"/>
  <c r="U176"/>
  <c r="V176"/>
  <c r="W176"/>
  <c r="X176"/>
  <c r="Y176"/>
  <c r="Z176"/>
  <c r="AA176"/>
  <c r="AB176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B90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B91"/>
  <c r="D92"/>
  <c r="E92"/>
  <c r="G92"/>
  <c r="H92"/>
  <c r="I92"/>
  <c r="J92"/>
  <c r="K92"/>
  <c r="M92"/>
  <c r="N92"/>
  <c r="AA92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B93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B94"/>
  <c r="D95"/>
  <c r="E95"/>
  <c r="G95"/>
  <c r="H95"/>
  <c r="I95"/>
  <c r="J95"/>
  <c r="K95"/>
  <c r="M95"/>
  <c r="N95"/>
  <c r="AA95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B96"/>
  <c r="D97"/>
  <c r="E97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AB97"/>
  <c r="D98"/>
  <c r="E98"/>
  <c r="G98"/>
  <c r="H98"/>
  <c r="I98"/>
  <c r="J98"/>
  <c r="K98"/>
  <c r="M98"/>
  <c r="N98"/>
  <c r="AA98"/>
  <c r="D99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AB99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B100"/>
  <c r="D101"/>
  <c r="E101"/>
  <c r="G101"/>
  <c r="H101"/>
  <c r="I101"/>
  <c r="J101"/>
  <c r="K101"/>
  <c r="M101"/>
  <c r="N101"/>
  <c r="AA101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V102"/>
  <c r="W102"/>
  <c r="X102"/>
  <c r="Y102"/>
  <c r="Z102"/>
  <c r="AB102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V103"/>
  <c r="W103"/>
  <c r="X103"/>
  <c r="Y103"/>
  <c r="Z103"/>
  <c r="AB103"/>
  <c r="D104"/>
  <c r="E104"/>
  <c r="G104"/>
  <c r="H104"/>
  <c r="I104"/>
  <c r="J104"/>
  <c r="K104"/>
  <c r="M104"/>
  <c r="N104"/>
  <c r="AA104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V105"/>
  <c r="W105"/>
  <c r="X105"/>
  <c r="Y105"/>
  <c r="Z105"/>
  <c r="AB105"/>
  <c r="D106"/>
  <c r="E106"/>
  <c r="F106"/>
  <c r="G106"/>
  <c r="H106"/>
  <c r="I106"/>
  <c r="J106"/>
  <c r="K106"/>
  <c r="L106"/>
  <c r="M106"/>
  <c r="N106"/>
  <c r="O106"/>
  <c r="P106"/>
  <c r="Q106"/>
  <c r="R106"/>
  <c r="S106"/>
  <c r="T106"/>
  <c r="U106"/>
  <c r="V106"/>
  <c r="W106"/>
  <c r="X106"/>
  <c r="Y106"/>
  <c r="Z106"/>
  <c r="AB106"/>
  <c r="D107"/>
  <c r="E107"/>
  <c r="G107"/>
  <c r="H107"/>
  <c r="I107"/>
  <c r="J107"/>
  <c r="K107"/>
  <c r="M107"/>
  <c r="N107"/>
  <c r="AA107"/>
  <c r="D108"/>
  <c r="E108"/>
  <c r="F108"/>
  <c r="G108"/>
  <c r="H108"/>
  <c r="I108"/>
  <c r="J108"/>
  <c r="K108"/>
  <c r="L108"/>
  <c r="M108"/>
  <c r="N108"/>
  <c r="O108"/>
  <c r="P108"/>
  <c r="Q108"/>
  <c r="R108"/>
  <c r="S108"/>
  <c r="T108"/>
  <c r="U108"/>
  <c r="V108"/>
  <c r="W108"/>
  <c r="X108"/>
  <c r="Y108"/>
  <c r="Z108"/>
  <c r="AB108"/>
  <c r="D109"/>
  <c r="E109"/>
  <c r="F109"/>
  <c r="G109"/>
  <c r="H109"/>
  <c r="I109"/>
  <c r="J109"/>
  <c r="K109"/>
  <c r="L109"/>
  <c r="M109"/>
  <c r="N109"/>
  <c r="O109"/>
  <c r="P109"/>
  <c r="Q109"/>
  <c r="R109"/>
  <c r="S109"/>
  <c r="T109"/>
  <c r="U109"/>
  <c r="V109"/>
  <c r="W109"/>
  <c r="X109"/>
  <c r="Y109"/>
  <c r="Z109"/>
  <c r="AB109"/>
  <c r="D110"/>
  <c r="E110"/>
  <c r="F110"/>
  <c r="G110"/>
  <c r="H110"/>
  <c r="I110"/>
  <c r="J110"/>
  <c r="K110"/>
  <c r="L110"/>
  <c r="M110"/>
  <c r="N110"/>
  <c r="O110"/>
  <c r="P110"/>
  <c r="Q110"/>
  <c r="R110"/>
  <c r="S110"/>
  <c r="T110"/>
  <c r="U110"/>
  <c r="V110"/>
  <c r="W110"/>
  <c r="X110"/>
  <c r="Y110"/>
  <c r="Z110"/>
  <c r="AB110"/>
  <c r="D111"/>
  <c r="E111"/>
  <c r="F111"/>
  <c r="G111"/>
  <c r="H111"/>
  <c r="I111"/>
  <c r="J111"/>
  <c r="K111"/>
  <c r="L111"/>
  <c r="M111"/>
  <c r="N111"/>
  <c r="O111"/>
  <c r="P111"/>
  <c r="Q111"/>
  <c r="R111"/>
  <c r="S111"/>
  <c r="T111"/>
  <c r="U111"/>
  <c r="V111"/>
  <c r="W111"/>
  <c r="X111"/>
  <c r="Y111"/>
  <c r="Z111"/>
  <c r="AA111"/>
  <c r="AB111"/>
  <c r="D112"/>
  <c r="E112"/>
  <c r="G112"/>
  <c r="H112"/>
  <c r="I112"/>
  <c r="J112"/>
  <c r="K112"/>
  <c r="M112"/>
  <c r="N112"/>
  <c r="AA112"/>
  <c r="D113"/>
  <c r="E113"/>
  <c r="F113"/>
  <c r="G113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B113"/>
  <c r="D114"/>
  <c r="E114"/>
  <c r="F114"/>
  <c r="G114"/>
  <c r="H114"/>
  <c r="I114"/>
  <c r="J114"/>
  <c r="K114"/>
  <c r="L114"/>
  <c r="M114"/>
  <c r="N114"/>
  <c r="O114"/>
  <c r="P114"/>
  <c r="Q114"/>
  <c r="R114"/>
  <c r="S114"/>
  <c r="T114"/>
  <c r="U114"/>
  <c r="V114"/>
  <c r="W114"/>
  <c r="X114"/>
  <c r="Y114"/>
  <c r="Z114"/>
  <c r="AB114"/>
  <c r="D115"/>
  <c r="E115"/>
  <c r="G115"/>
  <c r="H115"/>
  <c r="I115"/>
  <c r="J115"/>
  <c r="K115"/>
  <c r="M115"/>
  <c r="N115"/>
  <c r="AA115"/>
  <c r="D116"/>
  <c r="E116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AB116"/>
  <c r="D117"/>
  <c r="E117"/>
  <c r="F117"/>
  <c r="G117"/>
  <c r="H117"/>
  <c r="I117"/>
  <c r="J117"/>
  <c r="K117"/>
  <c r="L117"/>
  <c r="M117"/>
  <c r="N117"/>
  <c r="O117"/>
  <c r="P117"/>
  <c r="Q117"/>
  <c r="R117"/>
  <c r="S117"/>
  <c r="T117"/>
  <c r="U117"/>
  <c r="V117"/>
  <c r="W117"/>
  <c r="X117"/>
  <c r="Y117"/>
  <c r="Z117"/>
  <c r="AB117"/>
  <c r="D118"/>
  <c r="E118"/>
  <c r="G118"/>
  <c r="H118"/>
  <c r="I118"/>
  <c r="J118"/>
  <c r="K118"/>
  <c r="M118"/>
  <c r="N118"/>
  <c r="AA118"/>
  <c r="D119"/>
  <c r="E119"/>
  <c r="F119"/>
  <c r="G119"/>
  <c r="H119"/>
  <c r="I119"/>
  <c r="J119"/>
  <c r="K119"/>
  <c r="L119"/>
  <c r="M119"/>
  <c r="N119"/>
  <c r="R119"/>
  <c r="S119"/>
  <c r="T119"/>
  <c r="U119"/>
  <c r="V119"/>
  <c r="W119"/>
  <c r="X119"/>
  <c r="Y119"/>
  <c r="Z119"/>
  <c r="AB119"/>
  <c r="D120"/>
  <c r="E120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AB120"/>
  <c r="D121"/>
  <c r="E121"/>
  <c r="G121"/>
  <c r="H121"/>
  <c r="I121"/>
  <c r="J121"/>
  <c r="K121"/>
  <c r="M121"/>
  <c r="N121"/>
  <c r="AA121"/>
  <c r="D122"/>
  <c r="E122"/>
  <c r="F122"/>
  <c r="G122"/>
  <c r="H122"/>
  <c r="I122"/>
  <c r="J122"/>
  <c r="K122"/>
  <c r="L122"/>
  <c r="M122"/>
  <c r="N122"/>
  <c r="R122"/>
  <c r="S122"/>
  <c r="T122"/>
  <c r="U122"/>
  <c r="V122"/>
  <c r="W122"/>
  <c r="X122"/>
  <c r="Y122"/>
  <c r="Z122"/>
  <c r="AB122"/>
  <c r="D123"/>
  <c r="E123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AB123"/>
  <c r="D124"/>
  <c r="E124"/>
  <c r="G124"/>
  <c r="H124"/>
  <c r="I124"/>
  <c r="J124"/>
  <c r="K124"/>
  <c r="M124"/>
  <c r="N124"/>
  <c r="AA124"/>
  <c r="D125"/>
  <c r="E125"/>
  <c r="F125"/>
  <c r="G125"/>
  <c r="H125"/>
  <c r="I125"/>
  <c r="J125"/>
  <c r="K125"/>
  <c r="L125"/>
  <c r="M125"/>
  <c r="N125"/>
  <c r="R125"/>
  <c r="S125"/>
  <c r="T125"/>
  <c r="U125"/>
  <c r="V125"/>
  <c r="W125"/>
  <c r="X125"/>
  <c r="Y125"/>
  <c r="Z125"/>
  <c r="AB125"/>
  <c r="D126"/>
  <c r="E126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AB126"/>
  <c r="D127"/>
  <c r="E127"/>
  <c r="G127"/>
  <c r="H127"/>
  <c r="I127"/>
  <c r="J127"/>
  <c r="K127"/>
  <c r="M127"/>
  <c r="N127"/>
  <c r="AA127"/>
  <c r="D128"/>
  <c r="E128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AB128"/>
  <c r="D129"/>
  <c r="E129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AB129"/>
  <c r="D130"/>
  <c r="E130"/>
  <c r="G130"/>
  <c r="H130"/>
  <c r="I130"/>
  <c r="J130"/>
  <c r="K130"/>
  <c r="M130"/>
  <c r="N130"/>
  <c r="AA130"/>
  <c r="D131"/>
  <c r="E13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AB131"/>
  <c r="D132"/>
  <c r="E132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AB132"/>
  <c r="D133"/>
  <c r="E133"/>
  <c r="G133"/>
  <c r="H133"/>
  <c r="I133"/>
  <c r="J133"/>
  <c r="K133"/>
  <c r="M133"/>
  <c r="N133"/>
  <c r="AA133"/>
  <c r="D134"/>
  <c r="E134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AB134"/>
  <c r="D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AB135"/>
  <c r="D136"/>
  <c r="E136"/>
  <c r="G136"/>
  <c r="H136"/>
  <c r="I136"/>
  <c r="J136"/>
  <c r="K136"/>
  <c r="M136"/>
  <c r="N136"/>
  <c r="AA136"/>
  <c r="D137"/>
  <c r="E137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AB137"/>
  <c r="D138"/>
  <c r="E138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AB138"/>
  <c r="D139"/>
  <c r="E139"/>
  <c r="G139"/>
  <c r="H139"/>
  <c r="I139"/>
  <c r="J139"/>
  <c r="K139"/>
  <c r="M139"/>
  <c r="N139"/>
  <c r="AA139"/>
  <c r="D140"/>
  <c r="E140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AB140"/>
  <c r="D141"/>
  <c r="E14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B141"/>
  <c r="D142"/>
  <c r="E142"/>
  <c r="G142"/>
  <c r="H142"/>
  <c r="I142"/>
  <c r="J142"/>
  <c r="K142"/>
  <c r="M142"/>
  <c r="N142"/>
  <c r="AA142"/>
  <c r="D143"/>
  <c r="E143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AB143"/>
  <c r="D144"/>
  <c r="E144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AB144"/>
  <c r="D145"/>
  <c r="E145"/>
  <c r="G145"/>
  <c r="H145"/>
  <c r="I145"/>
  <c r="J145"/>
  <c r="K145"/>
  <c r="M145"/>
  <c r="N145"/>
  <c r="AA145"/>
  <c r="D146"/>
  <c r="E146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AB146"/>
  <c r="D147"/>
  <c r="E147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AB147"/>
  <c r="D148"/>
  <c r="E148"/>
  <c r="G148"/>
  <c r="H148"/>
  <c r="I148"/>
  <c r="J148"/>
  <c r="K148"/>
  <c r="M148"/>
  <c r="N148"/>
  <c r="AA148"/>
  <c r="D149"/>
  <c r="E149"/>
  <c r="F149"/>
  <c r="G149"/>
  <c r="H149"/>
  <c r="I149"/>
  <c r="J149"/>
  <c r="K149"/>
  <c r="L149"/>
  <c r="M149"/>
  <c r="N149"/>
  <c r="O149"/>
  <c r="P149"/>
  <c r="Q149"/>
  <c r="R149"/>
  <c r="S149"/>
  <c r="T149"/>
  <c r="U149"/>
  <c r="V149"/>
  <c r="W149"/>
  <c r="X149"/>
  <c r="Y149"/>
  <c r="Z149"/>
  <c r="AB149"/>
  <c r="D150"/>
  <c r="E150"/>
  <c r="F150"/>
  <c r="G150"/>
  <c r="H150"/>
  <c r="I150"/>
  <c r="J150"/>
  <c r="K150"/>
  <c r="L150"/>
  <c r="M150"/>
  <c r="N150"/>
  <c r="O150"/>
  <c r="P150"/>
  <c r="Q150"/>
  <c r="R150"/>
  <c r="S150"/>
  <c r="T150"/>
  <c r="U150"/>
  <c r="V150"/>
  <c r="W150"/>
  <c r="X150"/>
  <c r="Y150"/>
  <c r="Z150"/>
  <c r="AB150"/>
  <c r="D151"/>
  <c r="E151"/>
  <c r="G151"/>
  <c r="H151"/>
  <c r="I151"/>
  <c r="J151"/>
  <c r="K151"/>
  <c r="M151"/>
  <c r="N151"/>
  <c r="AA151"/>
  <c r="D152"/>
  <c r="E152"/>
  <c r="F152"/>
  <c r="G152"/>
  <c r="H152"/>
  <c r="I152"/>
  <c r="J152"/>
  <c r="K152"/>
  <c r="L152"/>
  <c r="M152"/>
  <c r="N152"/>
  <c r="O152"/>
  <c r="P152"/>
  <c r="Q152"/>
  <c r="R152"/>
  <c r="S152"/>
  <c r="T152"/>
  <c r="U152"/>
  <c r="V152"/>
  <c r="W152"/>
  <c r="X152"/>
  <c r="Y152"/>
  <c r="Z152"/>
  <c r="AB152"/>
  <c r="D153"/>
  <c r="E153"/>
  <c r="F153"/>
  <c r="G153"/>
  <c r="H153"/>
  <c r="I153"/>
  <c r="J153"/>
  <c r="K153"/>
  <c r="L153"/>
  <c r="M153"/>
  <c r="N153"/>
  <c r="O153"/>
  <c r="P153"/>
  <c r="Q153"/>
  <c r="R153"/>
  <c r="S153"/>
  <c r="T153"/>
  <c r="U153"/>
  <c r="V153"/>
  <c r="W153"/>
  <c r="X153"/>
  <c r="Y153"/>
  <c r="Z153"/>
  <c r="AB153"/>
  <c r="D154"/>
  <c r="E154"/>
  <c r="G154"/>
  <c r="H154"/>
  <c r="I154"/>
  <c r="J154"/>
  <c r="K154"/>
  <c r="M154"/>
  <c r="N154"/>
  <c r="AA154"/>
  <c r="D155"/>
  <c r="E155"/>
  <c r="F155"/>
  <c r="G155"/>
  <c r="H155"/>
  <c r="I155"/>
  <c r="J155"/>
  <c r="K155"/>
  <c r="L155"/>
  <c r="M155"/>
  <c r="N155"/>
  <c r="O155"/>
  <c r="P155"/>
  <c r="Q155"/>
  <c r="R155"/>
  <c r="S155"/>
  <c r="T155"/>
  <c r="U155"/>
  <c r="V155"/>
  <c r="W155"/>
  <c r="X155"/>
  <c r="Y155"/>
  <c r="Z155"/>
  <c r="AB155"/>
  <c r="D156"/>
  <c r="E156"/>
  <c r="F156"/>
  <c r="G156"/>
  <c r="H156"/>
  <c r="I156"/>
  <c r="J156"/>
  <c r="K156"/>
  <c r="L156"/>
  <c r="M156"/>
  <c r="N156"/>
  <c r="O156"/>
  <c r="P156"/>
  <c r="Q156"/>
  <c r="R156"/>
  <c r="S156"/>
  <c r="T156"/>
  <c r="U156"/>
  <c r="V156"/>
  <c r="W156"/>
  <c r="X156"/>
  <c r="Y156"/>
  <c r="Z156"/>
  <c r="AB156"/>
  <c r="D157"/>
  <c r="E157"/>
  <c r="G157"/>
  <c r="H157"/>
  <c r="I157"/>
  <c r="J157"/>
  <c r="K157"/>
  <c r="M157"/>
  <c r="N157"/>
  <c r="AA157"/>
  <c r="D158"/>
  <c r="E158"/>
  <c r="F158"/>
  <c r="G158"/>
  <c r="H158"/>
  <c r="I158"/>
  <c r="J158"/>
  <c r="K158"/>
  <c r="L158"/>
  <c r="M158"/>
  <c r="N158"/>
  <c r="O158"/>
  <c r="P158"/>
  <c r="Q158"/>
  <c r="R158"/>
  <c r="S158"/>
  <c r="T158"/>
  <c r="U158"/>
  <c r="V158"/>
  <c r="W158"/>
  <c r="X158"/>
  <c r="Y158"/>
  <c r="Z158"/>
  <c r="AB158"/>
  <c r="D159"/>
  <c r="E159"/>
  <c r="F159"/>
  <c r="G159"/>
  <c r="H159"/>
  <c r="I159"/>
  <c r="J159"/>
  <c r="K159"/>
  <c r="L159"/>
  <c r="M159"/>
  <c r="N159"/>
  <c r="O159"/>
  <c r="P159"/>
  <c r="Q159"/>
  <c r="R159"/>
  <c r="S159"/>
  <c r="T159"/>
  <c r="U159"/>
  <c r="V159"/>
  <c r="W159"/>
  <c r="X159"/>
  <c r="Y159"/>
  <c r="Z159"/>
  <c r="AB159"/>
  <c r="D160"/>
  <c r="E160"/>
  <c r="G160"/>
  <c r="H160"/>
  <c r="I160"/>
  <c r="J160"/>
  <c r="K160"/>
  <c r="M160"/>
  <c r="N160"/>
  <c r="AA160"/>
  <c r="D161"/>
  <c r="E161"/>
  <c r="F161"/>
  <c r="G161"/>
  <c r="H161"/>
  <c r="I161"/>
  <c r="J161"/>
  <c r="K161"/>
  <c r="L161"/>
  <c r="M161"/>
  <c r="N161"/>
  <c r="O161"/>
  <c r="P161"/>
  <c r="Q161"/>
  <c r="R161"/>
  <c r="S161"/>
  <c r="T161"/>
  <c r="U161"/>
  <c r="V161"/>
  <c r="W161"/>
  <c r="X161"/>
  <c r="Y161"/>
  <c r="Z161"/>
  <c r="AB161"/>
  <c r="D162"/>
  <c r="E162"/>
  <c r="F162"/>
  <c r="G162"/>
  <c r="H162"/>
  <c r="I162"/>
  <c r="J162"/>
  <c r="K162"/>
  <c r="L162"/>
  <c r="M162"/>
  <c r="N162"/>
  <c r="O162"/>
  <c r="P162"/>
  <c r="Q162"/>
  <c r="R162"/>
  <c r="S162"/>
  <c r="T162"/>
  <c r="U162"/>
  <c r="V162"/>
  <c r="W162"/>
  <c r="X162"/>
  <c r="Y162"/>
  <c r="Z162"/>
  <c r="AB162"/>
  <c r="D163"/>
  <c r="E163"/>
  <c r="G163"/>
  <c r="H163"/>
  <c r="I163"/>
  <c r="J163"/>
  <c r="K163"/>
  <c r="M163"/>
  <c r="N163"/>
  <c r="AA163"/>
  <c r="D164"/>
  <c r="E164"/>
  <c r="F164"/>
  <c r="G164"/>
  <c r="H164"/>
  <c r="I164"/>
  <c r="J164"/>
  <c r="K164"/>
  <c r="L164"/>
  <c r="M164"/>
  <c r="N164"/>
  <c r="O164"/>
  <c r="P164"/>
  <c r="Q164"/>
  <c r="R164"/>
  <c r="S164"/>
  <c r="T164"/>
  <c r="U164"/>
  <c r="V164"/>
  <c r="W164"/>
  <c r="X164"/>
  <c r="Y164"/>
  <c r="Z164"/>
  <c r="AB164"/>
  <c r="E89"/>
  <c r="G89"/>
  <c r="H89"/>
  <c r="I89"/>
  <c r="J89"/>
  <c r="K89"/>
  <c r="M89"/>
  <c r="N89"/>
  <c r="AA89"/>
  <c r="D89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B7"/>
  <c r="D8"/>
  <c r="E8"/>
  <c r="F8"/>
  <c r="G8"/>
  <c r="H8"/>
  <c r="I8"/>
  <c r="J8"/>
  <c r="K8"/>
  <c r="L8"/>
  <c r="M8"/>
  <c r="N8"/>
  <c r="AB8"/>
  <c r="D9"/>
  <c r="E9"/>
  <c r="G9"/>
  <c r="H9"/>
  <c r="I9"/>
  <c r="J9"/>
  <c r="K9"/>
  <c r="L9"/>
  <c r="M9"/>
  <c r="N9"/>
  <c r="AA9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B10"/>
  <c r="D11"/>
  <c r="E11"/>
  <c r="F11"/>
  <c r="G11"/>
  <c r="H11"/>
  <c r="I11"/>
  <c r="J11"/>
  <c r="K11"/>
  <c r="L11"/>
  <c r="M11"/>
  <c r="N11"/>
  <c r="AB11"/>
  <c r="D12"/>
  <c r="E12"/>
  <c r="G12"/>
  <c r="H12"/>
  <c r="I12"/>
  <c r="J12"/>
  <c r="K12"/>
  <c r="L12"/>
  <c r="M12"/>
  <c r="N12"/>
  <c r="AA12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B13"/>
  <c r="D14"/>
  <c r="E14"/>
  <c r="F14"/>
  <c r="G14"/>
  <c r="H14"/>
  <c r="I14"/>
  <c r="J14"/>
  <c r="K14"/>
  <c r="L14"/>
  <c r="M14"/>
  <c r="N14"/>
  <c r="AB14"/>
  <c r="D15"/>
  <c r="E15"/>
  <c r="G15"/>
  <c r="H15"/>
  <c r="I15"/>
  <c r="J15"/>
  <c r="K15"/>
  <c r="L15"/>
  <c r="M15"/>
  <c r="N15"/>
  <c r="AA15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B16"/>
  <c r="D17"/>
  <c r="E17"/>
  <c r="F17"/>
  <c r="G17"/>
  <c r="H17"/>
  <c r="I17"/>
  <c r="J17"/>
  <c r="K17"/>
  <c r="L17"/>
  <c r="M17"/>
  <c r="N17"/>
  <c r="Z17"/>
  <c r="AB17"/>
  <c r="D18"/>
  <c r="E18"/>
  <c r="G18"/>
  <c r="H18"/>
  <c r="I18"/>
  <c r="J18"/>
  <c r="K18"/>
  <c r="L18"/>
  <c r="M18"/>
  <c r="N18"/>
  <c r="AA18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B19"/>
  <c r="D20"/>
  <c r="E20"/>
  <c r="F20"/>
  <c r="G20"/>
  <c r="H20"/>
  <c r="I20"/>
  <c r="J20"/>
  <c r="K20"/>
  <c r="L20"/>
  <c r="M20"/>
  <c r="N20"/>
  <c r="AB20"/>
  <c r="D21"/>
  <c r="E21"/>
  <c r="G21"/>
  <c r="H21"/>
  <c r="I21"/>
  <c r="J21"/>
  <c r="K21"/>
  <c r="L21"/>
  <c r="M21"/>
  <c r="N21"/>
  <c r="AA21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B22"/>
  <c r="D23"/>
  <c r="E23"/>
  <c r="F23"/>
  <c r="G23"/>
  <c r="H23"/>
  <c r="I23"/>
  <c r="J23"/>
  <c r="K23"/>
  <c r="L23"/>
  <c r="M23"/>
  <c r="N23"/>
  <c r="AB23"/>
  <c r="D24"/>
  <c r="E24"/>
  <c r="G24"/>
  <c r="H24"/>
  <c r="I24"/>
  <c r="J24"/>
  <c r="K24"/>
  <c r="L24"/>
  <c r="M24"/>
  <c r="N24"/>
  <c r="AA24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B25"/>
  <c r="D26"/>
  <c r="E26"/>
  <c r="F26"/>
  <c r="G26"/>
  <c r="H26"/>
  <c r="I26"/>
  <c r="J26"/>
  <c r="K26"/>
  <c r="L26"/>
  <c r="M26"/>
  <c r="N26"/>
  <c r="AB26"/>
  <c r="D27"/>
  <c r="E27"/>
  <c r="G27"/>
  <c r="H27"/>
  <c r="I27"/>
  <c r="J27"/>
  <c r="K27"/>
  <c r="L27"/>
  <c r="M27"/>
  <c r="N27"/>
  <c r="AA27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B28"/>
  <c r="D29"/>
  <c r="E29"/>
  <c r="F29"/>
  <c r="G29"/>
  <c r="H29"/>
  <c r="I29"/>
  <c r="J29"/>
  <c r="K29"/>
  <c r="L29"/>
  <c r="M29"/>
  <c r="N29"/>
  <c r="AB29"/>
  <c r="D30"/>
  <c r="E30"/>
  <c r="G30"/>
  <c r="H30"/>
  <c r="I30"/>
  <c r="J30"/>
  <c r="K30"/>
  <c r="L30"/>
  <c r="M30"/>
  <c r="N30"/>
  <c r="AA30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B31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B32"/>
  <c r="D33"/>
  <c r="E33"/>
  <c r="G33"/>
  <c r="H33"/>
  <c r="I33"/>
  <c r="J33"/>
  <c r="K33"/>
  <c r="L33"/>
  <c r="M33"/>
  <c r="N33"/>
  <c r="AA33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B34"/>
  <c r="D35"/>
  <c r="E35"/>
  <c r="F35"/>
  <c r="G35"/>
  <c r="H35"/>
  <c r="I35"/>
  <c r="J35"/>
  <c r="K35"/>
  <c r="L35"/>
  <c r="M35"/>
  <c r="N35"/>
  <c r="AB35"/>
  <c r="D36"/>
  <c r="E36"/>
  <c r="G36"/>
  <c r="H36"/>
  <c r="I36"/>
  <c r="J36"/>
  <c r="K36"/>
  <c r="L36"/>
  <c r="M36"/>
  <c r="N36"/>
  <c r="AA36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B37"/>
  <c r="D38"/>
  <c r="E38"/>
  <c r="F38"/>
  <c r="G38"/>
  <c r="H38"/>
  <c r="I38"/>
  <c r="J38"/>
  <c r="K38"/>
  <c r="L38"/>
  <c r="M38"/>
  <c r="N38"/>
  <c r="AB38"/>
  <c r="D39"/>
  <c r="E39"/>
  <c r="G39"/>
  <c r="H39"/>
  <c r="I39"/>
  <c r="J39"/>
  <c r="K39"/>
  <c r="L39"/>
  <c r="M39"/>
  <c r="N39"/>
  <c r="AA39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B40"/>
  <c r="D41"/>
  <c r="E41"/>
  <c r="F41"/>
  <c r="G41"/>
  <c r="H41"/>
  <c r="I41"/>
  <c r="J41"/>
  <c r="K41"/>
  <c r="L41"/>
  <c r="M41"/>
  <c r="N41"/>
  <c r="AB41"/>
  <c r="D42"/>
  <c r="E42"/>
  <c r="G42"/>
  <c r="H42"/>
  <c r="I42"/>
  <c r="J42"/>
  <c r="K42"/>
  <c r="L42"/>
  <c r="M42"/>
  <c r="N42"/>
  <c r="AA42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B43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B44"/>
  <c r="D45"/>
  <c r="E45"/>
  <c r="G45"/>
  <c r="H45"/>
  <c r="I45"/>
  <c r="J45"/>
  <c r="K45"/>
  <c r="L45"/>
  <c r="M45"/>
  <c r="N45"/>
  <c r="AA45"/>
  <c r="D46"/>
  <c r="E46"/>
  <c r="F46"/>
  <c r="G46"/>
  <c r="H46"/>
  <c r="I46"/>
  <c r="J46"/>
  <c r="K46"/>
  <c r="L46"/>
  <c r="M46"/>
  <c r="N46"/>
  <c r="AB46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B47"/>
  <c r="D48"/>
  <c r="E48"/>
  <c r="G48"/>
  <c r="H48"/>
  <c r="I48"/>
  <c r="J48"/>
  <c r="K48"/>
  <c r="L48"/>
  <c r="M48"/>
  <c r="N48"/>
  <c r="AA48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B49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B50"/>
  <c r="D51"/>
  <c r="E51"/>
  <c r="G51"/>
  <c r="H51"/>
  <c r="I51"/>
  <c r="J51"/>
  <c r="K51"/>
  <c r="L51"/>
  <c r="M51"/>
  <c r="N51"/>
  <c r="AA51"/>
  <c r="D52"/>
  <c r="E52"/>
  <c r="F52"/>
  <c r="G52"/>
  <c r="H52"/>
  <c r="I52"/>
  <c r="J52"/>
  <c r="K52"/>
  <c r="L52"/>
  <c r="M52"/>
  <c r="N52"/>
  <c r="AB52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B53"/>
  <c r="D54"/>
  <c r="E54"/>
  <c r="G54"/>
  <c r="H54"/>
  <c r="I54"/>
  <c r="J54"/>
  <c r="K54"/>
  <c r="L54"/>
  <c r="M54"/>
  <c r="N54"/>
  <c r="AA54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B55"/>
  <c r="D56"/>
  <c r="E56"/>
  <c r="F56"/>
  <c r="G56"/>
  <c r="H56"/>
  <c r="I56"/>
  <c r="J56"/>
  <c r="K56"/>
  <c r="L56"/>
  <c r="M56"/>
  <c r="N56"/>
  <c r="AB56"/>
  <c r="D57"/>
  <c r="E57"/>
  <c r="G57"/>
  <c r="H57"/>
  <c r="I57"/>
  <c r="J57"/>
  <c r="K57"/>
  <c r="L57"/>
  <c r="M57"/>
  <c r="N57"/>
  <c r="AA57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B58"/>
  <c r="D59"/>
  <c r="E59"/>
  <c r="F59"/>
  <c r="G59"/>
  <c r="H59"/>
  <c r="I59"/>
  <c r="J59"/>
  <c r="K59"/>
  <c r="L59"/>
  <c r="M59"/>
  <c r="N59"/>
  <c r="AB59"/>
  <c r="D60"/>
  <c r="E60"/>
  <c r="G60"/>
  <c r="H60"/>
  <c r="I60"/>
  <c r="J60"/>
  <c r="K60"/>
  <c r="L60"/>
  <c r="M60"/>
  <c r="N60"/>
  <c r="AA60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B61"/>
  <c r="D62"/>
  <c r="E62"/>
  <c r="F62"/>
  <c r="G62"/>
  <c r="H62"/>
  <c r="I62"/>
  <c r="J62"/>
  <c r="K62"/>
  <c r="L62"/>
  <c r="M62"/>
  <c r="N62"/>
  <c r="AB62"/>
  <c r="D63"/>
  <c r="E63"/>
  <c r="G63"/>
  <c r="H63"/>
  <c r="I63"/>
  <c r="J63"/>
  <c r="K63"/>
  <c r="L63"/>
  <c r="M63"/>
  <c r="N63"/>
  <c r="AA63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B64"/>
  <c r="D65"/>
  <c r="E65"/>
  <c r="F65"/>
  <c r="G65"/>
  <c r="H65"/>
  <c r="I65"/>
  <c r="J65"/>
  <c r="K65"/>
  <c r="L65"/>
  <c r="M65"/>
  <c r="N65"/>
  <c r="AB65"/>
  <c r="D66"/>
  <c r="E66"/>
  <c r="G66"/>
  <c r="H66"/>
  <c r="I66"/>
  <c r="J66"/>
  <c r="K66"/>
  <c r="L66"/>
  <c r="M66"/>
  <c r="N66"/>
  <c r="AA66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B67"/>
  <c r="D68"/>
  <c r="E68"/>
  <c r="F68"/>
  <c r="G68"/>
  <c r="H68"/>
  <c r="I68"/>
  <c r="J68"/>
  <c r="K68"/>
  <c r="L68"/>
  <c r="M68"/>
  <c r="N68"/>
  <c r="AB68"/>
  <c r="D69"/>
  <c r="E69"/>
  <c r="G69"/>
  <c r="H69"/>
  <c r="I69"/>
  <c r="J69"/>
  <c r="K69"/>
  <c r="L69"/>
  <c r="M69"/>
  <c r="N69"/>
  <c r="AA69"/>
  <c r="D70"/>
  <c r="E70"/>
  <c r="F70"/>
  <c r="G70"/>
  <c r="H70"/>
  <c r="I70"/>
  <c r="J70"/>
  <c r="K70"/>
  <c r="L70"/>
  <c r="M70"/>
  <c r="N70"/>
  <c r="U70"/>
  <c r="AB70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B71"/>
  <c r="D72"/>
  <c r="E72"/>
  <c r="G72"/>
  <c r="H72"/>
  <c r="I72"/>
  <c r="J72"/>
  <c r="K72"/>
  <c r="L72"/>
  <c r="M72"/>
  <c r="N72"/>
  <c r="AA72"/>
  <c r="D73"/>
  <c r="E73"/>
  <c r="F73"/>
  <c r="G73"/>
  <c r="H73"/>
  <c r="I73"/>
  <c r="J73"/>
  <c r="K73"/>
  <c r="L73"/>
  <c r="M73"/>
  <c r="N73"/>
  <c r="U73"/>
  <c r="AB73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B74"/>
  <c r="D75"/>
  <c r="E75"/>
  <c r="G75"/>
  <c r="H75"/>
  <c r="I75"/>
  <c r="J75"/>
  <c r="K75"/>
  <c r="L75"/>
  <c r="M75"/>
  <c r="N75"/>
  <c r="AA75"/>
  <c r="D76"/>
  <c r="E76"/>
  <c r="F76"/>
  <c r="G76"/>
  <c r="H76"/>
  <c r="I76"/>
  <c r="J76"/>
  <c r="K76"/>
  <c r="L76"/>
  <c r="M76"/>
  <c r="N76"/>
  <c r="U76"/>
  <c r="V76"/>
  <c r="W76"/>
  <c r="X76"/>
  <c r="Y76"/>
  <c r="Z76"/>
  <c r="AB76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B77"/>
  <c r="D78"/>
  <c r="E78"/>
  <c r="G78"/>
  <c r="H78"/>
  <c r="I78"/>
  <c r="J78"/>
  <c r="K78"/>
  <c r="L78"/>
  <c r="M78"/>
  <c r="N78"/>
  <c r="AA78"/>
  <c r="D79"/>
  <c r="E79"/>
  <c r="F79"/>
  <c r="G79"/>
  <c r="H79"/>
  <c r="I79"/>
  <c r="J79"/>
  <c r="K79"/>
  <c r="L79"/>
  <c r="M79"/>
  <c r="N79"/>
  <c r="AB79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B80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E6"/>
  <c r="G6"/>
  <c r="H6"/>
  <c r="I6"/>
  <c r="J6"/>
  <c r="K6"/>
  <c r="L6"/>
  <c r="M6"/>
  <c r="N6"/>
  <c r="AA6"/>
  <c r="D6"/>
  <c r="O329"/>
  <c r="Z98" i="37"/>
  <c r="AA563" i="32" s="1"/>
  <c r="W561"/>
  <c r="V561"/>
  <c r="U561"/>
  <c r="T561"/>
  <c r="S561"/>
  <c r="R561"/>
  <c r="N96" i="37"/>
  <c r="R519" i="32"/>
  <c r="S519"/>
  <c r="T519"/>
  <c r="U519"/>
  <c r="V519"/>
  <c r="W519"/>
  <c r="AA135" i="28"/>
  <c r="AB290" i="32" s="1"/>
  <c r="W288"/>
  <c r="V288"/>
  <c r="U288"/>
  <c r="T288"/>
  <c r="S288"/>
  <c r="R288"/>
  <c r="Q288"/>
  <c r="P288"/>
  <c r="N133" i="28"/>
  <c r="O288" i="32" s="1"/>
  <c r="R233"/>
  <c r="S233"/>
  <c r="T233"/>
  <c r="U233"/>
  <c r="V233"/>
  <c r="W233"/>
  <c r="S255"/>
  <c r="Q261"/>
  <c r="R261"/>
  <c r="S261"/>
  <c r="T261"/>
  <c r="T309"/>
  <c r="R370"/>
  <c r="S370"/>
  <c r="T370"/>
  <c r="U370"/>
  <c r="V370"/>
  <c r="W370"/>
  <c r="W441"/>
  <c r="V438"/>
  <c r="U441"/>
  <c r="T441"/>
  <c r="P441"/>
  <c r="N157" i="7"/>
  <c r="Z76" i="2"/>
  <c r="AA150" i="32" s="1"/>
  <c r="Z75" i="2"/>
  <c r="AA149" i="32" s="1"/>
  <c r="Z75" i="21"/>
  <c r="AA64" i="32" s="1"/>
  <c r="W65"/>
  <c r="T65"/>
  <c r="S65"/>
  <c r="R65"/>
  <c r="N74" i="21"/>
  <c r="O65" i="32" s="1"/>
  <c r="P289"/>
  <c r="Q289"/>
  <c r="O289"/>
  <c r="Z134" i="28"/>
  <c r="AA289" i="32" s="1"/>
  <c r="AA134" i="28"/>
  <c r="AB289" i="32" s="1"/>
  <c r="AA162" i="28"/>
  <c r="AB311" i="32" s="1"/>
  <c r="W309"/>
  <c r="V309"/>
  <c r="U309"/>
  <c r="S309"/>
  <c r="R309"/>
  <c r="Q309"/>
  <c r="P309"/>
  <c r="N160" i="28"/>
  <c r="O309" i="32" s="1"/>
  <c r="AA99" i="28"/>
  <c r="AB263" i="32" s="1"/>
  <c r="AA98" i="28"/>
  <c r="AB262" i="32" s="1"/>
  <c r="W261"/>
  <c r="V261"/>
  <c r="U261"/>
  <c r="P261"/>
  <c r="N97" i="28"/>
  <c r="O261" i="32" s="1"/>
  <c r="AA90" i="28"/>
  <c r="AB257" i="32" s="1"/>
  <c r="AA89" i="28"/>
  <c r="AB256" i="32" s="1"/>
  <c r="W255"/>
  <c r="V255"/>
  <c r="U255"/>
  <c r="T255"/>
  <c r="R255"/>
  <c r="Q255"/>
  <c r="P255"/>
  <c r="N88" i="28"/>
  <c r="O255" i="32" s="1"/>
  <c r="P183"/>
  <c r="Q183"/>
  <c r="R183"/>
  <c r="S183"/>
  <c r="T183"/>
  <c r="U183"/>
  <c r="V183"/>
  <c r="W183"/>
  <c r="O183"/>
  <c r="AA19" i="39"/>
  <c r="AA185" i="32" s="1"/>
  <c r="AA18" i="39"/>
  <c r="AA184" i="32" s="1"/>
  <c r="AA428"/>
  <c r="W429"/>
  <c r="V426"/>
  <c r="U429"/>
  <c r="T426"/>
  <c r="S429"/>
  <c r="R429"/>
  <c r="Q426"/>
  <c r="P426"/>
  <c r="N139" i="7"/>
  <c r="N142" s="1"/>
  <c r="Z142" s="1"/>
  <c r="AA161" i="28"/>
  <c r="AB310" i="32" s="1"/>
  <c r="AA37" i="28"/>
  <c r="AB217" i="32" s="1"/>
  <c r="AA36" i="28"/>
  <c r="AB216" i="32" s="1"/>
  <c r="AA32" i="28"/>
  <c r="AB212" i="32" s="1"/>
  <c r="AA31" i="28"/>
  <c r="AB211" i="32" s="1"/>
  <c r="AA33" i="28"/>
  <c r="AB213" i="32" s="1"/>
  <c r="N34" i="28"/>
  <c r="O214" i="32" s="1"/>
  <c r="P214"/>
  <c r="Q214"/>
  <c r="R214"/>
  <c r="S214"/>
  <c r="T214"/>
  <c r="U214"/>
  <c r="V214"/>
  <c r="W214"/>
  <c r="AA27" i="28"/>
  <c r="AB207" i="32" s="1"/>
  <c r="AB201"/>
  <c r="AA201"/>
  <c r="AA46" i="28"/>
  <c r="AB222" i="32" s="1"/>
  <c r="AA47" i="28"/>
  <c r="AB223" i="32" s="1"/>
  <c r="P329"/>
  <c r="Q329"/>
  <c r="R329"/>
  <c r="S329"/>
  <c r="T329"/>
  <c r="U329"/>
  <c r="V329"/>
  <c r="W329"/>
  <c r="N53" i="7"/>
  <c r="O353" i="32" s="1"/>
  <c r="P353"/>
  <c r="Q356"/>
  <c r="R356"/>
  <c r="S356"/>
  <c r="T356"/>
  <c r="U353"/>
  <c r="V353"/>
  <c r="W353"/>
  <c r="W343"/>
  <c r="V347"/>
  <c r="U343"/>
  <c r="T343"/>
  <c r="S344"/>
  <c r="R344"/>
  <c r="Q344"/>
  <c r="P347"/>
  <c r="N43" i="7"/>
  <c r="N47" s="1"/>
  <c r="Z47" s="1"/>
  <c r="Z86" i="37"/>
  <c r="AA551" i="32" s="1"/>
  <c r="Z85" i="37"/>
  <c r="AA550" i="32" s="1"/>
  <c r="W549"/>
  <c r="V549"/>
  <c r="U549"/>
  <c r="T549"/>
  <c r="S549"/>
  <c r="R549"/>
  <c r="Q549"/>
  <c r="P549"/>
  <c r="N84" i="37"/>
  <c r="O549" i="32" s="1"/>
  <c r="W576"/>
  <c r="V576"/>
  <c r="U576"/>
  <c r="V573"/>
  <c r="U573"/>
  <c r="W570"/>
  <c r="V570"/>
  <c r="U570"/>
  <c r="W567"/>
  <c r="V567"/>
  <c r="U567"/>
  <c r="W564"/>
  <c r="V564"/>
  <c r="U564"/>
  <c r="W558"/>
  <c r="V558"/>
  <c r="U558"/>
  <c r="W555"/>
  <c r="V555"/>
  <c r="U555"/>
  <c r="W552"/>
  <c r="V552"/>
  <c r="U552"/>
  <c r="W546"/>
  <c r="V546"/>
  <c r="U546"/>
  <c r="W543"/>
  <c r="V543"/>
  <c r="U543"/>
  <c r="W540"/>
  <c r="V540"/>
  <c r="U540"/>
  <c r="W535"/>
  <c r="V535"/>
  <c r="W530"/>
  <c r="V530"/>
  <c r="U530"/>
  <c r="W525"/>
  <c r="V525"/>
  <c r="U525"/>
  <c r="W522"/>
  <c r="V522"/>
  <c r="U522"/>
  <c r="W514"/>
  <c r="V514"/>
  <c r="U514"/>
  <c r="W509"/>
  <c r="V509"/>
  <c r="U509"/>
  <c r="W504"/>
  <c r="V504"/>
  <c r="U504"/>
  <c r="W499"/>
  <c r="V499"/>
  <c r="U499"/>
  <c r="W494"/>
  <c r="U498"/>
  <c r="W489"/>
  <c r="V489"/>
  <c r="U489"/>
  <c r="AA78" i="28"/>
  <c r="AB246" i="32" s="1"/>
  <c r="AA77" i="28"/>
  <c r="AB245" i="32" s="1"/>
  <c r="W244"/>
  <c r="V244"/>
  <c r="U244"/>
  <c r="T244"/>
  <c r="S244"/>
  <c r="R244"/>
  <c r="Q244"/>
  <c r="P244"/>
  <c r="N76" i="28"/>
  <c r="O244" i="32" s="1"/>
  <c r="AA83" i="28"/>
  <c r="AB250" i="32" s="1"/>
  <c r="AA84" i="28"/>
  <c r="AB251" i="32" s="1"/>
  <c r="AA53" i="28"/>
  <c r="AB229" i="32" s="1"/>
  <c r="W227"/>
  <c r="V227"/>
  <c r="U227"/>
  <c r="T227"/>
  <c r="S227"/>
  <c r="R227"/>
  <c r="Q227"/>
  <c r="P227"/>
  <c r="N51" i="28"/>
  <c r="O227" i="32" s="1"/>
  <c r="U177"/>
  <c r="V177"/>
  <c r="W177"/>
  <c r="O177"/>
  <c r="P177"/>
  <c r="R177"/>
  <c r="S177"/>
  <c r="T177"/>
  <c r="AA111" i="28"/>
  <c r="AB275" i="32" s="1"/>
  <c r="W273"/>
  <c r="V273"/>
  <c r="U273"/>
  <c r="T273"/>
  <c r="S273"/>
  <c r="R273"/>
  <c r="Z110" i="28"/>
  <c r="AA274" i="32" s="1"/>
  <c r="P273"/>
  <c r="N109" i="28"/>
  <c r="O273" i="32" s="1"/>
  <c r="W306"/>
  <c r="V306"/>
  <c r="U306"/>
  <c r="W303"/>
  <c r="V303"/>
  <c r="U303"/>
  <c r="W300"/>
  <c r="V300"/>
  <c r="U300"/>
  <c r="W297"/>
  <c r="V297"/>
  <c r="U297"/>
  <c r="W294"/>
  <c r="V294"/>
  <c r="U294"/>
  <c r="W291"/>
  <c r="V291"/>
  <c r="U291"/>
  <c r="W285"/>
  <c r="V285"/>
  <c r="U285"/>
  <c r="W282"/>
  <c r="V282"/>
  <c r="U282"/>
  <c r="W279"/>
  <c r="V279"/>
  <c r="U279"/>
  <c r="W276"/>
  <c r="V276"/>
  <c r="U276"/>
  <c r="W270"/>
  <c r="V270"/>
  <c r="U270"/>
  <c r="W267"/>
  <c r="V267"/>
  <c r="U267"/>
  <c r="W264"/>
  <c r="V264"/>
  <c r="U264"/>
  <c r="W258"/>
  <c r="V258"/>
  <c r="U258"/>
  <c r="W252"/>
  <c r="V252"/>
  <c r="U252"/>
  <c r="W247"/>
  <c r="V247"/>
  <c r="U247"/>
  <c r="W239"/>
  <c r="V239"/>
  <c r="U239"/>
  <c r="W236"/>
  <c r="V236"/>
  <c r="U236"/>
  <c r="W230"/>
  <c r="V230"/>
  <c r="U230"/>
  <c r="W224"/>
  <c r="V224"/>
  <c r="U224"/>
  <c r="W219"/>
  <c r="V219"/>
  <c r="U219"/>
  <c r="W209"/>
  <c r="V209"/>
  <c r="U209"/>
  <c r="W203"/>
  <c r="V203"/>
  <c r="U203"/>
  <c r="W197"/>
  <c r="V197"/>
  <c r="U197"/>
  <c r="W385"/>
  <c r="V381"/>
  <c r="U385"/>
  <c r="T385"/>
  <c r="S385"/>
  <c r="R385"/>
  <c r="Q381"/>
  <c r="P385"/>
  <c r="N89" i="7"/>
  <c r="W415" i="32"/>
  <c r="U415"/>
  <c r="T416"/>
  <c r="S415"/>
  <c r="R416"/>
  <c r="Q416"/>
  <c r="P416"/>
  <c r="N127" i="7"/>
  <c r="N129" s="1"/>
  <c r="Z129" s="1"/>
  <c r="W462" i="32"/>
  <c r="V463"/>
  <c r="U463"/>
  <c r="W457"/>
  <c r="V456"/>
  <c r="U457"/>
  <c r="W454"/>
  <c r="V454"/>
  <c r="U454"/>
  <c r="W450"/>
  <c r="V451"/>
  <c r="U451"/>
  <c r="W446"/>
  <c r="V449"/>
  <c r="U449"/>
  <c r="W445"/>
  <c r="V442"/>
  <c r="U445"/>
  <c r="W437"/>
  <c r="U437"/>
  <c r="W433"/>
  <c r="V433"/>
  <c r="U430"/>
  <c r="W420"/>
  <c r="V418"/>
  <c r="U420"/>
  <c r="W411"/>
  <c r="V411"/>
  <c r="U412"/>
  <c r="W406"/>
  <c r="V408"/>
  <c r="U407"/>
  <c r="W402"/>
  <c r="V404"/>
  <c r="U403"/>
  <c r="W401"/>
  <c r="V397"/>
  <c r="U397"/>
  <c r="W395"/>
  <c r="V395"/>
  <c r="U391"/>
  <c r="W390"/>
  <c r="V390"/>
  <c r="U386"/>
  <c r="W376"/>
  <c r="V376"/>
  <c r="U376"/>
  <c r="W373"/>
  <c r="V373"/>
  <c r="U373"/>
  <c r="W367"/>
  <c r="V369"/>
  <c r="U367"/>
  <c r="W362"/>
  <c r="V362"/>
  <c r="U362"/>
  <c r="W357"/>
  <c r="V357"/>
  <c r="U357"/>
  <c r="W348"/>
  <c r="V348"/>
  <c r="U348"/>
  <c r="W338"/>
  <c r="V337"/>
  <c r="U338"/>
  <c r="W332"/>
  <c r="V332"/>
  <c r="U332"/>
  <c r="W324"/>
  <c r="V324"/>
  <c r="U324"/>
  <c r="W321"/>
  <c r="V321"/>
  <c r="U321"/>
  <c r="Z64" i="2"/>
  <c r="AA138" i="32" s="1"/>
  <c r="Z63" i="2"/>
  <c r="AA137" i="32" s="1"/>
  <c r="Z64" i="21"/>
  <c r="AA53" i="32" s="1"/>
  <c r="W52"/>
  <c r="V51"/>
  <c r="U52"/>
  <c r="T51"/>
  <c r="S52"/>
  <c r="R51"/>
  <c r="Q51"/>
  <c r="P52"/>
  <c r="N62" i="21"/>
  <c r="O52" i="32" s="1"/>
  <c r="N65" i="21"/>
  <c r="O56" i="32" s="1"/>
  <c r="P56"/>
  <c r="Q54"/>
  <c r="R54"/>
  <c r="T54"/>
  <c r="U54"/>
  <c r="V54"/>
  <c r="W56"/>
  <c r="Z66" i="21"/>
  <c r="AA55" i="32" s="1"/>
  <c r="Z15" i="21"/>
  <c r="AA7" i="32" s="1"/>
  <c r="W6"/>
  <c r="V8"/>
  <c r="U8"/>
  <c r="T8"/>
  <c r="S8"/>
  <c r="R6"/>
  <c r="Q6"/>
  <c r="P8"/>
  <c r="N14" i="21"/>
  <c r="O6" i="32" s="1"/>
  <c r="W78"/>
  <c r="V78"/>
  <c r="U78"/>
  <c r="W75"/>
  <c r="V75"/>
  <c r="U75"/>
  <c r="W72"/>
  <c r="V72"/>
  <c r="U72"/>
  <c r="W70"/>
  <c r="V69"/>
  <c r="U69"/>
  <c r="W66"/>
  <c r="V68"/>
  <c r="U66"/>
  <c r="W60"/>
  <c r="V62"/>
  <c r="U60"/>
  <c r="W57"/>
  <c r="V57"/>
  <c r="U57"/>
  <c r="W48"/>
  <c r="V48"/>
  <c r="U48"/>
  <c r="W46"/>
  <c r="V46"/>
  <c r="U46"/>
  <c r="W42"/>
  <c r="V42"/>
  <c r="U42"/>
  <c r="W39"/>
  <c r="U302" i="47"/>
  <c r="U316" s="1"/>
  <c r="T302"/>
  <c r="T316" s="1"/>
  <c r="W38" i="32"/>
  <c r="V38"/>
  <c r="U36"/>
  <c r="W33"/>
  <c r="V33"/>
  <c r="U33"/>
  <c r="W30"/>
  <c r="V30"/>
  <c r="U30"/>
  <c r="V32" i="47"/>
  <c r="V41" s="1"/>
  <c r="V27" i="32"/>
  <c r="T32" i="47"/>
  <c r="T46" s="1"/>
  <c r="V167"/>
  <c r="V178" s="1"/>
  <c r="V26" i="32"/>
  <c r="U26"/>
  <c r="W21"/>
  <c r="V23"/>
  <c r="U23"/>
  <c r="V317" i="47"/>
  <c r="U317"/>
  <c r="U331" s="1"/>
  <c r="U15" s="1"/>
  <c r="U18" i="32"/>
  <c r="W15"/>
  <c r="U287" i="47"/>
  <c r="U299" s="1"/>
  <c r="U17" i="32"/>
  <c r="W12"/>
  <c r="V14"/>
  <c r="T152" i="47"/>
  <c r="T165" s="1"/>
  <c r="W9" i="32"/>
  <c r="U9"/>
  <c r="E484"/>
  <c r="Z80" i="37"/>
  <c r="AA545" i="32" s="1"/>
  <c r="Z79" i="37"/>
  <c r="AA544" i="32" s="1"/>
  <c r="T543"/>
  <c r="S543"/>
  <c r="R543"/>
  <c r="Q543"/>
  <c r="P543"/>
  <c r="N78" i="37"/>
  <c r="O543" i="32" s="1"/>
  <c r="Z77" i="37"/>
  <c r="AA542" i="32" s="1"/>
  <c r="Z76" i="37"/>
  <c r="AA541" i="32" s="1"/>
  <c r="S540"/>
  <c r="R540"/>
  <c r="Q540"/>
  <c r="P540"/>
  <c r="N75" i="37"/>
  <c r="O540" i="32" s="1"/>
  <c r="Z539"/>
  <c r="X534"/>
  <c r="Z508"/>
  <c r="X498"/>
  <c r="X488"/>
  <c r="Z40" i="37"/>
  <c r="AA510" i="32" s="1"/>
  <c r="T509"/>
  <c r="S509"/>
  <c r="R509"/>
  <c r="Q509"/>
  <c r="P513"/>
  <c r="N39" i="37"/>
  <c r="AA105" i="28"/>
  <c r="AB269" i="32" s="1"/>
  <c r="T267"/>
  <c r="S267"/>
  <c r="R267"/>
  <c r="Q268"/>
  <c r="P267"/>
  <c r="N103" i="28"/>
  <c r="AA102"/>
  <c r="AB266" i="32" s="1"/>
  <c r="T264"/>
  <c r="S264"/>
  <c r="R264"/>
  <c r="Q264"/>
  <c r="P264"/>
  <c r="N100" i="28"/>
  <c r="O264" i="32" s="1"/>
  <c r="AA58" i="28"/>
  <c r="AB232" i="32" s="1"/>
  <c r="AA55" i="28"/>
  <c r="AB231" i="32" s="1"/>
  <c r="T230"/>
  <c r="S230"/>
  <c r="R230"/>
  <c r="Q230"/>
  <c r="P230"/>
  <c r="N54" i="28"/>
  <c r="O230" i="32" s="1"/>
  <c r="N19" i="7"/>
  <c r="O324" i="32" s="1"/>
  <c r="T407"/>
  <c r="S407"/>
  <c r="R407"/>
  <c r="Q407"/>
  <c r="P406"/>
  <c r="N119" i="7"/>
  <c r="T402" i="32"/>
  <c r="S403"/>
  <c r="R402"/>
  <c r="Q402"/>
  <c r="P404"/>
  <c r="N115" i="7"/>
  <c r="N117" s="1"/>
  <c r="Z117" s="1"/>
  <c r="T362" i="32"/>
  <c r="S362"/>
  <c r="R362"/>
  <c r="Q362"/>
  <c r="P362"/>
  <c r="N63" i="7"/>
  <c r="O362" i="32" s="1"/>
  <c r="Z58" i="2"/>
  <c r="AA132" i="32" s="1"/>
  <c r="Z57" i="2"/>
  <c r="AA131" i="32" s="1"/>
  <c r="Z55" i="2"/>
  <c r="AA129" i="32" s="1"/>
  <c r="Z54" i="2"/>
  <c r="AA128" i="32" s="1"/>
  <c r="AA101" i="28"/>
  <c r="AB265" i="32" s="1"/>
  <c r="Z31" i="2"/>
  <c r="AA106" i="32" s="1"/>
  <c r="Z30" i="2"/>
  <c r="AA105" i="32" s="1"/>
  <c r="Z30" i="21"/>
  <c r="AA22" i="32" s="1"/>
  <c r="T23"/>
  <c r="S23"/>
  <c r="R21"/>
  <c r="Q21"/>
  <c r="P21"/>
  <c r="N29" i="21"/>
  <c r="O21" i="32" s="1"/>
  <c r="T46"/>
  <c r="S45"/>
  <c r="R46"/>
  <c r="Q46"/>
  <c r="P45"/>
  <c r="N56" i="21"/>
  <c r="O45" i="32" s="1"/>
  <c r="Z54" i="21"/>
  <c r="AA43" i="32" s="1"/>
  <c r="T42"/>
  <c r="S42"/>
  <c r="R42"/>
  <c r="Q42"/>
  <c r="P42"/>
  <c r="N53" i="21"/>
  <c r="O42" i="32" s="1"/>
  <c r="Z55" i="21"/>
  <c r="AA44" i="32" s="1"/>
  <c r="Z58" i="21"/>
  <c r="AA47" i="32" s="1"/>
  <c r="T324"/>
  <c r="S324"/>
  <c r="R324"/>
  <c r="P324"/>
  <c r="Q324"/>
  <c r="T576"/>
  <c r="R576"/>
  <c r="Q576"/>
  <c r="P576"/>
  <c r="N114" i="37"/>
  <c r="O576" i="32" s="1"/>
  <c r="T573"/>
  <c r="S573"/>
  <c r="R573"/>
  <c r="Q573"/>
  <c r="P573"/>
  <c r="N111" i="37"/>
  <c r="T570" i="32"/>
  <c r="S570"/>
  <c r="R570"/>
  <c r="Q570"/>
  <c r="P570"/>
  <c r="N108" i="37"/>
  <c r="O570" i="32" s="1"/>
  <c r="T567"/>
  <c r="S567"/>
  <c r="R567"/>
  <c r="Q567"/>
  <c r="P567"/>
  <c r="N102" i="37"/>
  <c r="O567" i="32" s="1"/>
  <c r="S564"/>
  <c r="R564"/>
  <c r="Q564"/>
  <c r="P564"/>
  <c r="N99" i="37"/>
  <c r="O564" i="32" s="1"/>
  <c r="T558"/>
  <c r="S558"/>
  <c r="R558"/>
  <c r="Q558"/>
  <c r="P558"/>
  <c r="N93" i="37"/>
  <c r="T555" i="32"/>
  <c r="S555"/>
  <c r="R555"/>
  <c r="Q555"/>
  <c r="P555"/>
  <c r="N90" i="37"/>
  <c r="T552" i="32"/>
  <c r="S552"/>
  <c r="R552"/>
  <c r="Q552"/>
  <c r="P552"/>
  <c r="N87" i="37"/>
  <c r="T546" i="32"/>
  <c r="S546"/>
  <c r="R546"/>
  <c r="Q546"/>
  <c r="P546"/>
  <c r="N81" i="37"/>
  <c r="O546" i="32" s="1"/>
  <c r="T522"/>
  <c r="S522"/>
  <c r="R522"/>
  <c r="Q522"/>
  <c r="P522"/>
  <c r="N52" i="37"/>
  <c r="P519" i="32"/>
  <c r="Q519"/>
  <c r="N49" i="37"/>
  <c r="T535" i="32"/>
  <c r="S539"/>
  <c r="R535"/>
  <c r="Q535"/>
  <c r="P535"/>
  <c r="N70" i="37"/>
  <c r="T530" i="32"/>
  <c r="S530"/>
  <c r="R530"/>
  <c r="Q530"/>
  <c r="P530"/>
  <c r="N60" i="37"/>
  <c r="T525" i="32"/>
  <c r="S529"/>
  <c r="R529"/>
  <c r="Q525"/>
  <c r="P525"/>
  <c r="N55" i="37"/>
  <c r="T514" i="32"/>
  <c r="S514"/>
  <c r="R514"/>
  <c r="Q514"/>
  <c r="P518"/>
  <c r="O514"/>
  <c r="T508"/>
  <c r="S508"/>
  <c r="R504"/>
  <c r="Q504"/>
  <c r="P504"/>
  <c r="N34" i="37"/>
  <c r="T499" i="32"/>
  <c r="S499"/>
  <c r="R503"/>
  <c r="Q499"/>
  <c r="P499"/>
  <c r="N29" i="37"/>
  <c r="T494" i="32"/>
  <c r="S494"/>
  <c r="R498"/>
  <c r="Q498"/>
  <c r="P494"/>
  <c r="N24" i="37"/>
  <c r="T489" i="32"/>
  <c r="S493"/>
  <c r="R489"/>
  <c r="P489"/>
  <c r="N19" i="37"/>
  <c r="N14"/>
  <c r="P247" i="32"/>
  <c r="Q247"/>
  <c r="R247"/>
  <c r="S247"/>
  <c r="T247"/>
  <c r="N79" i="28"/>
  <c r="O247" i="32" s="1"/>
  <c r="T306"/>
  <c r="S306"/>
  <c r="R306"/>
  <c r="Q306"/>
  <c r="P306"/>
  <c r="N157" i="28"/>
  <c r="O306" i="32" s="1"/>
  <c r="T303"/>
  <c r="S303"/>
  <c r="R303"/>
  <c r="Q303"/>
  <c r="P303"/>
  <c r="N154" i="28"/>
  <c r="O303" i="32" s="1"/>
  <c r="T300"/>
  <c r="S300"/>
  <c r="R300"/>
  <c r="Q300"/>
  <c r="P300"/>
  <c r="N151" i="28"/>
  <c r="O300" i="32" s="1"/>
  <c r="T297"/>
  <c r="S297"/>
  <c r="R297"/>
  <c r="Q297"/>
  <c r="P297"/>
  <c r="N145" i="28"/>
  <c r="O297" i="32" s="1"/>
  <c r="T294"/>
  <c r="S294"/>
  <c r="R294"/>
  <c r="Q294"/>
  <c r="P294"/>
  <c r="N142" i="28"/>
  <c r="O294" i="32" s="1"/>
  <c r="T291"/>
  <c r="S291"/>
  <c r="R291"/>
  <c r="Q291"/>
  <c r="P291"/>
  <c r="N139" i="28"/>
  <c r="O291" i="32" s="1"/>
  <c r="P285"/>
  <c r="Q285"/>
  <c r="R285"/>
  <c r="S285"/>
  <c r="T285"/>
  <c r="N127" i="28"/>
  <c r="O285" i="32" s="1"/>
  <c r="P282"/>
  <c r="Q282"/>
  <c r="R282"/>
  <c r="S282"/>
  <c r="T282"/>
  <c r="N124" i="28"/>
  <c r="O282" i="32" s="1"/>
  <c r="P279"/>
  <c r="Q279"/>
  <c r="R279"/>
  <c r="S279"/>
  <c r="T279"/>
  <c r="N118" i="28"/>
  <c r="O279" i="32" s="1"/>
  <c r="P276"/>
  <c r="Q276"/>
  <c r="R276"/>
  <c r="S276"/>
  <c r="T276"/>
  <c r="N112" i="28"/>
  <c r="O276" i="32" s="1"/>
  <c r="P270"/>
  <c r="R270"/>
  <c r="S270"/>
  <c r="T270"/>
  <c r="N106" i="28"/>
  <c r="O270" i="32" s="1"/>
  <c r="P258"/>
  <c r="Q258"/>
  <c r="R258"/>
  <c r="S258"/>
  <c r="T258"/>
  <c r="N94" i="28"/>
  <c r="O258" i="32" s="1"/>
  <c r="P252"/>
  <c r="Q252"/>
  <c r="R252"/>
  <c r="S252"/>
  <c r="T252"/>
  <c r="N85" i="28"/>
  <c r="O252" i="32" s="1"/>
  <c r="P239"/>
  <c r="Q239"/>
  <c r="R239"/>
  <c r="S239"/>
  <c r="T239"/>
  <c r="N70" i="28"/>
  <c r="O239" i="32" s="1"/>
  <c r="P236"/>
  <c r="Q236"/>
  <c r="R236"/>
  <c r="S236"/>
  <c r="T236"/>
  <c r="N67" i="28"/>
  <c r="O236" i="32" s="1"/>
  <c r="P234"/>
  <c r="Q233"/>
  <c r="N64" i="28"/>
  <c r="O233" i="32" s="1"/>
  <c r="P224"/>
  <c r="Q224"/>
  <c r="R224"/>
  <c r="S224"/>
  <c r="T224"/>
  <c r="N48" i="28"/>
  <c r="O224" i="32" s="1"/>
  <c r="P219"/>
  <c r="Q219"/>
  <c r="R219"/>
  <c r="S219"/>
  <c r="T219"/>
  <c r="N43" i="28"/>
  <c r="O219" i="32" s="1"/>
  <c r="P209"/>
  <c r="Q209"/>
  <c r="R209"/>
  <c r="S209"/>
  <c r="T209"/>
  <c r="O209"/>
  <c r="P203"/>
  <c r="Q203"/>
  <c r="R203"/>
  <c r="S203"/>
  <c r="T203"/>
  <c r="O203"/>
  <c r="P197"/>
  <c r="Q197"/>
  <c r="R197"/>
  <c r="S197"/>
  <c r="T197"/>
  <c r="N14" i="28"/>
  <c r="AB424" i="32"/>
  <c r="AB420"/>
  <c r="Z15" i="7"/>
  <c r="T462" i="32"/>
  <c r="S463"/>
  <c r="R462"/>
  <c r="Q462"/>
  <c r="P462"/>
  <c r="N184" i="7"/>
  <c r="T456" i="32"/>
  <c r="S457"/>
  <c r="R456"/>
  <c r="Q456"/>
  <c r="P456"/>
  <c r="N178" i="7"/>
  <c r="T454" i="32"/>
  <c r="S454"/>
  <c r="R453"/>
  <c r="Q453"/>
  <c r="P453"/>
  <c r="N175" i="7"/>
  <c r="N176" s="1"/>
  <c r="Z176" s="1"/>
  <c r="T450" i="32"/>
  <c r="S451"/>
  <c r="R450"/>
  <c r="Q450"/>
  <c r="P450"/>
  <c r="N169" i="7"/>
  <c r="T449" i="32"/>
  <c r="S449"/>
  <c r="R449"/>
  <c r="Q446"/>
  <c r="P446"/>
  <c r="N165" i="7"/>
  <c r="T442" i="32"/>
  <c r="S442"/>
  <c r="R445"/>
  <c r="Q442"/>
  <c r="P442"/>
  <c r="N161" i="7"/>
  <c r="T437" i="32"/>
  <c r="S434"/>
  <c r="R434"/>
  <c r="Q434"/>
  <c r="P434"/>
  <c r="N148" i="7"/>
  <c r="T433" i="32"/>
  <c r="S430"/>
  <c r="R430"/>
  <c r="Q430"/>
  <c r="P430"/>
  <c r="N143" i="7"/>
  <c r="T418" i="32"/>
  <c r="S420"/>
  <c r="R418"/>
  <c r="Q418"/>
  <c r="P418"/>
  <c r="T410"/>
  <c r="S410"/>
  <c r="R411"/>
  <c r="Q410"/>
  <c r="P410"/>
  <c r="N123" i="7"/>
  <c r="N125" s="1"/>
  <c r="Z125" s="1"/>
  <c r="T396" i="32"/>
  <c r="S396"/>
  <c r="R397"/>
  <c r="Q397"/>
  <c r="P396"/>
  <c r="N109" i="7"/>
  <c r="N110" s="1"/>
  <c r="T391" i="32"/>
  <c r="S391"/>
  <c r="R391"/>
  <c r="Q391"/>
  <c r="P391"/>
  <c r="N99" i="7"/>
  <c r="S386" i="32"/>
  <c r="R386"/>
  <c r="Q386"/>
  <c r="P386"/>
  <c r="N94" i="7"/>
  <c r="T376" i="32"/>
  <c r="S380"/>
  <c r="R376"/>
  <c r="Q380"/>
  <c r="P376"/>
  <c r="N84" i="7"/>
  <c r="T373" i="32"/>
  <c r="S374"/>
  <c r="R374"/>
  <c r="Q373"/>
  <c r="P373"/>
  <c r="N81" i="7"/>
  <c r="Q370" i="32"/>
  <c r="P370"/>
  <c r="N78" i="7"/>
  <c r="N80" s="1"/>
  <c r="Z80" s="1"/>
  <c r="T369" i="32"/>
  <c r="S367"/>
  <c r="R367"/>
  <c r="Q367"/>
  <c r="P367"/>
  <c r="N75" i="7"/>
  <c r="T357" i="32"/>
  <c r="S357"/>
  <c r="R357"/>
  <c r="Q357"/>
  <c r="P357"/>
  <c r="N57" i="7"/>
  <c r="O357" i="32" s="1"/>
  <c r="T348"/>
  <c r="S348"/>
  <c r="R348"/>
  <c r="Q348"/>
  <c r="P348"/>
  <c r="N48" i="7"/>
  <c r="O348" i="32" s="1"/>
  <c r="T337"/>
  <c r="S337"/>
  <c r="R337"/>
  <c r="Q337"/>
  <c r="P337"/>
  <c r="N36" i="7"/>
  <c r="S332" i="32"/>
  <c r="R332"/>
  <c r="Q332"/>
  <c r="P332"/>
  <c r="N30" i="7"/>
  <c r="O332" i="32" s="1"/>
  <c r="P321"/>
  <c r="Q321"/>
  <c r="R321"/>
  <c r="S321"/>
  <c r="T321"/>
  <c r="N14" i="7"/>
  <c r="O321" i="32" s="1"/>
  <c r="T60"/>
  <c r="S60"/>
  <c r="R60"/>
  <c r="P60"/>
  <c r="N71" i="21"/>
  <c r="O60" i="32" s="1"/>
  <c r="T57"/>
  <c r="S57"/>
  <c r="R59"/>
  <c r="Q57"/>
  <c r="P57"/>
  <c r="N68" i="21"/>
  <c r="O57" i="32" s="1"/>
  <c r="R9"/>
  <c r="S11"/>
  <c r="T11"/>
  <c r="R14"/>
  <c r="R152" i="47"/>
  <c r="R164" s="1"/>
  <c r="T12" i="32"/>
  <c r="R15"/>
  <c r="S15"/>
  <c r="T15"/>
  <c r="R18"/>
  <c r="S20"/>
  <c r="S317" i="47"/>
  <c r="S328" s="1"/>
  <c r="R24" i="32"/>
  <c r="S24"/>
  <c r="T24"/>
  <c r="R27"/>
  <c r="S27"/>
  <c r="T27"/>
  <c r="R30"/>
  <c r="S30"/>
  <c r="T30"/>
  <c r="R33"/>
  <c r="S33"/>
  <c r="T33"/>
  <c r="R36"/>
  <c r="S36"/>
  <c r="T38"/>
  <c r="Q302" i="47"/>
  <c r="Q313" s="1"/>
  <c r="S41" i="32"/>
  <c r="R48"/>
  <c r="S48"/>
  <c r="T48"/>
  <c r="R66"/>
  <c r="R69"/>
  <c r="S69"/>
  <c r="T69"/>
  <c r="R72"/>
  <c r="S72"/>
  <c r="T73"/>
  <c r="R75"/>
  <c r="T75"/>
  <c r="R78"/>
  <c r="S78"/>
  <c r="T78"/>
  <c r="Q78"/>
  <c r="P78"/>
  <c r="N92" i="21"/>
  <c r="O78" i="32" s="1"/>
  <c r="P75"/>
  <c r="N89" i="21"/>
  <c r="O75" i="32" s="1"/>
  <c r="Q72"/>
  <c r="P72"/>
  <c r="N86" i="21"/>
  <c r="O72" i="32" s="1"/>
  <c r="Q69"/>
  <c r="P69"/>
  <c r="N80" i="21"/>
  <c r="O69" i="32" s="1"/>
  <c r="N77" i="21"/>
  <c r="O66" i="32" s="1"/>
  <c r="Q48"/>
  <c r="P48"/>
  <c r="N59" i="21"/>
  <c r="O48" i="32" s="1"/>
  <c r="Q39"/>
  <c r="P41"/>
  <c r="N50" i="21"/>
  <c r="O39" i="32" s="1"/>
  <c r="P36"/>
  <c r="N44" i="21"/>
  <c r="O36" i="32" s="1"/>
  <c r="Q33"/>
  <c r="P33"/>
  <c r="N41" i="21"/>
  <c r="Q30" i="32"/>
  <c r="P30"/>
  <c r="O30"/>
  <c r="Q27"/>
  <c r="P27"/>
  <c r="O27"/>
  <c r="Q24"/>
  <c r="O24"/>
  <c r="P20"/>
  <c r="N26" i="21"/>
  <c r="O18" i="32" s="1"/>
  <c r="Q15"/>
  <c r="P15"/>
  <c r="N23" i="21"/>
  <c r="O15" i="32" s="1"/>
  <c r="P12"/>
  <c r="N20" i="21"/>
  <c r="O14" i="32" s="1"/>
  <c r="P9"/>
  <c r="N17" i="21"/>
  <c r="AA75" i="28"/>
  <c r="AB243" i="32" s="1"/>
  <c r="AA443"/>
  <c r="AA16" i="28"/>
  <c r="AB202" i="32" s="1"/>
  <c r="AA28" i="28"/>
  <c r="AB208" i="32" s="1"/>
  <c r="Z52" i="2"/>
  <c r="AA126" i="32" s="1"/>
  <c r="F484"/>
  <c r="H484"/>
  <c r="I484"/>
  <c r="J484"/>
  <c r="K484"/>
  <c r="L484"/>
  <c r="M484"/>
  <c r="N484"/>
  <c r="AA484"/>
  <c r="D484"/>
  <c r="AA352"/>
  <c r="D177"/>
  <c r="Z89" i="37"/>
  <c r="AA554" i="32" s="1"/>
  <c r="Z113" i="37"/>
  <c r="AA575" i="32" s="1"/>
  <c r="Z116" i="37"/>
  <c r="AA578" i="32" s="1"/>
  <c r="Z104" i="37"/>
  <c r="AA569" i="32" s="1"/>
  <c r="Z110" i="37"/>
  <c r="AA572" i="32" s="1"/>
  <c r="Z101" i="37"/>
  <c r="AA566" i="32" s="1"/>
  <c r="Z95" i="37"/>
  <c r="AA560" i="32" s="1"/>
  <c r="Z92" i="37"/>
  <c r="AA557" i="32" s="1"/>
  <c r="Z83" i="37"/>
  <c r="AA548" i="32" s="1"/>
  <c r="Z54" i="37"/>
  <c r="AA524" i="32" s="1"/>
  <c r="Z51" i="37"/>
  <c r="AA521" i="32" s="1"/>
  <c r="AA516"/>
  <c r="AA515"/>
  <c r="Z82" i="37"/>
  <c r="AA547" i="32" s="1"/>
  <c r="Z25" i="37"/>
  <c r="AA495" i="32" s="1"/>
  <c r="Z61" i="37"/>
  <c r="AA531" i="32" s="1"/>
  <c r="Z20" i="37"/>
  <c r="AA490" i="32" s="1"/>
  <c r="Z15" i="37"/>
  <c r="Z35"/>
  <c r="AA505" i="32" s="1"/>
  <c r="Z56" i="37"/>
  <c r="AA526" i="32" s="1"/>
  <c r="Z103" i="37"/>
  <c r="AA568" i="32" s="1"/>
  <c r="Z30" i="37"/>
  <c r="AA500" i="32" s="1"/>
  <c r="Z71" i="37"/>
  <c r="AA536" i="32" s="1"/>
  <c r="Z109" i="37"/>
  <c r="AA571" i="32" s="1"/>
  <c r="AA109"/>
  <c r="Z16" i="2"/>
  <c r="AA91" i="32" s="1"/>
  <c r="Z19" i="2"/>
  <c r="AA94" i="32" s="1"/>
  <c r="Z22" i="2"/>
  <c r="AA97" i="32" s="1"/>
  <c r="Z25" i="2"/>
  <c r="AA100" i="32" s="1"/>
  <c r="Z28" i="2"/>
  <c r="AA103" i="32" s="1"/>
  <c r="AA110"/>
  <c r="Z37" i="2"/>
  <c r="AA114" i="32" s="1"/>
  <c r="Z40" i="2"/>
  <c r="AA117" i="32" s="1"/>
  <c r="Z43" i="2"/>
  <c r="AA120" i="32" s="1"/>
  <c r="Z46" i="2"/>
  <c r="AA123" i="32" s="1"/>
  <c r="Z61" i="2"/>
  <c r="AA135" i="32" s="1"/>
  <c r="Z70" i="2"/>
  <c r="AA144" i="32" s="1"/>
  <c r="Z73" i="2"/>
  <c r="AA147" i="32" s="1"/>
  <c r="Z79" i="2"/>
  <c r="AA153" i="32" s="1"/>
  <c r="Z88" i="2"/>
  <c r="AA159" i="32" s="1"/>
  <c r="Z82" i="2"/>
  <c r="AA156" i="32" s="1"/>
  <c r="Z94" i="2"/>
  <c r="AA165" i="32" s="1"/>
  <c r="Z91" i="2"/>
  <c r="AA162" i="32" s="1"/>
  <c r="Z67" i="2"/>
  <c r="AA141" i="32" s="1"/>
  <c r="AB199"/>
  <c r="AA199"/>
  <c r="AA25" i="28"/>
  <c r="AB205" i="32" s="1"/>
  <c r="AA87" i="28"/>
  <c r="AB254" i="32" s="1"/>
  <c r="AA81" i="28"/>
  <c r="AB249" i="32" s="1"/>
  <c r="AA72" i="28"/>
  <c r="AB241" i="32" s="1"/>
  <c r="Z40" i="21"/>
  <c r="AA32" i="32" s="1"/>
  <c r="Z61" i="21"/>
  <c r="AA50" i="32" s="1"/>
  <c r="Z88" i="21"/>
  <c r="AA74" i="32" s="1"/>
  <c r="Z82" i="21"/>
  <c r="AA71" i="32" s="1"/>
  <c r="Z94" i="21"/>
  <c r="AA80" i="32" s="1"/>
  <c r="Z91" i="21"/>
  <c r="AA77" i="32" s="1"/>
  <c r="AA159" i="28"/>
  <c r="AB308" i="32" s="1"/>
  <c r="AA114" i="28"/>
  <c r="AB278" i="32" s="1"/>
  <c r="AA156" i="28"/>
  <c r="AB305" i="32" s="1"/>
  <c r="AA147" i="28"/>
  <c r="AB299" i="32" s="1"/>
  <c r="AA153" i="28"/>
  <c r="AB302" i="32" s="1"/>
  <c r="AA144" i="28"/>
  <c r="AB296" i="32" s="1"/>
  <c r="AA141" i="28"/>
  <c r="AB293" i="32" s="1"/>
  <c r="AA129" i="28"/>
  <c r="AB287" i="32" s="1"/>
  <c r="AA126" i="28"/>
  <c r="AB284" i="32" s="1"/>
  <c r="AA120" i="28"/>
  <c r="AB281" i="32" s="1"/>
  <c r="AA96" i="28"/>
  <c r="AB260" i="32" s="1"/>
  <c r="AA108" i="28"/>
  <c r="AB272" i="32" s="1"/>
  <c r="AA73" i="28"/>
  <c r="AB242" i="32" s="1"/>
  <c r="AA69" i="28"/>
  <c r="AB238" i="32" s="1"/>
  <c r="AA66" i="28"/>
  <c r="AB235" i="32" s="1"/>
  <c r="AA50" i="28"/>
  <c r="AB226" i="32" s="1"/>
  <c r="AA45" i="28"/>
  <c r="AB221" i="32" s="1"/>
  <c r="AA38" i="28"/>
  <c r="AB218" i="32" s="1"/>
  <c r="AA26" i="28"/>
  <c r="AB206" i="32" s="1"/>
  <c r="AB200"/>
  <c r="AA200"/>
  <c r="Z18" i="21"/>
  <c r="AA10" i="32" s="1"/>
  <c r="Z24" i="21"/>
  <c r="AA16" i="32" s="1"/>
  <c r="AA25"/>
  <c r="Z39" i="21"/>
  <c r="AA31" i="32" s="1"/>
  <c r="Z45" i="21"/>
  <c r="AA37" i="32" s="1"/>
  <c r="Z51" i="21"/>
  <c r="AA40" i="32" s="1"/>
  <c r="Z72" i="21"/>
  <c r="AA61" i="32" s="1"/>
  <c r="Z21" i="21"/>
  <c r="AA13" i="32" s="1"/>
  <c r="Z36" i="21"/>
  <c r="AA28" i="32" s="1"/>
  <c r="Z60" i="21"/>
  <c r="AA49" i="32" s="1"/>
  <c r="Z78" i="21"/>
  <c r="AA67" i="32" s="1"/>
  <c r="Z27" i="21"/>
  <c r="AA19" i="32" s="1"/>
  <c r="Z42" i="21"/>
  <c r="AA34" i="32" s="1"/>
  <c r="Z69" i="21"/>
  <c r="AA58" i="32" s="1"/>
  <c r="AA80" i="28"/>
  <c r="AB248" i="32" s="1"/>
  <c r="AA95" i="28"/>
  <c r="AB259" i="32" s="1"/>
  <c r="AA30" i="28"/>
  <c r="AB210" i="32" s="1"/>
  <c r="AA24" i="28"/>
  <c r="AB204" i="32" s="1"/>
  <c r="AA35" i="28"/>
  <c r="AB215" i="32" s="1"/>
  <c r="AA44" i="28"/>
  <c r="AB220" i="32" s="1"/>
  <c r="AA86" i="28"/>
  <c r="AB253" i="32" s="1"/>
  <c r="AA71" i="28"/>
  <c r="AB240" i="32" s="1"/>
  <c r="AA15" i="28"/>
  <c r="AB198" i="32" s="1"/>
  <c r="Z15" i="28"/>
  <c r="AA16" i="39"/>
  <c r="AA182" i="32" s="1"/>
  <c r="F180"/>
  <c r="Z21" i="2"/>
  <c r="AA96" i="32" s="1"/>
  <c r="Z27" i="2"/>
  <c r="AA102" i="32" s="1"/>
  <c r="Z60" i="2"/>
  <c r="AA134" i="32" s="1"/>
  <c r="Z69" i="2"/>
  <c r="AA143" i="32" s="1"/>
  <c r="Z78" i="2"/>
  <c r="AA152" i="32" s="1"/>
  <c r="Z81" i="2"/>
  <c r="AA155" i="32" s="1"/>
  <c r="Z66" i="2"/>
  <c r="AA140" i="32" s="1"/>
  <c r="Z36" i="2"/>
  <c r="AA113" i="32" s="1"/>
  <c r="Z18" i="2"/>
  <c r="AA93" i="32" s="1"/>
  <c r="Z24" i="2"/>
  <c r="AA99" i="32" s="1"/>
  <c r="AA108"/>
  <c r="Z39" i="2"/>
  <c r="AA116" i="32" s="1"/>
  <c r="Z72" i="2"/>
  <c r="AA146" i="32" s="1"/>
  <c r="Z87" i="2"/>
  <c r="AA158" i="32" s="1"/>
  <c r="Z93" i="2"/>
  <c r="AA164" i="32" s="1"/>
  <c r="Z90" i="2"/>
  <c r="AA161" i="32" s="1"/>
  <c r="AA15" i="39"/>
  <c r="Z15" i="2"/>
  <c r="AA90" i="32" s="1"/>
  <c r="I2" i="48"/>
  <c r="G349" i="47"/>
  <c r="G350"/>
  <c r="G351"/>
  <c r="G352"/>
  <c r="G353"/>
  <c r="G354"/>
  <c r="G355"/>
  <c r="G356"/>
  <c r="G357"/>
  <c r="G358"/>
  <c r="G359"/>
  <c r="G360"/>
  <c r="G361"/>
  <c r="G348"/>
  <c r="Z354"/>
  <c r="Z353"/>
  <c r="Z352"/>
  <c r="Z351"/>
  <c r="Z350"/>
  <c r="Z349"/>
  <c r="Z348"/>
  <c r="E2" i="48"/>
  <c r="G346" i="47"/>
  <c r="G345"/>
  <c r="G344"/>
  <c r="G343"/>
  <c r="G342"/>
  <c r="G341"/>
  <c r="G340"/>
  <c r="Z339"/>
  <c r="G339"/>
  <c r="Z338"/>
  <c r="G338"/>
  <c r="Z337"/>
  <c r="G337"/>
  <c r="Z336"/>
  <c r="G336"/>
  <c r="Z335"/>
  <c r="G335"/>
  <c r="Z334"/>
  <c r="G334"/>
  <c r="Z333"/>
  <c r="G333"/>
  <c r="G331"/>
  <c r="G330"/>
  <c r="G329"/>
  <c r="G328"/>
  <c r="G327"/>
  <c r="G326"/>
  <c r="G325"/>
  <c r="Z324"/>
  <c r="G324"/>
  <c r="Z323"/>
  <c r="G323"/>
  <c r="Z322"/>
  <c r="G322"/>
  <c r="Z321"/>
  <c r="G321"/>
  <c r="Z320"/>
  <c r="G320"/>
  <c r="Z319"/>
  <c r="G319"/>
  <c r="Z318"/>
  <c r="G318"/>
  <c r="G316"/>
  <c r="G315"/>
  <c r="G314"/>
  <c r="G313"/>
  <c r="G312"/>
  <c r="G311"/>
  <c r="G310"/>
  <c r="Z309"/>
  <c r="G309"/>
  <c r="Z308"/>
  <c r="G308"/>
  <c r="Z307"/>
  <c r="G307"/>
  <c r="Z306"/>
  <c r="G306"/>
  <c r="Z305"/>
  <c r="G305"/>
  <c r="Z304"/>
  <c r="G304"/>
  <c r="Z303"/>
  <c r="G303"/>
  <c r="G301"/>
  <c r="G300"/>
  <c r="G299"/>
  <c r="G298"/>
  <c r="G297"/>
  <c r="G296"/>
  <c r="G295"/>
  <c r="Z294"/>
  <c r="G294"/>
  <c r="Z293"/>
  <c r="G293"/>
  <c r="Z292"/>
  <c r="G292"/>
  <c r="Z291"/>
  <c r="G291"/>
  <c r="Z290"/>
  <c r="G290"/>
  <c r="Z289"/>
  <c r="G289"/>
  <c r="Z288"/>
  <c r="G288"/>
  <c r="G286"/>
  <c r="G285"/>
  <c r="G284"/>
  <c r="G283"/>
  <c r="G282"/>
  <c r="G281"/>
  <c r="G280"/>
  <c r="Z279"/>
  <c r="G279"/>
  <c r="Z278"/>
  <c r="G278"/>
  <c r="Z277"/>
  <c r="G277"/>
  <c r="Z276"/>
  <c r="G276"/>
  <c r="Z275"/>
  <c r="G275"/>
  <c r="Z274"/>
  <c r="G274"/>
  <c r="Z273"/>
  <c r="G273"/>
  <c r="G271"/>
  <c r="G270"/>
  <c r="G269"/>
  <c r="G268"/>
  <c r="G267"/>
  <c r="G266"/>
  <c r="G265"/>
  <c r="Z264"/>
  <c r="G264"/>
  <c r="Z263"/>
  <c r="G263"/>
  <c r="Z262"/>
  <c r="G262"/>
  <c r="Z261"/>
  <c r="G261"/>
  <c r="Z260"/>
  <c r="G260"/>
  <c r="Z259"/>
  <c r="G259"/>
  <c r="Z258"/>
  <c r="G258"/>
  <c r="G256"/>
  <c r="G255"/>
  <c r="G254"/>
  <c r="G253"/>
  <c r="G252"/>
  <c r="G251"/>
  <c r="G250"/>
  <c r="Z249"/>
  <c r="G249"/>
  <c r="Z248"/>
  <c r="G248"/>
  <c r="Z247"/>
  <c r="G247"/>
  <c r="Z246"/>
  <c r="G246"/>
  <c r="Z245"/>
  <c r="G245"/>
  <c r="Z244"/>
  <c r="G244"/>
  <c r="Z243"/>
  <c r="G243"/>
  <c r="G241"/>
  <c r="G240"/>
  <c r="G239"/>
  <c r="G238"/>
  <c r="G237"/>
  <c r="G236"/>
  <c r="G235"/>
  <c r="Z234"/>
  <c r="G234"/>
  <c r="Z233"/>
  <c r="G233"/>
  <c r="Z232"/>
  <c r="G232"/>
  <c r="Z231"/>
  <c r="G231"/>
  <c r="Z230"/>
  <c r="G230"/>
  <c r="Z229"/>
  <c r="G229"/>
  <c r="Z228"/>
  <c r="G228"/>
  <c r="G226"/>
  <c r="G225"/>
  <c r="G224"/>
  <c r="G223"/>
  <c r="G222"/>
  <c r="G221"/>
  <c r="G220"/>
  <c r="Z219"/>
  <c r="G219"/>
  <c r="Z218"/>
  <c r="G218"/>
  <c r="Z217"/>
  <c r="G217"/>
  <c r="Z216"/>
  <c r="G216"/>
  <c r="Z215"/>
  <c r="G215"/>
  <c r="Z214"/>
  <c r="G214"/>
  <c r="Z213"/>
  <c r="G213"/>
  <c r="G211"/>
  <c r="G210"/>
  <c r="G209"/>
  <c r="G208"/>
  <c r="G207"/>
  <c r="G206"/>
  <c r="G205"/>
  <c r="Z204"/>
  <c r="G204"/>
  <c r="Z203"/>
  <c r="G203"/>
  <c r="Z202"/>
  <c r="G202"/>
  <c r="Z201"/>
  <c r="G201"/>
  <c r="Z200"/>
  <c r="G200"/>
  <c r="Z199"/>
  <c r="G199"/>
  <c r="Z198"/>
  <c r="G198"/>
  <c r="G196"/>
  <c r="G195"/>
  <c r="G194"/>
  <c r="G193"/>
  <c r="G192"/>
  <c r="G191"/>
  <c r="G190"/>
  <c r="Z189"/>
  <c r="G189"/>
  <c r="Z188"/>
  <c r="G188"/>
  <c r="Z187"/>
  <c r="G187"/>
  <c r="Z186"/>
  <c r="G186"/>
  <c r="Z185"/>
  <c r="G185"/>
  <c r="Z184"/>
  <c r="G184"/>
  <c r="Z183"/>
  <c r="G183"/>
  <c r="G181"/>
  <c r="G180"/>
  <c r="G179"/>
  <c r="G178"/>
  <c r="G177"/>
  <c r="G176"/>
  <c r="G175"/>
  <c r="Z174"/>
  <c r="G174"/>
  <c r="Z173"/>
  <c r="G173"/>
  <c r="Z172"/>
  <c r="G172"/>
  <c r="Z171"/>
  <c r="G171"/>
  <c r="Z170"/>
  <c r="G170"/>
  <c r="Z169"/>
  <c r="G169"/>
  <c r="Z168"/>
  <c r="G168"/>
  <c r="G166"/>
  <c r="G165"/>
  <c r="G164"/>
  <c r="G163"/>
  <c r="G162"/>
  <c r="G161"/>
  <c r="G160"/>
  <c r="Z159"/>
  <c r="G159"/>
  <c r="Z158"/>
  <c r="G158"/>
  <c r="Z157"/>
  <c r="G157"/>
  <c r="Z156"/>
  <c r="G156"/>
  <c r="Z155"/>
  <c r="G155"/>
  <c r="Z154"/>
  <c r="G154"/>
  <c r="Z153"/>
  <c r="G153"/>
  <c r="G151"/>
  <c r="G150"/>
  <c r="G149"/>
  <c r="G148"/>
  <c r="G147"/>
  <c r="G146"/>
  <c r="G145"/>
  <c r="Z144"/>
  <c r="G144"/>
  <c r="Z143"/>
  <c r="G143"/>
  <c r="Z142"/>
  <c r="G142"/>
  <c r="Z141"/>
  <c r="G141"/>
  <c r="Z140"/>
  <c r="G140"/>
  <c r="Z139"/>
  <c r="G139"/>
  <c r="Z138"/>
  <c r="G138"/>
  <c r="G136"/>
  <c r="G135"/>
  <c r="G134"/>
  <c r="G133"/>
  <c r="G132"/>
  <c r="G131"/>
  <c r="G130"/>
  <c r="Z129"/>
  <c r="G129"/>
  <c r="Z128"/>
  <c r="G128"/>
  <c r="Z127"/>
  <c r="G127"/>
  <c r="Z126"/>
  <c r="G126"/>
  <c r="Z125"/>
  <c r="G125"/>
  <c r="Z124"/>
  <c r="G124"/>
  <c r="Z123"/>
  <c r="G123"/>
  <c r="G121"/>
  <c r="G120"/>
  <c r="G119"/>
  <c r="G118"/>
  <c r="G117"/>
  <c r="G116"/>
  <c r="G115"/>
  <c r="Z114"/>
  <c r="G114"/>
  <c r="Z113"/>
  <c r="G113"/>
  <c r="Z112"/>
  <c r="G112"/>
  <c r="Z111"/>
  <c r="G111"/>
  <c r="Z110"/>
  <c r="G110"/>
  <c r="Z109"/>
  <c r="G109"/>
  <c r="Z108"/>
  <c r="G108"/>
  <c r="G106"/>
  <c r="G105"/>
  <c r="G104"/>
  <c r="G103"/>
  <c r="G102"/>
  <c r="G101"/>
  <c r="G100"/>
  <c r="Z99"/>
  <c r="G99"/>
  <c r="Z98"/>
  <c r="G98"/>
  <c r="Z97"/>
  <c r="G97"/>
  <c r="Z96"/>
  <c r="G96"/>
  <c r="Z95"/>
  <c r="G95"/>
  <c r="Z94"/>
  <c r="G94"/>
  <c r="Z93"/>
  <c r="G93"/>
  <c r="G91"/>
  <c r="G90"/>
  <c r="G89"/>
  <c r="G88"/>
  <c r="G87"/>
  <c r="G86"/>
  <c r="G85"/>
  <c r="Z84"/>
  <c r="G84"/>
  <c r="Z83"/>
  <c r="G83"/>
  <c r="Z82"/>
  <c r="G82"/>
  <c r="Z81"/>
  <c r="G81"/>
  <c r="Z80"/>
  <c r="G80"/>
  <c r="Z79"/>
  <c r="G79"/>
  <c r="Z78"/>
  <c r="G78"/>
  <c r="G76"/>
  <c r="G75"/>
  <c r="G74"/>
  <c r="G73"/>
  <c r="G72"/>
  <c r="G71"/>
  <c r="G70"/>
  <c r="Z69"/>
  <c r="G69"/>
  <c r="Z68"/>
  <c r="G68"/>
  <c r="Z67"/>
  <c r="G67"/>
  <c r="Z66"/>
  <c r="G66"/>
  <c r="Z65"/>
  <c r="G65"/>
  <c r="Z64"/>
  <c r="G64"/>
  <c r="Z63"/>
  <c r="G63"/>
  <c r="G61"/>
  <c r="G60"/>
  <c r="G59"/>
  <c r="G58"/>
  <c r="G57"/>
  <c r="G56"/>
  <c r="G55"/>
  <c r="Z54"/>
  <c r="G54"/>
  <c r="Z53"/>
  <c r="G53"/>
  <c r="Z52"/>
  <c r="G52"/>
  <c r="Z51"/>
  <c r="G51"/>
  <c r="Z50"/>
  <c r="G50"/>
  <c r="Z49"/>
  <c r="G49"/>
  <c r="Z48"/>
  <c r="G48"/>
  <c r="G46"/>
  <c r="G45"/>
  <c r="G44"/>
  <c r="G43"/>
  <c r="G42"/>
  <c r="G41"/>
  <c r="G40"/>
  <c r="Z39"/>
  <c r="G39"/>
  <c r="Z38"/>
  <c r="G38"/>
  <c r="Z37"/>
  <c r="G37"/>
  <c r="Z36"/>
  <c r="G36"/>
  <c r="Z35"/>
  <c r="G35"/>
  <c r="Z34"/>
  <c r="G34"/>
  <c r="Z33"/>
  <c r="G33"/>
  <c r="N27"/>
  <c r="AA179" i="32"/>
  <c r="M21" i="44"/>
  <c r="M20"/>
  <c r="M4"/>
  <c r="M31"/>
  <c r="M28"/>
  <c r="M29"/>
  <c r="M30"/>
  <c r="M25"/>
  <c r="M26"/>
  <c r="M27"/>
  <c r="M22"/>
  <c r="M23"/>
  <c r="M24"/>
  <c r="M19"/>
  <c r="M18"/>
  <c r="M17"/>
  <c r="M16"/>
  <c r="M15"/>
  <c r="M14"/>
  <c r="M13"/>
  <c r="M12"/>
  <c r="M11"/>
  <c r="M10"/>
  <c r="M9"/>
  <c r="M8"/>
  <c r="M7"/>
  <c r="M6"/>
  <c r="W347" i="47"/>
  <c r="W356" s="1"/>
  <c r="R332"/>
  <c r="R345" s="1"/>
  <c r="R16" s="1"/>
  <c r="X317"/>
  <c r="X330" s="1"/>
  <c r="X14" s="1"/>
  <c r="R272"/>
  <c r="R284" s="1"/>
  <c r="X257"/>
  <c r="V242"/>
  <c r="V256" s="1"/>
  <c r="V22" s="1"/>
  <c r="T227"/>
  <c r="T236" s="1"/>
  <c r="R212"/>
  <c r="X197"/>
  <c r="V182"/>
  <c r="V196" s="1"/>
  <c r="V122"/>
  <c r="V133" s="1"/>
  <c r="T107"/>
  <c r="T117" s="1"/>
  <c r="R92"/>
  <c r="R102" s="1"/>
  <c r="X77"/>
  <c r="X85" s="1"/>
  <c r="V62"/>
  <c r="V73" s="1"/>
  <c r="T47"/>
  <c r="T61" s="1"/>
  <c r="S107"/>
  <c r="S118" s="1"/>
  <c r="W77"/>
  <c r="W88" s="1"/>
  <c r="Y332"/>
  <c r="Y344" s="1"/>
  <c r="Q332"/>
  <c r="Q342" s="1"/>
  <c r="W317"/>
  <c r="Y272"/>
  <c r="Y281" s="1"/>
  <c r="Q272"/>
  <c r="Q280" s="1"/>
  <c r="W257"/>
  <c r="W268" s="1"/>
  <c r="U242"/>
  <c r="U250" s="1"/>
  <c r="S227"/>
  <c r="S240" s="1"/>
  <c r="Y212"/>
  <c r="Y222" s="1"/>
  <c r="Q212"/>
  <c r="Q224" s="1"/>
  <c r="W197"/>
  <c r="W210" s="1"/>
  <c r="U182"/>
  <c r="U191" s="1"/>
  <c r="X332"/>
  <c r="X345" s="1"/>
  <c r="X16" s="1"/>
  <c r="X272"/>
  <c r="X285" s="1"/>
  <c r="V257"/>
  <c r="V268" s="1"/>
  <c r="T242"/>
  <c r="T255" s="1"/>
  <c r="T25" s="1"/>
  <c r="R227"/>
  <c r="R237" s="1"/>
  <c r="X212"/>
  <c r="X224" s="1"/>
  <c r="V197"/>
  <c r="V205" s="1"/>
  <c r="T182"/>
  <c r="T196" s="1"/>
  <c r="T122"/>
  <c r="T133" s="1"/>
  <c r="R107"/>
  <c r="R115" s="1"/>
  <c r="X92"/>
  <c r="X102" s="1"/>
  <c r="V77"/>
  <c r="V86" s="1"/>
  <c r="T62"/>
  <c r="T70" s="1"/>
  <c r="R47"/>
  <c r="R61" s="1"/>
  <c r="S62"/>
  <c r="S72" s="1"/>
  <c r="Q47"/>
  <c r="Q56" s="1"/>
  <c r="X167"/>
  <c r="X178" s="1"/>
  <c r="X107"/>
  <c r="X117" s="1"/>
  <c r="R62"/>
  <c r="R76" s="1"/>
  <c r="W332"/>
  <c r="W340" s="1"/>
  <c r="Y287"/>
  <c r="Y296" s="1"/>
  <c r="W272"/>
  <c r="W282" s="1"/>
  <c r="U257"/>
  <c r="U271" s="1"/>
  <c r="S242"/>
  <c r="S251" s="1"/>
  <c r="Y227"/>
  <c r="Y239" s="1"/>
  <c r="Q227"/>
  <c r="Q239" s="1"/>
  <c r="W212"/>
  <c r="W223" s="1"/>
  <c r="U197"/>
  <c r="U207" s="1"/>
  <c r="S182"/>
  <c r="Y167"/>
  <c r="Y179" s="1"/>
  <c r="S122"/>
  <c r="S134" s="1"/>
  <c r="Y107"/>
  <c r="Y118" s="1"/>
  <c r="Q107"/>
  <c r="Q115" s="1"/>
  <c r="W92"/>
  <c r="W100" s="1"/>
  <c r="U77"/>
  <c r="U89" s="1"/>
  <c r="Y47"/>
  <c r="W32"/>
  <c r="W42" s="1"/>
  <c r="R122"/>
  <c r="R133" s="1"/>
  <c r="T77"/>
  <c r="T90" s="1"/>
  <c r="V332"/>
  <c r="V272"/>
  <c r="V286" s="1"/>
  <c r="T257"/>
  <c r="T267" s="1"/>
  <c r="R242"/>
  <c r="R251" s="1"/>
  <c r="X227"/>
  <c r="X238" s="1"/>
  <c r="V212"/>
  <c r="V220" s="1"/>
  <c r="T197"/>
  <c r="T208" s="1"/>
  <c r="R182"/>
  <c r="R191" s="1"/>
  <c r="V92"/>
  <c r="V101" s="1"/>
  <c r="X47"/>
  <c r="X61" s="1"/>
  <c r="U332"/>
  <c r="U346" s="1"/>
  <c r="U17" s="1"/>
  <c r="U272"/>
  <c r="U282" s="1"/>
  <c r="S257"/>
  <c r="S270" s="1"/>
  <c r="Y242"/>
  <c r="Y251" s="1"/>
  <c r="Q242"/>
  <c r="Q252" s="1"/>
  <c r="W227"/>
  <c r="W235" s="1"/>
  <c r="U212"/>
  <c r="U222" s="1"/>
  <c r="S197"/>
  <c r="S207" s="1"/>
  <c r="Y182"/>
  <c r="Y195" s="1"/>
  <c r="Q182"/>
  <c r="Q190" s="1"/>
  <c r="Y122"/>
  <c r="Y136" s="1"/>
  <c r="Q122"/>
  <c r="Q134" s="1"/>
  <c r="W107"/>
  <c r="W116" s="1"/>
  <c r="U92"/>
  <c r="U105" s="1"/>
  <c r="U23" s="1"/>
  <c r="S77"/>
  <c r="S90" s="1"/>
  <c r="Y62"/>
  <c r="Y72" s="1"/>
  <c r="Q62"/>
  <c r="Q73" s="1"/>
  <c r="W47"/>
  <c r="W60" s="1"/>
  <c r="T332"/>
  <c r="T340" s="1"/>
  <c r="X302"/>
  <c r="X310" s="1"/>
  <c r="T272"/>
  <c r="T283" s="1"/>
  <c r="R257"/>
  <c r="R265" s="1"/>
  <c r="X242"/>
  <c r="X253" s="1"/>
  <c r="V227"/>
  <c r="V236" s="1"/>
  <c r="T212"/>
  <c r="T222" s="1"/>
  <c r="R197"/>
  <c r="R205" s="1"/>
  <c r="X182"/>
  <c r="X193" s="1"/>
  <c r="X122"/>
  <c r="X134" s="1"/>
  <c r="V107"/>
  <c r="V118" s="1"/>
  <c r="T92"/>
  <c r="T103" s="1"/>
  <c r="R77"/>
  <c r="R86" s="1"/>
  <c r="X62"/>
  <c r="V47"/>
  <c r="Y77"/>
  <c r="Y90" s="1"/>
  <c r="W62"/>
  <c r="W70" s="1"/>
  <c r="Y92"/>
  <c r="Y106" s="1"/>
  <c r="U62"/>
  <c r="U75" s="1"/>
  <c r="Y32"/>
  <c r="Y43" s="1"/>
  <c r="S332"/>
  <c r="S341" s="1"/>
  <c r="W302"/>
  <c r="S272"/>
  <c r="S281" s="1"/>
  <c r="Y257"/>
  <c r="Y270" s="1"/>
  <c r="Q257"/>
  <c r="Q266" s="1"/>
  <c r="W242"/>
  <c r="U227"/>
  <c r="U238" s="1"/>
  <c r="S212"/>
  <c r="S226" s="1"/>
  <c r="Y197"/>
  <c r="Y208" s="1"/>
  <c r="Q197"/>
  <c r="W182"/>
  <c r="W194" s="1"/>
  <c r="Y137"/>
  <c r="Y149" s="1"/>
  <c r="W122"/>
  <c r="W132" s="1"/>
  <c r="U107"/>
  <c r="U117" s="1"/>
  <c r="S92"/>
  <c r="S102" s="1"/>
  <c r="Q77"/>
  <c r="Q86" s="1"/>
  <c r="U47"/>
  <c r="U55" s="1"/>
  <c r="U122"/>
  <c r="U134" s="1"/>
  <c r="Q92"/>
  <c r="Q104" s="1"/>
  <c r="S47"/>
  <c r="S60" s="1"/>
  <c r="Q177" i="32"/>
  <c r="Q178"/>
  <c r="S422"/>
  <c r="S424"/>
  <c r="Q422"/>
  <c r="Q424"/>
  <c r="R422"/>
  <c r="R424"/>
  <c r="O577"/>
  <c r="P307"/>
  <c r="Q559"/>
  <c r="P574"/>
  <c r="T21"/>
  <c r="U56"/>
  <c r="Q553"/>
  <c r="S46"/>
  <c r="V60"/>
  <c r="T56"/>
  <c r="W62"/>
  <c r="R52"/>
  <c r="P228"/>
  <c r="Q56"/>
  <c r="T52"/>
  <c r="W421"/>
  <c r="AA452"/>
  <c r="U425"/>
  <c r="U460"/>
  <c r="U459"/>
  <c r="T425"/>
  <c r="U421"/>
  <c r="V425"/>
  <c r="V460"/>
  <c r="V459"/>
  <c r="O421"/>
  <c r="S421"/>
  <c r="W425"/>
  <c r="W460"/>
  <c r="W459"/>
  <c r="Q385"/>
  <c r="P277"/>
  <c r="P283"/>
  <c r="P304"/>
  <c r="V508"/>
  <c r="Q304"/>
  <c r="Q295"/>
  <c r="Q283"/>
  <c r="Q292"/>
  <c r="Q277"/>
  <c r="P286"/>
  <c r="Q286"/>
  <c r="P280"/>
  <c r="Q280"/>
  <c r="R421"/>
  <c r="W14"/>
  <c r="S425"/>
  <c r="P421"/>
  <c r="R425"/>
  <c r="P295"/>
  <c r="P292"/>
  <c r="Q307"/>
  <c r="S460"/>
  <c r="Q421"/>
  <c r="P425"/>
  <c r="T421"/>
  <c r="Q425"/>
  <c r="O425"/>
  <c r="E17" i="39"/>
  <c r="F183" i="32" s="1"/>
  <c r="U35"/>
  <c r="V421"/>
  <c r="O228"/>
  <c r="Z52" i="28"/>
  <c r="AA228" i="32" s="1"/>
  <c r="O304"/>
  <c r="Z155" i="28"/>
  <c r="AA304" i="32" s="1"/>
  <c r="O277"/>
  <c r="Z113" i="28"/>
  <c r="AA277" i="32" s="1"/>
  <c r="O280"/>
  <c r="Z119" i="28"/>
  <c r="AA280" i="32" s="1"/>
  <c r="O307"/>
  <c r="Z158" i="28"/>
  <c r="AA307" i="32" s="1"/>
  <c r="O286"/>
  <c r="Z128" i="28"/>
  <c r="AA286" i="32" s="1"/>
  <c r="O295"/>
  <c r="Z143" i="28"/>
  <c r="AA295" i="32" s="1"/>
  <c r="O292"/>
  <c r="Z140" i="28"/>
  <c r="AA292" i="32" s="1"/>
  <c r="O274"/>
  <c r="O283"/>
  <c r="Z125" i="28"/>
  <c r="AA283" i="32" s="1"/>
  <c r="P274"/>
  <c r="AA52" i="28"/>
  <c r="AB228" i="32" s="1"/>
  <c r="Q228"/>
  <c r="AA125" i="28"/>
  <c r="AB283" i="32" s="1"/>
  <c r="AA140" i="28"/>
  <c r="AB292" i="32" s="1"/>
  <c r="AA113" i="28"/>
  <c r="AB277" i="32" s="1"/>
  <c r="AA158" i="28"/>
  <c r="AB307" i="32" s="1"/>
  <c r="AA155" i="28"/>
  <c r="AB304" i="32" s="1"/>
  <c r="AA119" i="28"/>
  <c r="AB280" i="32" s="1"/>
  <c r="AA143" i="28"/>
  <c r="AB295" i="32" s="1"/>
  <c r="AA128" i="28"/>
  <c r="AB286" i="32" s="1"/>
  <c r="AA421"/>
  <c r="AA425"/>
  <c r="O197" l="1"/>
  <c r="N223" i="28"/>
  <c r="O424" i="32"/>
  <c r="Z138" i="7"/>
  <c r="O460" i="32"/>
  <c r="Z182" i="7"/>
  <c r="AB327" i="32"/>
  <c r="AA327"/>
  <c r="O555"/>
  <c r="N91" i="37"/>
  <c r="O556" i="32" s="1"/>
  <c r="O552"/>
  <c r="N88" i="37"/>
  <c r="O553" i="32" s="1"/>
  <c r="AA413"/>
  <c r="AA330"/>
  <c r="AA461"/>
  <c r="AA354"/>
  <c r="O422"/>
  <c r="AA417"/>
  <c r="O459"/>
  <c r="O450"/>
  <c r="N170" i="7"/>
  <c r="N120"/>
  <c r="O407" i="32" s="1"/>
  <c r="N121" i="7"/>
  <c r="O367" i="32"/>
  <c r="N77" i="7"/>
  <c r="N134"/>
  <c r="O446" i="32"/>
  <c r="N168" i="7"/>
  <c r="O462" i="32"/>
  <c r="N185" i="7"/>
  <c r="O442" i="32"/>
  <c r="N164" i="7"/>
  <c r="O456" i="32"/>
  <c r="N179" i="7"/>
  <c r="O434" i="32"/>
  <c r="N151" i="7"/>
  <c r="N160"/>
  <c r="O430" i="32"/>
  <c r="N147" i="7"/>
  <c r="AA198" i="32"/>
  <c r="O416"/>
  <c r="N128" i="7"/>
  <c r="O402" i="32"/>
  <c r="N116" i="7"/>
  <c r="O403" i="32" s="1"/>
  <c r="O410"/>
  <c r="N124" i="7"/>
  <c r="O411" i="32" s="1"/>
  <c r="O370"/>
  <c r="O372"/>
  <c r="O376"/>
  <c r="N88" i="7"/>
  <c r="O399" i="32"/>
  <c r="N114" i="7"/>
  <c r="O373" i="32"/>
  <c r="N82" i="7"/>
  <c r="O391" i="32"/>
  <c r="N103" i="7"/>
  <c r="O381" i="32"/>
  <c r="N93" i="7"/>
  <c r="O386" i="32"/>
  <c r="N98" i="7"/>
  <c r="O347" i="32"/>
  <c r="N44" i="7"/>
  <c r="O344" i="32" s="1"/>
  <c r="O337"/>
  <c r="N37" i="7"/>
  <c r="O338" i="32" s="1"/>
  <c r="AA368"/>
  <c r="O494"/>
  <c r="N27" i="37"/>
  <c r="O497" i="32" s="1"/>
  <c r="N26" i="37"/>
  <c r="N69"/>
  <c r="N67"/>
  <c r="Z67" s="1"/>
  <c r="N68"/>
  <c r="N18"/>
  <c r="O488" i="32" s="1"/>
  <c r="N17" i="37"/>
  <c r="O487" i="32" s="1"/>
  <c r="N16" i="37"/>
  <c r="O519" i="32"/>
  <c r="N50" i="37"/>
  <c r="O489" i="32"/>
  <c r="N21" i="37"/>
  <c r="N22"/>
  <c r="O492" i="32" s="1"/>
  <c r="O504"/>
  <c r="N37" i="37"/>
  <c r="O507" i="32" s="1"/>
  <c r="N36" i="37"/>
  <c r="O509" i="32"/>
  <c r="N42" i="37"/>
  <c r="O512" i="32" s="1"/>
  <c r="N41" i="37"/>
  <c r="O522" i="32"/>
  <c r="N53" i="37"/>
  <c r="O558" i="32"/>
  <c r="N94" i="37"/>
  <c r="Z94" s="1"/>
  <c r="N48"/>
  <c r="N46"/>
  <c r="Z46" s="1"/>
  <c r="N47"/>
  <c r="O525" i="32"/>
  <c r="N57" i="37"/>
  <c r="N58"/>
  <c r="O528" i="32" s="1"/>
  <c r="O573"/>
  <c r="N112" i="37"/>
  <c r="O574" i="32" s="1"/>
  <c r="O499"/>
  <c r="N32" i="37"/>
  <c r="O502" i="32" s="1"/>
  <c r="N31" i="37"/>
  <c r="O530" i="32"/>
  <c r="N63" i="37"/>
  <c r="O533" i="32" s="1"/>
  <c r="N62" i="37"/>
  <c r="O535" i="32"/>
  <c r="N72" i="37"/>
  <c r="N73"/>
  <c r="O538" i="32" s="1"/>
  <c r="O561"/>
  <c r="N97" i="37"/>
  <c r="O562" i="32" s="1"/>
  <c r="P77" i="2"/>
  <c r="P151" i="32" s="1"/>
  <c r="X77" i="2"/>
  <c r="X151" i="32" s="1"/>
  <c r="Q77" i="2"/>
  <c r="Q151" i="32" s="1"/>
  <c r="Y77" i="2"/>
  <c r="Y151" i="32" s="1"/>
  <c r="R77" i="2"/>
  <c r="R151" i="32" s="1"/>
  <c r="Z151"/>
  <c r="S77" i="2"/>
  <c r="S151" i="32" s="1"/>
  <c r="T77" i="2"/>
  <c r="T151" i="32" s="1"/>
  <c r="V77" i="2"/>
  <c r="V151" i="32" s="1"/>
  <c r="O77" i="2"/>
  <c r="W77"/>
  <c r="W151" i="32" s="1"/>
  <c r="U77" i="2"/>
  <c r="U151" i="32" s="1"/>
  <c r="Y494"/>
  <c r="X509"/>
  <c r="Q539"/>
  <c r="U422"/>
  <c r="S459"/>
  <c r="AA322"/>
  <c r="P51"/>
  <c r="X381"/>
  <c r="Y370"/>
  <c r="Y39"/>
  <c r="X27"/>
  <c r="Z9"/>
  <c r="AA181"/>
  <c r="AB14" i="39"/>
  <c r="G6"/>
  <c r="H19" i="31" s="1"/>
  <c r="N64" i="37"/>
  <c r="O534" i="32" s="1"/>
  <c r="AA485"/>
  <c r="X152" i="47"/>
  <c r="X161" s="1"/>
  <c r="P6" i="32"/>
  <c r="V302" i="47"/>
  <c r="V312" s="1"/>
  <c r="R74"/>
  <c r="R103"/>
  <c r="S35" i="32"/>
  <c r="R45"/>
  <c r="R8"/>
  <c r="U426"/>
  <c r="U381"/>
  <c r="W488"/>
  <c r="S484"/>
  <c r="Q488"/>
  <c r="P488"/>
  <c r="R488"/>
  <c r="U488"/>
  <c r="V488"/>
  <c r="R525"/>
  <c r="P559"/>
  <c r="O518"/>
  <c r="V534"/>
  <c r="S518"/>
  <c r="X484"/>
  <c r="Y530"/>
  <c r="P509"/>
  <c r="W493"/>
  <c r="W534"/>
  <c r="O565"/>
  <c r="Z535"/>
  <c r="U508"/>
  <c r="P553"/>
  <c r="W518"/>
  <c r="V493"/>
  <c r="W503"/>
  <c r="V518"/>
  <c r="X530"/>
  <c r="U534"/>
  <c r="N43" i="37"/>
  <c r="O513" i="32" s="1"/>
  <c r="U493"/>
  <c r="AB17" i="39"/>
  <c r="AB183" i="32" s="1"/>
  <c r="U356"/>
  <c r="X32" i="47"/>
  <c r="X46" s="1"/>
  <c r="T18" i="32"/>
  <c r="R252" i="47"/>
  <c r="X327"/>
  <c r="V66" i="32"/>
  <c r="V269" i="47"/>
  <c r="S70" i="32"/>
  <c r="R79"/>
  <c r="R116" i="47"/>
  <c r="P18" i="32"/>
  <c r="R119" i="47"/>
  <c r="Q8" i="32"/>
  <c r="S62"/>
  <c r="O76"/>
  <c r="Q121" i="47"/>
  <c r="Q574" i="32"/>
  <c r="T518"/>
  <c r="R508"/>
  <c r="Q17"/>
  <c r="O38"/>
  <c r="O70"/>
  <c r="W508"/>
  <c r="R29"/>
  <c r="T167" i="47"/>
  <c r="T177" s="1"/>
  <c r="S17" i="32"/>
  <c r="R73"/>
  <c r="O23"/>
  <c r="P73"/>
  <c r="T79"/>
  <c r="W484"/>
  <c r="N33" i="37"/>
  <c r="O503" i="32" s="1"/>
  <c r="W529"/>
  <c r="Z514"/>
  <c r="Q508"/>
  <c r="R513"/>
  <c r="P565"/>
  <c r="N74" i="37"/>
  <c r="O539" i="32" s="1"/>
  <c r="V503"/>
  <c r="N38" i="37"/>
  <c r="O508" i="32" s="1"/>
  <c r="U518"/>
  <c r="S73"/>
  <c r="V20"/>
  <c r="T45"/>
  <c r="O20"/>
  <c r="O54"/>
  <c r="Q152" i="47"/>
  <c r="Q163" s="1"/>
  <c r="R12" i="32"/>
  <c r="T70"/>
  <c r="V41"/>
  <c r="Q283" i="47"/>
  <c r="U494" i="32"/>
  <c r="T20"/>
  <c r="U24"/>
  <c r="AA178"/>
  <c r="O26"/>
  <c r="O8"/>
  <c r="R130" i="47"/>
  <c r="X9" i="32"/>
  <c r="R518"/>
  <c r="S503"/>
  <c r="Q577"/>
  <c r="S488"/>
  <c r="T498"/>
  <c r="P539"/>
  <c r="R493"/>
  <c r="Q565"/>
  <c r="T529"/>
  <c r="Q29"/>
  <c r="R255" i="47"/>
  <c r="R25" s="1"/>
  <c r="P39" i="32"/>
  <c r="U39"/>
  <c r="W137" i="47"/>
  <c r="W147" s="1"/>
  <c r="Z21" i="32"/>
  <c r="X15"/>
  <c r="U41"/>
  <c r="S103" i="47"/>
  <c r="P14" i="32"/>
  <c r="W79"/>
  <c r="V152" i="47"/>
  <c r="V160" s="1"/>
  <c r="U62" i="32"/>
  <c r="W287" i="47"/>
  <c r="W298" s="1"/>
  <c r="S59" i="32"/>
  <c r="Q52"/>
  <c r="Q494"/>
  <c r="S534"/>
  <c r="W513"/>
  <c r="Z489"/>
  <c r="Z525"/>
  <c r="Y489"/>
  <c r="Q529"/>
  <c r="N23" i="37"/>
  <c r="O493" i="32" s="1"/>
  <c r="P508"/>
  <c r="X504"/>
  <c r="Y535"/>
  <c r="Q556"/>
  <c r="X535"/>
  <c r="X414"/>
  <c r="Z391"/>
  <c r="U453"/>
  <c r="AA375"/>
  <c r="N77" i="2"/>
  <c r="O151" i="32" s="1"/>
  <c r="L151"/>
  <c r="V35"/>
  <c r="W167" i="47"/>
  <c r="W177" s="1"/>
  <c r="Y24" i="32"/>
  <c r="Z15"/>
  <c r="Q133" i="47"/>
  <c r="S89"/>
  <c r="V347"/>
  <c r="V355" s="1"/>
  <c r="S106"/>
  <c r="R91"/>
  <c r="S86"/>
  <c r="W24" i="32"/>
  <c r="S100" i="47"/>
  <c r="V265"/>
  <c r="T131"/>
  <c r="W26" i="32"/>
  <c r="P54"/>
  <c r="X45"/>
  <c r="T62"/>
  <c r="U20"/>
  <c r="R85" i="47"/>
  <c r="R70" i="32"/>
  <c r="S39"/>
  <c r="X287" i="47"/>
  <c r="X298" s="1"/>
  <c r="X137"/>
  <c r="X149" s="1"/>
  <c r="R302"/>
  <c r="R316" s="1"/>
  <c r="T76" i="32"/>
  <c r="S253" i="47"/>
  <c r="Q250"/>
  <c r="P76" i="32"/>
  <c r="O41"/>
  <c r="P38"/>
  <c r="S252" i="47"/>
  <c r="R17" i="32"/>
  <c r="P17"/>
  <c r="O68"/>
  <c r="Q73"/>
  <c r="S79"/>
  <c r="Q347" i="47"/>
  <c r="Q361" s="1"/>
  <c r="Q19" s="1"/>
  <c r="T130"/>
  <c r="S255"/>
  <c r="S25" s="1"/>
  <c r="Z321" i="32"/>
  <c r="Z323"/>
  <c r="Q58" i="47"/>
  <c r="Q256"/>
  <c r="Q22" s="1"/>
  <c r="S254"/>
  <c r="S29" i="32"/>
  <c r="P59"/>
  <c r="Q235" i="47"/>
  <c r="S250"/>
  <c r="T135"/>
  <c r="Q287"/>
  <c r="Q299" s="1"/>
  <c r="Y6" i="32"/>
  <c r="X321"/>
  <c r="R484"/>
  <c r="U529"/>
  <c r="Y514"/>
  <c r="Z499"/>
  <c r="X489"/>
  <c r="U484"/>
  <c r="N28" i="37"/>
  <c r="O498" i="32" s="1"/>
  <c r="U503"/>
  <c r="V513"/>
  <c r="O484"/>
  <c r="X514"/>
  <c r="Y499"/>
  <c r="E87" i="37"/>
  <c r="G552" i="32" s="1"/>
  <c r="T513"/>
  <c r="Q484"/>
  <c r="N59" i="37"/>
  <c r="O529" i="32" s="1"/>
  <c r="S513"/>
  <c r="T539"/>
  <c r="Z484"/>
  <c r="U401"/>
  <c r="AA464"/>
  <c r="Q374"/>
  <c r="V422"/>
  <c r="Q136" i="47"/>
  <c r="T59"/>
  <c r="S340"/>
  <c r="Q286"/>
  <c r="W59" i="32"/>
  <c r="S21"/>
  <c r="Q285" i="47"/>
  <c r="T59" i="32"/>
  <c r="U14"/>
  <c r="S325" i="47"/>
  <c r="R136"/>
  <c r="R134"/>
  <c r="Q284"/>
  <c r="Q282"/>
  <c r="Y347"/>
  <c r="Y360" s="1"/>
  <c r="Y18" s="1"/>
  <c r="V241"/>
  <c r="X196"/>
  <c r="W355"/>
  <c r="V75"/>
  <c r="V76"/>
  <c r="V72"/>
  <c r="T193"/>
  <c r="U194"/>
  <c r="V223"/>
  <c r="V71"/>
  <c r="T163"/>
  <c r="T162"/>
  <c r="Q100"/>
  <c r="S326"/>
  <c r="Q191"/>
  <c r="T166"/>
  <c r="Q317"/>
  <c r="Q325" s="1"/>
  <c r="T9" i="32"/>
  <c r="R23"/>
  <c r="R60" i="47"/>
  <c r="S18" i="32"/>
  <c r="S6"/>
  <c r="S329" i="47"/>
  <c r="U195"/>
  <c r="Q101"/>
  <c r="Q195"/>
  <c r="U190"/>
  <c r="Y284"/>
  <c r="T240"/>
  <c r="R104"/>
  <c r="R256"/>
  <c r="R22" s="1"/>
  <c r="R250"/>
  <c r="P46" i="32"/>
  <c r="P70"/>
  <c r="Q41"/>
  <c r="T238" i="47"/>
  <c r="Q265"/>
  <c r="R101"/>
  <c r="R317"/>
  <c r="R331" s="1"/>
  <c r="R15" s="1"/>
  <c r="U193"/>
  <c r="T343"/>
  <c r="Q194"/>
  <c r="S343"/>
  <c r="R253"/>
  <c r="Y282"/>
  <c r="U192"/>
  <c r="Q196"/>
  <c r="T161"/>
  <c r="U38" i="32"/>
  <c r="U196" i="47"/>
  <c r="Y286"/>
  <c r="R100"/>
  <c r="T160"/>
  <c r="T36" i="32"/>
  <c r="Q103" i="47"/>
  <c r="U283"/>
  <c r="Y283"/>
  <c r="Y341"/>
  <c r="V136"/>
  <c r="T253"/>
  <c r="U45" i="32"/>
  <c r="V280" i="47"/>
  <c r="V281"/>
  <c r="R283"/>
  <c r="Q45" i="32"/>
  <c r="W103" i="47"/>
  <c r="Q310"/>
  <c r="S32"/>
  <c r="S45" s="1"/>
  <c r="Y225"/>
  <c r="Y26" s="1"/>
  <c r="V131"/>
  <c r="U79" i="32"/>
  <c r="V36"/>
  <c r="Q26"/>
  <c r="R281" i="47"/>
  <c r="R160"/>
  <c r="Q237"/>
  <c r="S137"/>
  <c r="S146" s="1"/>
  <c r="V70" i="32"/>
  <c r="V56"/>
  <c r="W27"/>
  <c r="R163" i="47"/>
  <c r="Q236"/>
  <c r="Q312"/>
  <c r="S85"/>
  <c r="R282"/>
  <c r="R285"/>
  <c r="O62" i="32"/>
  <c r="T6"/>
  <c r="W29"/>
  <c r="Q240" i="47"/>
  <c r="U21" i="32"/>
  <c r="V21"/>
  <c r="U152" i="47"/>
  <c r="U165" s="1"/>
  <c r="V12" i="32"/>
  <c r="X280" i="47"/>
  <c r="Y119"/>
  <c r="U32"/>
  <c r="U42" s="1"/>
  <c r="Z24" i="32"/>
  <c r="Y402"/>
  <c r="X194" i="47"/>
  <c r="V59" i="32"/>
  <c r="X63"/>
  <c r="X416"/>
  <c r="W45"/>
  <c r="V52"/>
  <c r="U236" i="47"/>
  <c r="W74"/>
  <c r="X39" i="32"/>
  <c r="U51"/>
  <c r="U59"/>
  <c r="U15"/>
  <c r="T287" i="47"/>
  <c r="T299" s="1"/>
  <c r="U29" i="32"/>
  <c r="T164" i="47"/>
  <c r="T55"/>
  <c r="U12" i="32"/>
  <c r="U27"/>
  <c r="W226" i="47"/>
  <c r="X18" i="32"/>
  <c r="W18"/>
  <c r="Y12"/>
  <c r="W76" i="47"/>
  <c r="V445" i="32"/>
  <c r="V29"/>
  <c r="X283" i="47"/>
  <c r="W20" i="32"/>
  <c r="Y57"/>
  <c r="Y54"/>
  <c r="Y408"/>
  <c r="W54"/>
  <c r="W498"/>
  <c r="W463"/>
  <c r="V407"/>
  <c r="Y116" i="47"/>
  <c r="W391" i="32"/>
  <c r="V6"/>
  <c r="Y78"/>
  <c r="X284" i="47"/>
  <c r="W539" i="32"/>
  <c r="Z45"/>
  <c r="Y74" i="47"/>
  <c r="Y101"/>
  <c r="Y20" s="1"/>
  <c r="Y223"/>
  <c r="Y220"/>
  <c r="Y340"/>
  <c r="Y300"/>
  <c r="X220"/>
  <c r="X226"/>
  <c r="U59"/>
  <c r="W11" i="32"/>
  <c r="Y268" i="47"/>
  <c r="W209"/>
  <c r="W35" i="32"/>
  <c r="U118" i="47"/>
  <c r="U327"/>
  <c r="U325"/>
  <c r="X255"/>
  <c r="X25" s="1"/>
  <c r="E102" i="37"/>
  <c r="G567" i="32" s="1"/>
  <c r="W206" i="47"/>
  <c r="E70" i="37"/>
  <c r="W68" i="32"/>
  <c r="U209" i="47"/>
  <c r="V18" i="32"/>
  <c r="V137" i="47"/>
  <c r="V150" s="1"/>
  <c r="G6" i="2"/>
  <c r="H18" i="31" s="1"/>
  <c r="E49" i="37"/>
  <c r="G519" i="32" s="1"/>
  <c r="U513"/>
  <c r="S535"/>
  <c r="T493"/>
  <c r="P493"/>
  <c r="T504"/>
  <c r="E81" i="37"/>
  <c r="E55"/>
  <c r="G525" i="32" s="1"/>
  <c r="X525"/>
  <c r="E78" i="37"/>
  <c r="AA78" s="1"/>
  <c r="AB543" i="32" s="1"/>
  <c r="E34" i="37"/>
  <c r="G504" i="32" s="1"/>
  <c r="P498"/>
  <c r="T503"/>
  <c r="S489"/>
  <c r="S504"/>
  <c r="R539"/>
  <c r="E90" i="37"/>
  <c r="G555" i="32" s="1"/>
  <c r="P556"/>
  <c r="Q503"/>
  <c r="P514"/>
  <c r="R499"/>
  <c r="P503"/>
  <c r="P534"/>
  <c r="Q534"/>
  <c r="E84" i="37"/>
  <c r="G549" i="32" s="1"/>
  <c r="P484"/>
  <c r="P529"/>
  <c r="V529"/>
  <c r="R494"/>
  <c r="Q513"/>
  <c r="V539"/>
  <c r="R534"/>
  <c r="V484"/>
  <c r="AB180"/>
  <c r="U328" i="47"/>
  <c r="T41"/>
  <c r="U220"/>
  <c r="T42"/>
  <c r="U221"/>
  <c r="V115"/>
  <c r="V239"/>
  <c r="U205"/>
  <c r="V132"/>
  <c r="U60"/>
  <c r="T256"/>
  <c r="T22" s="1"/>
  <c r="V116"/>
  <c r="V20" s="1"/>
  <c r="U57"/>
  <c r="V206"/>
  <c r="T44"/>
  <c r="V117"/>
  <c r="U206"/>
  <c r="U58"/>
  <c r="U286"/>
  <c r="V130"/>
  <c r="V238"/>
  <c r="U56"/>
  <c r="U285"/>
  <c r="T45"/>
  <c r="T40"/>
  <c r="T43"/>
  <c r="V179"/>
  <c r="V45"/>
  <c r="V105"/>
  <c r="V23" s="1"/>
  <c r="V104"/>
  <c r="T239"/>
  <c r="T235"/>
  <c r="T281"/>
  <c r="T241"/>
  <c r="T237"/>
  <c r="V181"/>
  <c r="V175"/>
  <c r="V255"/>
  <c r="V25" s="1"/>
  <c r="V250"/>
  <c r="V102"/>
  <c r="V251"/>
  <c r="V177"/>
  <c r="V89"/>
  <c r="V253"/>
  <c r="V176"/>
  <c r="V180"/>
  <c r="T250"/>
  <c r="T71"/>
  <c r="T285"/>
  <c r="T73"/>
  <c r="T314"/>
  <c r="T313"/>
  <c r="X314"/>
  <c r="X313"/>
  <c r="X135"/>
  <c r="X119"/>
  <c r="W101"/>
  <c r="W20" s="1"/>
  <c r="X316"/>
  <c r="W238"/>
  <c r="W105"/>
  <c r="W23" s="1"/>
  <c r="X57"/>
  <c r="W236"/>
  <c r="V287"/>
  <c r="V300" s="1"/>
  <c r="U340"/>
  <c r="Q340"/>
  <c r="T72" i="32"/>
  <c r="S51"/>
  <c r="S38"/>
  <c r="R20"/>
  <c r="Q70"/>
  <c r="U342" i="47"/>
  <c r="T271"/>
  <c r="S224"/>
  <c r="W222"/>
  <c r="Q341"/>
  <c r="Q23" i="32"/>
  <c r="R235" i="47"/>
  <c r="R72"/>
  <c r="W17" i="32"/>
  <c r="B92" i="47"/>
  <c r="S220"/>
  <c r="Q87"/>
  <c r="R137"/>
  <c r="R148" s="1"/>
  <c r="V90"/>
  <c r="P35" i="32"/>
  <c r="R56"/>
  <c r="O46"/>
  <c r="T266" i="47"/>
  <c r="T270"/>
  <c r="T269"/>
  <c r="T268"/>
  <c r="P79" i="32"/>
  <c r="S9"/>
  <c r="R239" i="47"/>
  <c r="T29" i="32"/>
  <c r="O17"/>
  <c r="R70" i="47"/>
  <c r="V87"/>
  <c r="R73"/>
  <c r="U11" i="32"/>
  <c r="Q89" i="47"/>
  <c r="Q85"/>
  <c r="R68" i="32"/>
  <c r="T265" i="47"/>
  <c r="U68" i="32"/>
  <c r="W41"/>
  <c r="U102" i="47"/>
  <c r="U347"/>
  <c r="U358" s="1"/>
  <c r="Q346"/>
  <c r="Q17" s="1"/>
  <c r="R75"/>
  <c r="V88"/>
  <c r="Q344"/>
  <c r="W73" i="32"/>
  <c r="V330" i="47"/>
  <c r="V14" s="1"/>
  <c r="V326"/>
  <c r="V327"/>
  <c r="V325"/>
  <c r="V329"/>
  <c r="V331"/>
  <c r="V15" s="1"/>
  <c r="V328"/>
  <c r="E65" i="21"/>
  <c r="F54" i="32" s="1"/>
  <c r="U297" i="47"/>
  <c r="S133"/>
  <c r="Q192"/>
  <c r="R209"/>
  <c r="Q281"/>
  <c r="S71"/>
  <c r="V207"/>
  <c r="V208"/>
  <c r="U280"/>
  <c r="R58"/>
  <c r="V45" i="32"/>
  <c r="W358" i="47"/>
  <c r="T26" i="32"/>
  <c r="Y21"/>
  <c r="E53" i="21"/>
  <c r="F42" i="32" s="1"/>
  <c r="T17"/>
  <c r="Y152" i="47"/>
  <c r="Y160" s="1"/>
  <c r="O73" i="32"/>
  <c r="P11"/>
  <c r="V235" i="47"/>
  <c r="V74"/>
  <c r="U281"/>
  <c r="Y269"/>
  <c r="R342"/>
  <c r="W36" i="32"/>
  <c r="W51"/>
  <c r="Q137" i="47"/>
  <c r="Q151" s="1"/>
  <c r="S347"/>
  <c r="S357" s="1"/>
  <c r="W359"/>
  <c r="U300"/>
  <c r="S131"/>
  <c r="S132"/>
  <c r="Q79" i="32"/>
  <c r="P23"/>
  <c r="W56" i="47"/>
  <c r="X340"/>
  <c r="S287"/>
  <c r="S295" s="1"/>
  <c r="U298"/>
  <c r="V237"/>
  <c r="U301"/>
  <c r="E29" i="21"/>
  <c r="F21" i="32" s="1"/>
  <c r="S76" i="47"/>
  <c r="V240"/>
  <c r="U284"/>
  <c r="S57"/>
  <c r="S74"/>
  <c r="Y150"/>
  <c r="P62" i="32"/>
  <c r="V15"/>
  <c r="W360" i="47"/>
  <c r="W18" s="1"/>
  <c r="T206"/>
  <c r="E14" i="21"/>
  <c r="F6" i="32" s="1"/>
  <c r="E41" i="21"/>
  <c r="F33" i="32" s="1"/>
  <c r="T86" i="47"/>
  <c r="O29" i="32"/>
  <c r="R210" i="47"/>
  <c r="Y89"/>
  <c r="S75"/>
  <c r="W57"/>
  <c r="Y70"/>
  <c r="U296"/>
  <c r="T207"/>
  <c r="R57"/>
  <c r="V17" i="32"/>
  <c r="W69"/>
  <c r="O51"/>
  <c r="R11"/>
  <c r="W361" i="47"/>
  <c r="W19" s="1"/>
  <c r="Y265"/>
  <c r="V70"/>
  <c r="U6" i="32"/>
  <c r="W23"/>
  <c r="R32" i="47"/>
  <c r="R42" s="1"/>
  <c r="W357"/>
  <c r="S167"/>
  <c r="S179" s="1"/>
  <c r="T87"/>
  <c r="T85"/>
  <c r="Y146"/>
  <c r="Q316"/>
  <c r="Q35" i="32"/>
  <c r="U295" i="47"/>
  <c r="T209"/>
  <c r="Q193"/>
  <c r="T137"/>
  <c r="T148" s="1"/>
  <c r="Y87"/>
  <c r="T88"/>
  <c r="V79" i="32"/>
  <c r="R38"/>
  <c r="T102" i="47"/>
  <c r="S222"/>
  <c r="Q106"/>
  <c r="V270"/>
  <c r="V85"/>
  <c r="V221"/>
  <c r="Y148"/>
  <c r="U61"/>
  <c r="U133"/>
  <c r="X136"/>
  <c r="U120"/>
  <c r="U24" s="1"/>
  <c r="R71"/>
  <c r="V267"/>
  <c r="Q32"/>
  <c r="U115"/>
  <c r="T89"/>
  <c r="U345"/>
  <c r="U16" s="1"/>
  <c r="R287"/>
  <c r="R296" s="1"/>
  <c r="S223"/>
  <c r="Q119"/>
  <c r="Q105"/>
  <c r="Q23" s="1"/>
  <c r="W225"/>
  <c r="Y271"/>
  <c r="W221"/>
  <c r="X131"/>
  <c r="R131"/>
  <c r="T91"/>
  <c r="V91"/>
  <c r="U266"/>
  <c r="T105"/>
  <c r="T23" s="1"/>
  <c r="Y266"/>
  <c r="V225"/>
  <c r="P29" i="32"/>
  <c r="R106" i="47"/>
  <c r="X177"/>
  <c r="W239"/>
  <c r="Z12" i="32"/>
  <c r="E39" i="37"/>
  <c r="G509" i="32" s="1"/>
  <c r="E29" i="37"/>
  <c r="S282" i="47"/>
  <c r="V222"/>
  <c r="Q88"/>
  <c r="O59" i="32"/>
  <c r="R347" i="47"/>
  <c r="R357" s="1"/>
  <c r="U116"/>
  <c r="R135"/>
  <c r="T195"/>
  <c r="Q130"/>
  <c r="T205"/>
  <c r="V106"/>
  <c r="R238"/>
  <c r="E56" i="21"/>
  <c r="F45" i="32" s="1"/>
  <c r="Z78"/>
  <c r="X72"/>
  <c r="Z57"/>
  <c r="Q311" i="47"/>
  <c r="Q135"/>
  <c r="Q102"/>
  <c r="R266"/>
  <c r="Y151"/>
  <c r="Q132"/>
  <c r="X312"/>
  <c r="V226"/>
  <c r="V7" s="1"/>
  <c r="T35" i="32"/>
  <c r="Q131" i="47"/>
  <c r="R120"/>
  <c r="R24" s="1"/>
  <c r="W211"/>
  <c r="W271"/>
  <c r="Y66" i="32"/>
  <c r="X51"/>
  <c r="V224" i="47"/>
  <c r="Q72"/>
  <c r="Q76"/>
  <c r="Z41" i="32"/>
  <c r="Y302" i="47"/>
  <c r="Y311" s="1"/>
  <c r="T488" i="32"/>
  <c r="T484"/>
  <c r="V494"/>
  <c r="V498"/>
  <c r="U535"/>
  <c r="U539"/>
  <c r="W573"/>
  <c r="E111" i="37"/>
  <c r="G573" i="32" s="1"/>
  <c r="Z39"/>
  <c r="T220" i="47"/>
  <c r="T224"/>
  <c r="X79" i="32"/>
  <c r="X78"/>
  <c r="X38"/>
  <c r="X36"/>
  <c r="X374"/>
  <c r="X373"/>
  <c r="Y488"/>
  <c r="Y484"/>
  <c r="T540"/>
  <c r="E75" i="37"/>
  <c r="G540" i="32" s="1"/>
  <c r="V415"/>
  <c r="V416"/>
  <c r="V414"/>
  <c r="V58" i="47"/>
  <c r="V56"/>
  <c r="V61"/>
  <c r="V59"/>
  <c r="S268"/>
  <c r="S266"/>
  <c r="S271"/>
  <c r="X347"/>
  <c r="X358" s="1"/>
  <c r="Y48" i="32"/>
  <c r="X14"/>
  <c r="X12"/>
  <c r="W152" i="47"/>
  <c r="W160" s="1"/>
  <c r="Z513" i="32"/>
  <c r="Z509"/>
  <c r="T460"/>
  <c r="T459"/>
  <c r="T221" i="47"/>
  <c r="F272"/>
  <c r="E44" i="21"/>
  <c r="F36" i="32" s="1"/>
  <c r="E14" i="37"/>
  <c r="G484" i="32" s="1"/>
  <c r="Q489"/>
  <c r="Q493"/>
  <c r="E50" i="21"/>
  <c r="F39" i="32" s="1"/>
  <c r="U132" i="47"/>
  <c r="Q518" i="32"/>
  <c r="E52" i="37"/>
  <c r="G522" i="32" s="1"/>
  <c r="S344" i="47"/>
  <c r="S498" i="32"/>
  <c r="S87" i="47"/>
  <c r="V11" i="32"/>
  <c r="V9"/>
  <c r="AA12" i="39"/>
  <c r="E62" i="21"/>
  <c r="F51" i="32" s="1"/>
  <c r="S285" i="47"/>
  <c r="Q59" i="32"/>
  <c r="S221" i="47"/>
  <c r="U130"/>
  <c r="E19" i="37"/>
  <c r="Q75" i="47"/>
  <c r="E92" i="21"/>
  <c r="F78" i="32" s="1"/>
  <c r="R35"/>
  <c r="G514"/>
  <c r="S91" i="47"/>
  <c r="S256"/>
  <c r="S22" s="1"/>
  <c r="S345"/>
  <c r="S16" s="1"/>
  <c r="U137"/>
  <c r="Y221"/>
  <c r="R87"/>
  <c r="W8" i="32"/>
  <c r="R117" i="47"/>
  <c r="O12" i="32"/>
  <c r="E20" i="21"/>
  <c r="F12" i="32" s="1"/>
  <c r="Q18"/>
  <c r="Q20"/>
  <c r="Q167" i="47"/>
  <c r="R26" i="32"/>
  <c r="S12"/>
  <c r="S14"/>
  <c r="X430"/>
  <c r="X406"/>
  <c r="F182" i="47"/>
  <c r="S88"/>
  <c r="W280"/>
  <c r="Q9" i="32"/>
  <c r="Q11"/>
  <c r="V24"/>
  <c r="U167" i="47"/>
  <c r="U175" s="1"/>
  <c r="V40"/>
  <c r="E35" i="21"/>
  <c r="F27" i="32" s="1"/>
  <c r="T225" i="47"/>
  <c r="E86" i="21"/>
  <c r="F72" i="32" s="1"/>
  <c r="F24"/>
  <c r="E80" i="21"/>
  <c r="F69" i="32" s="1"/>
  <c r="Q74" i="47"/>
  <c r="E89" i="21"/>
  <c r="F75" i="32" s="1"/>
  <c r="Q71" i="47"/>
  <c r="R196"/>
  <c r="E60" i="37"/>
  <c r="R90" i="47"/>
  <c r="V55"/>
  <c r="T317"/>
  <c r="R88"/>
  <c r="X176"/>
  <c r="X180"/>
  <c r="R121"/>
  <c r="T254"/>
  <c r="T251"/>
  <c r="T252"/>
  <c r="Z65" i="32"/>
  <c r="Z63"/>
  <c r="X503"/>
  <c r="X499"/>
  <c r="E24" i="37"/>
  <c r="G494" i="32" s="1"/>
  <c r="V57" i="47"/>
  <c r="S342"/>
  <c r="S346"/>
  <c r="S17" s="1"/>
  <c r="G7" i="39"/>
  <c r="G19" i="31" s="1"/>
  <c r="R89" i="47"/>
  <c r="V60"/>
  <c r="E108" i="37"/>
  <c r="Y121" i="47"/>
  <c r="Y21" s="1"/>
  <c r="Y120"/>
  <c r="Y24" s="1"/>
  <c r="Y117"/>
  <c r="Q61"/>
  <c r="Q60"/>
  <c r="Q55"/>
  <c r="Q57"/>
  <c r="Q59"/>
  <c r="V266"/>
  <c r="V271"/>
  <c r="Y226"/>
  <c r="Y224"/>
  <c r="Y342"/>
  <c r="Y346"/>
  <c r="Y17" s="1"/>
  <c r="V135"/>
  <c r="V134"/>
  <c r="R286"/>
  <c r="R280"/>
  <c r="S576" i="32"/>
  <c r="E114" i="37"/>
  <c r="G576" i="32" s="1"/>
  <c r="X59"/>
  <c r="X57"/>
  <c r="Z20"/>
  <c r="Y317" i="47"/>
  <c r="Y326" s="1"/>
  <c r="Z441" i="32"/>
  <c r="Z438"/>
  <c r="Z385"/>
  <c r="Z381"/>
  <c r="T422"/>
  <c r="T424"/>
  <c r="V42" i="47"/>
  <c r="V43"/>
  <c r="V46"/>
  <c r="V44"/>
  <c r="E59" i="21"/>
  <c r="F48" i="32" s="1"/>
  <c r="U131" i="47"/>
  <c r="T226"/>
  <c r="T7" s="1"/>
  <c r="S225"/>
  <c r="T347"/>
  <c r="U255"/>
  <c r="U25" s="1"/>
  <c r="E93" i="37"/>
  <c r="G558" i="32" s="1"/>
  <c r="V73"/>
  <c r="T534"/>
  <c r="R118" i="47"/>
  <c r="V39" i="32"/>
  <c r="S525"/>
  <c r="Y250" i="47"/>
  <c r="Y255"/>
  <c r="Y25" s="1"/>
  <c r="S136"/>
  <c r="S130"/>
  <c r="S135"/>
  <c r="F62"/>
  <c r="T286"/>
  <c r="R76" i="32"/>
  <c r="R344" i="47"/>
  <c r="W345"/>
  <c r="W16" s="1"/>
  <c r="Z6" i="32"/>
  <c r="X225" i="47"/>
  <c r="Y205"/>
  <c r="X133"/>
  <c r="X132"/>
  <c r="Y209"/>
  <c r="Y104"/>
  <c r="Y105"/>
  <c r="Y23" s="1"/>
  <c r="Y147"/>
  <c r="Y145"/>
  <c r="Y285"/>
  <c r="Y177"/>
  <c r="Y206"/>
  <c r="X311"/>
  <c r="Y192"/>
  <c r="Y194"/>
  <c r="Y115"/>
  <c r="Y280"/>
  <c r="Y210"/>
  <c r="X130"/>
  <c r="Y102"/>
  <c r="Y103"/>
  <c r="Y100"/>
  <c r="X315"/>
  <c r="Y267"/>
  <c r="Y193"/>
  <c r="Y73"/>
  <c r="Y211"/>
  <c r="Y207"/>
  <c r="Y191"/>
  <c r="Y190"/>
  <c r="X222"/>
  <c r="X223"/>
  <c r="S105"/>
  <c r="S23" s="1"/>
  <c r="U253"/>
  <c r="Y178"/>
  <c r="U119"/>
  <c r="U121"/>
  <c r="W255"/>
  <c r="W25" s="1"/>
  <c r="W256"/>
  <c r="W22" s="1"/>
  <c r="V121"/>
  <c r="V119"/>
  <c r="V120"/>
  <c r="V24" s="1"/>
  <c r="T282"/>
  <c r="T280"/>
  <c r="T284"/>
  <c r="U226"/>
  <c r="U225"/>
  <c r="U224"/>
  <c r="U223"/>
  <c r="U344"/>
  <c r="U343"/>
  <c r="U341"/>
  <c r="U314"/>
  <c r="U310"/>
  <c r="U313"/>
  <c r="B272"/>
  <c r="S119"/>
  <c r="W43"/>
  <c r="R193"/>
  <c r="T310"/>
  <c r="T311"/>
  <c r="U312"/>
  <c r="U311"/>
  <c r="E26" i="21"/>
  <c r="F18" i="32" s="1"/>
  <c r="E38" i="21"/>
  <c r="F30" i="32" s="1"/>
  <c r="V194" i="47"/>
  <c r="S120"/>
  <c r="S24" s="1"/>
  <c r="W192"/>
  <c r="W285"/>
  <c r="Q120"/>
  <c r="Q24" s="1"/>
  <c r="Q118"/>
  <c r="Q241"/>
  <c r="Q238"/>
  <c r="X120"/>
  <c r="X24" s="1"/>
  <c r="X116"/>
  <c r="X20" s="1"/>
  <c r="X118"/>
  <c r="X121"/>
  <c r="X115"/>
  <c r="U135"/>
  <c r="U136"/>
  <c r="S284"/>
  <c r="S286"/>
  <c r="S280"/>
  <c r="S283"/>
  <c r="Y85"/>
  <c r="Y88"/>
  <c r="Y91"/>
  <c r="Y86"/>
  <c r="F77"/>
  <c r="R207"/>
  <c r="R211"/>
  <c r="R208"/>
  <c r="R206"/>
  <c r="W59"/>
  <c r="W55"/>
  <c r="W61"/>
  <c r="Y256"/>
  <c r="Y22" s="1"/>
  <c r="Y252"/>
  <c r="Y254"/>
  <c r="Y253"/>
  <c r="V345"/>
  <c r="V16" s="1"/>
  <c r="V346"/>
  <c r="V17" s="1"/>
  <c r="V344"/>
  <c r="V341"/>
  <c r="V342"/>
  <c r="V340"/>
  <c r="V343"/>
  <c r="W40"/>
  <c r="S330"/>
  <c r="S14" s="1"/>
  <c r="S331"/>
  <c r="S15" s="1"/>
  <c r="S327"/>
  <c r="U254"/>
  <c r="R55"/>
  <c r="U326"/>
  <c r="U329"/>
  <c r="U330"/>
  <c r="U14" s="1"/>
  <c r="Q60" i="32"/>
  <c r="Q62"/>
  <c r="W44" i="47"/>
  <c r="W45"/>
  <c r="W41"/>
  <c r="W46"/>
  <c r="Y181"/>
  <c r="Y175"/>
  <c r="Y176"/>
  <c r="Y180"/>
  <c r="W281"/>
  <c r="W283"/>
  <c r="W284"/>
  <c r="W286"/>
  <c r="X342"/>
  <c r="X343"/>
  <c r="X341"/>
  <c r="X344"/>
  <c r="U256"/>
  <c r="U22" s="1"/>
  <c r="U251"/>
  <c r="U252"/>
  <c r="S116"/>
  <c r="S117"/>
  <c r="S115"/>
  <c r="S121"/>
  <c r="V190"/>
  <c r="V193"/>
  <c r="V192"/>
  <c r="V195"/>
  <c r="V191"/>
  <c r="R343"/>
  <c r="R346"/>
  <c r="R17" s="1"/>
  <c r="Q36" i="32"/>
  <c r="Q38"/>
  <c r="P68"/>
  <c r="P66"/>
  <c r="T41"/>
  <c r="S302" i="47"/>
  <c r="T39" i="32"/>
  <c r="R167" i="47"/>
  <c r="S26" i="32"/>
  <c r="T14"/>
  <c r="S152" i="47"/>
  <c r="S166" s="1"/>
  <c r="S104"/>
  <c r="S101"/>
  <c r="U239"/>
  <c r="U235"/>
  <c r="U240"/>
  <c r="Y46"/>
  <c r="Y44"/>
  <c r="R254"/>
  <c r="B242"/>
  <c r="Y59"/>
  <c r="Y56"/>
  <c r="Y58"/>
  <c r="S191"/>
  <c r="S190"/>
  <c r="S194"/>
  <c r="S195"/>
  <c r="S192"/>
  <c r="S193"/>
  <c r="S196"/>
  <c r="S7" s="1"/>
  <c r="Y295"/>
  <c r="Y301"/>
  <c r="Y298"/>
  <c r="Y299"/>
  <c r="T192"/>
  <c r="T194"/>
  <c r="T190"/>
  <c r="T191"/>
  <c r="W270"/>
  <c r="W269"/>
  <c r="W266"/>
  <c r="W265"/>
  <c r="W267"/>
  <c r="T60"/>
  <c r="T58"/>
  <c r="T57"/>
  <c r="T56"/>
  <c r="X209"/>
  <c r="X207"/>
  <c r="X210"/>
  <c r="X24" i="32"/>
  <c r="X106" i="47"/>
  <c r="R105"/>
  <c r="V254"/>
  <c r="O63" i="32"/>
  <c r="R236" i="47"/>
  <c r="V252"/>
  <c r="F257"/>
  <c r="Y15" i="32"/>
  <c r="R240" i="47"/>
  <c r="W205"/>
  <c r="W208"/>
  <c r="X100"/>
  <c r="W207"/>
  <c r="X105"/>
  <c r="X23" s="1"/>
  <c r="X60" i="32"/>
  <c r="X104" i="47"/>
  <c r="X103"/>
  <c r="W456" i="32"/>
  <c r="U434"/>
  <c r="U347"/>
  <c r="P381"/>
  <c r="U456"/>
  <c r="Q414"/>
  <c r="Q415"/>
  <c r="Q403"/>
  <c r="V446"/>
  <c r="W430"/>
  <c r="S411"/>
  <c r="S414"/>
  <c r="U374"/>
  <c r="U450"/>
  <c r="S416"/>
  <c r="W347"/>
  <c r="U372"/>
  <c r="W344"/>
  <c r="R381"/>
  <c r="T463"/>
  <c r="AA458"/>
  <c r="O343"/>
  <c r="S446"/>
  <c r="R457"/>
  <c r="W449"/>
  <c r="U344"/>
  <c r="Q408"/>
  <c r="R404"/>
  <c r="AB15" i="7"/>
  <c r="R353" i="32"/>
  <c r="O396"/>
  <c r="R414"/>
  <c r="P225"/>
  <c r="Q225"/>
  <c r="O298"/>
  <c r="O267"/>
  <c r="P233"/>
  <c r="P298"/>
  <c r="O225"/>
  <c r="Q274"/>
  <c r="AA110" i="28"/>
  <c r="AB274" i="32" s="1"/>
  <c r="Q273"/>
  <c r="Q234"/>
  <c r="P237"/>
  <c r="Q376"/>
  <c r="Q457"/>
  <c r="O397"/>
  <c r="V396"/>
  <c r="P369"/>
  <c r="S462"/>
  <c r="S390"/>
  <c r="S347"/>
  <c r="Y446"/>
  <c r="R437"/>
  <c r="P338"/>
  <c r="W451"/>
  <c r="U442"/>
  <c r="X426"/>
  <c r="AA371"/>
  <c r="AA455"/>
  <c r="T445"/>
  <c r="S397"/>
  <c r="X462"/>
  <c r="P433"/>
  <c r="Z353"/>
  <c r="Y459"/>
  <c r="V420"/>
  <c r="W403"/>
  <c r="W404"/>
  <c r="R415"/>
  <c r="Y462"/>
  <c r="Y412"/>
  <c r="U395"/>
  <c r="Z434"/>
  <c r="U337"/>
  <c r="X453"/>
  <c r="V457"/>
  <c r="T406"/>
  <c r="Z386"/>
  <c r="Z456"/>
  <c r="Q390"/>
  <c r="V372"/>
  <c r="T408"/>
  <c r="V380"/>
  <c r="W407"/>
  <c r="U433"/>
  <c r="Z430"/>
  <c r="W408"/>
  <c r="Q372"/>
  <c r="R403"/>
  <c r="P372"/>
  <c r="U396"/>
  <c r="R451"/>
  <c r="AA405"/>
  <c r="Y396"/>
  <c r="V356"/>
  <c r="T434"/>
  <c r="Z373"/>
  <c r="R395"/>
  <c r="U408"/>
  <c r="T374"/>
  <c r="S401"/>
  <c r="S395"/>
  <c r="O418"/>
  <c r="R426"/>
  <c r="T395"/>
  <c r="R459"/>
  <c r="Q420"/>
  <c r="V462"/>
  <c r="O412"/>
  <c r="AA349"/>
  <c r="X353"/>
  <c r="T401"/>
  <c r="P412"/>
  <c r="S437"/>
  <c r="V401"/>
  <c r="X337"/>
  <c r="J7" i="7"/>
  <c r="G21" i="31" s="1"/>
  <c r="T347" i="32"/>
  <c r="Q433"/>
  <c r="S453"/>
  <c r="Y414"/>
  <c r="T344"/>
  <c r="T397"/>
  <c r="T411"/>
  <c r="Q437"/>
  <c r="S445"/>
  <c r="T412"/>
  <c r="P420"/>
  <c r="Y406"/>
  <c r="P390"/>
  <c r="T429"/>
  <c r="E94" i="7"/>
  <c r="F386" i="32" s="1"/>
  <c r="Y373"/>
  <c r="R390"/>
  <c r="P411"/>
  <c r="P380"/>
  <c r="R401"/>
  <c r="P403"/>
  <c r="S372"/>
  <c r="S412"/>
  <c r="T367"/>
  <c r="T381"/>
  <c r="T414"/>
  <c r="R396"/>
  <c r="Y381"/>
  <c r="Z343"/>
  <c r="Z412"/>
  <c r="Y416"/>
  <c r="Z402"/>
  <c r="P344"/>
  <c r="U411"/>
  <c r="P454"/>
  <c r="S404"/>
  <c r="AA409"/>
  <c r="T446"/>
  <c r="Q429"/>
  <c r="W434"/>
  <c r="S408"/>
  <c r="V391"/>
  <c r="Y391"/>
  <c r="T451"/>
  <c r="S376"/>
  <c r="P437"/>
  <c r="W380"/>
  <c r="T372"/>
  <c r="P343"/>
  <c r="Q353"/>
  <c r="X402"/>
  <c r="Z344"/>
  <c r="P429"/>
  <c r="Q395"/>
  <c r="U369"/>
  <c r="U410"/>
  <c r="S343"/>
  <c r="R442"/>
  <c r="U414"/>
  <c r="X446"/>
  <c r="Y434"/>
  <c r="Z459"/>
  <c r="X403"/>
  <c r="S406"/>
  <c r="Q347"/>
  <c r="U380"/>
  <c r="S402"/>
  <c r="V385"/>
  <c r="Z410"/>
  <c r="X407"/>
  <c r="Z404"/>
  <c r="Q404"/>
  <c r="Q463"/>
  <c r="Q338"/>
  <c r="Q449"/>
  <c r="S433"/>
  <c r="P457"/>
  <c r="W356"/>
  <c r="U462"/>
  <c r="R446"/>
  <c r="V344"/>
  <c r="V338"/>
  <c r="X370"/>
  <c r="X456"/>
  <c r="O404"/>
  <c r="R408"/>
  <c r="R372"/>
  <c r="S426"/>
  <c r="Q406"/>
  <c r="S450"/>
  <c r="S381"/>
  <c r="V406"/>
  <c r="W418"/>
  <c r="R406"/>
  <c r="Y410"/>
  <c r="T453"/>
  <c r="Y450"/>
  <c r="Q445"/>
  <c r="Z376"/>
  <c r="W374"/>
  <c r="T338"/>
  <c r="V374"/>
  <c r="P463"/>
  <c r="R369"/>
  <c r="Q399"/>
  <c r="T415"/>
  <c r="V343"/>
  <c r="P397"/>
  <c r="R463"/>
  <c r="P402"/>
  <c r="V450"/>
  <c r="U406"/>
  <c r="E148" i="7"/>
  <c r="F434" i="32" s="1"/>
  <c r="U416"/>
  <c r="W337"/>
  <c r="Y442"/>
  <c r="Z418"/>
  <c r="Y337"/>
  <c r="E139" i="7"/>
  <c r="F426" i="32" s="1"/>
  <c r="E19" i="7"/>
  <c r="F324" i="32" s="1"/>
  <c r="Q369"/>
  <c r="T386"/>
  <c r="Z450"/>
  <c r="E89" i="7"/>
  <c r="E63"/>
  <c r="F362" i="32" s="1"/>
  <c r="E178" i="7"/>
  <c r="F456" i="32" s="1"/>
  <c r="O426"/>
  <c r="V410"/>
  <c r="T390"/>
  <c r="X397"/>
  <c r="Q412"/>
  <c r="V412"/>
  <c r="Z396"/>
  <c r="P401"/>
  <c r="P374"/>
  <c r="S456"/>
  <c r="W396"/>
  <c r="T404"/>
  <c r="Q411"/>
  <c r="T403"/>
  <c r="W397"/>
  <c r="P414"/>
  <c r="X442"/>
  <c r="R433"/>
  <c r="R380"/>
  <c r="P399"/>
  <c r="S369"/>
  <c r="V367"/>
  <c r="R343"/>
  <c r="Y343"/>
  <c r="Y456"/>
  <c r="U390"/>
  <c r="S338"/>
  <c r="W372"/>
  <c r="Q454"/>
  <c r="Y418"/>
  <c r="X367"/>
  <c r="E109" i="7"/>
  <c r="E78"/>
  <c r="F370" i="32" s="1"/>
  <c r="X391"/>
  <c r="Y344"/>
  <c r="O429"/>
  <c r="V429"/>
  <c r="V402"/>
  <c r="R347"/>
  <c r="W453"/>
  <c r="V430"/>
  <c r="U402"/>
  <c r="P415"/>
  <c r="P438"/>
  <c r="X459"/>
  <c r="Z453"/>
  <c r="Z397"/>
  <c r="E43" i="7"/>
  <c r="O414" i="32"/>
  <c r="E184" i="7"/>
  <c r="F462" i="32" s="1"/>
  <c r="Q351"/>
  <c r="E181" i="7"/>
  <c r="F459" i="32" s="1"/>
  <c r="E99" i="7"/>
  <c r="E30"/>
  <c r="F332" i="32" s="1"/>
  <c r="R338"/>
  <c r="E84" i="7"/>
  <c r="E14"/>
  <c r="W412" i="32"/>
  <c r="E175" i="7"/>
  <c r="F453" i="32" s="1"/>
  <c r="T380"/>
  <c r="E135" i="7"/>
  <c r="R412" i="32"/>
  <c r="P395"/>
  <c r="W369"/>
  <c r="W422"/>
  <c r="V403"/>
  <c r="V453"/>
  <c r="W381"/>
  <c r="Z414"/>
  <c r="Z462"/>
  <c r="E143" i="7"/>
  <c r="E165"/>
  <c r="F446" i="32" s="1"/>
  <c r="E115" i="7"/>
  <c r="F402" i="32" s="1"/>
  <c r="E119" i="7"/>
  <c r="F406" i="32" s="1"/>
  <c r="E161" i="7"/>
  <c r="E75"/>
  <c r="F367" i="32" s="1"/>
  <c r="E36" i="7"/>
  <c r="AC36" s="1"/>
  <c r="E25"/>
  <c r="F329" i="32" s="1"/>
  <c r="E131" i="7"/>
  <c r="P445" i="32"/>
  <c r="T353"/>
  <c r="U404"/>
  <c r="O406"/>
  <c r="T457"/>
  <c r="Q459"/>
  <c r="P424"/>
  <c r="Y401"/>
  <c r="P408"/>
  <c r="E53" i="7"/>
  <c r="E169"/>
  <c r="F450" i="32" s="1"/>
  <c r="P449"/>
  <c r="W426"/>
  <c r="W414"/>
  <c r="S418"/>
  <c r="S353"/>
  <c r="W442"/>
  <c r="Q396"/>
  <c r="Q343"/>
  <c r="P459"/>
  <c r="Z426"/>
  <c r="Z367"/>
  <c r="Z416"/>
  <c r="E127" i="7"/>
  <c r="F414" i="32" s="1"/>
  <c r="Q401"/>
  <c r="P451"/>
  <c r="W416"/>
  <c r="R454"/>
  <c r="U418"/>
  <c r="W386"/>
  <c r="R373"/>
  <c r="T430"/>
  <c r="U446"/>
  <c r="W410"/>
  <c r="V386"/>
  <c r="R410"/>
  <c r="Y367"/>
  <c r="E123" i="7"/>
  <c r="F410" i="32" s="1"/>
  <c r="P407"/>
  <c r="E48" i="7"/>
  <c r="F348" i="32" s="1"/>
  <c r="E81" i="7"/>
  <c r="F373" i="32" s="1"/>
  <c r="Q451"/>
  <c r="S373"/>
  <c r="X450"/>
  <c r="X376"/>
  <c r="E100" i="28"/>
  <c r="AB100" s="1"/>
  <c r="E23"/>
  <c r="F203" i="32" s="1"/>
  <c r="Q267"/>
  <c r="E103" i="28"/>
  <c r="F267" i="32" s="1"/>
  <c r="O271"/>
  <c r="O237"/>
  <c r="E154" i="28"/>
  <c r="E67"/>
  <c r="F236" i="32" s="1"/>
  <c r="E160" i="28"/>
  <c r="E97"/>
  <c r="E51"/>
  <c r="AB51" s="1"/>
  <c r="E48"/>
  <c r="E34"/>
  <c r="AB34" s="1"/>
  <c r="E64"/>
  <c r="E112"/>
  <c r="E139"/>
  <c r="E157"/>
  <c r="F306" i="32" s="1"/>
  <c r="E88" i="28"/>
  <c r="E85"/>
  <c r="E124"/>
  <c r="Q301" i="32"/>
  <c r="E70" i="28"/>
  <c r="E145"/>
  <c r="F297" i="32" s="1"/>
  <c r="E94" i="28"/>
  <c r="AB94" s="1"/>
  <c r="E127"/>
  <c r="P271" i="32"/>
  <c r="G6" i="28"/>
  <c r="H22" i="31" s="1"/>
  <c r="E109" i="28"/>
  <c r="E142"/>
  <c r="AB142" s="1"/>
  <c r="E118"/>
  <c r="F279" i="32" s="1"/>
  <c r="Q298"/>
  <c r="Q237"/>
  <c r="O234"/>
  <c r="E106" i="28"/>
  <c r="E43"/>
  <c r="AB43" s="1"/>
  <c r="E151"/>
  <c r="E76"/>
  <c r="E79"/>
  <c r="P268" i="32"/>
  <c r="P301"/>
  <c r="E54" i="28"/>
  <c r="E29"/>
  <c r="J6"/>
  <c r="H23" i="31" s="1"/>
  <c r="P577" i="32"/>
  <c r="T101" i="47"/>
  <c r="T100"/>
  <c r="T104"/>
  <c r="T106"/>
  <c r="F92"/>
  <c r="R267"/>
  <c r="R270"/>
  <c r="R269"/>
  <c r="R271"/>
  <c r="R268"/>
  <c r="U103"/>
  <c r="U101"/>
  <c r="U104"/>
  <c r="S211"/>
  <c r="S208"/>
  <c r="S206"/>
  <c r="S205"/>
  <c r="S210"/>
  <c r="Q75" i="32"/>
  <c r="S75"/>
  <c r="S76"/>
  <c r="R39"/>
  <c r="Q205" i="47"/>
  <c r="Q209"/>
  <c r="Q211"/>
  <c r="T315"/>
  <c r="U70"/>
  <c r="U76"/>
  <c r="U73"/>
  <c r="U71"/>
  <c r="U72"/>
  <c r="U74"/>
  <c r="Q12" i="32"/>
  <c r="P24"/>
  <c r="O35"/>
  <c r="O33"/>
  <c r="S59" i="47"/>
  <c r="B47"/>
  <c r="S55"/>
  <c r="S58"/>
  <c r="S56"/>
  <c r="S61"/>
  <c r="F47"/>
  <c r="W135"/>
  <c r="W134"/>
  <c r="W130"/>
  <c r="W133"/>
  <c r="W136"/>
  <c r="Q267"/>
  <c r="B257"/>
  <c r="Q271"/>
  <c r="Q270"/>
  <c r="X58"/>
  <c r="X59"/>
  <c r="X60"/>
  <c r="X56"/>
  <c r="X55"/>
  <c r="V283"/>
  <c r="V282"/>
  <c r="V285"/>
  <c r="V284"/>
  <c r="U91"/>
  <c r="U88"/>
  <c r="U90"/>
  <c r="B77"/>
  <c r="U87"/>
  <c r="U85"/>
  <c r="T75"/>
  <c r="T76"/>
  <c r="T72"/>
  <c r="T74"/>
  <c r="V209"/>
  <c r="V211"/>
  <c r="V210"/>
  <c r="B197"/>
  <c r="Q206"/>
  <c r="O268" i="32"/>
  <c r="W75" i="47"/>
  <c r="W72"/>
  <c r="W73"/>
  <c r="X192"/>
  <c r="X191"/>
  <c r="B182"/>
  <c r="X195"/>
  <c r="X190"/>
  <c r="T344"/>
  <c r="T341"/>
  <c r="B332"/>
  <c r="T345"/>
  <c r="T16" s="1"/>
  <c r="T346"/>
  <c r="T17" s="1"/>
  <c r="F332"/>
  <c r="Y133"/>
  <c r="Y132"/>
  <c r="Q255"/>
  <c r="Q251"/>
  <c r="Q254"/>
  <c r="Q253"/>
  <c r="X90"/>
  <c r="X87"/>
  <c r="X86"/>
  <c r="X88"/>
  <c r="X91"/>
  <c r="X89"/>
  <c r="Q208"/>
  <c r="R161"/>
  <c r="R166"/>
  <c r="R165"/>
  <c r="R162"/>
  <c r="W330"/>
  <c r="W328"/>
  <c r="W325"/>
  <c r="W331"/>
  <c r="W15" s="1"/>
  <c r="W327"/>
  <c r="W329"/>
  <c r="W326"/>
  <c r="O9" i="32"/>
  <c r="E17" i="21"/>
  <c r="F9" i="32" s="1"/>
  <c r="Q210" i="47"/>
  <c r="Q223"/>
  <c r="Q226"/>
  <c r="Q221"/>
  <c r="Q220"/>
  <c r="Q222"/>
  <c r="F212"/>
  <c r="Q225"/>
  <c r="T116"/>
  <c r="T120"/>
  <c r="T24" s="1"/>
  <c r="F107"/>
  <c r="T118"/>
  <c r="T115"/>
  <c r="T119"/>
  <c r="T121"/>
  <c r="X271"/>
  <c r="X270"/>
  <c r="X267"/>
  <c r="X266"/>
  <c r="X265"/>
  <c r="X268"/>
  <c r="X269"/>
  <c r="T312"/>
  <c r="Q315"/>
  <c r="Q207"/>
  <c r="W131"/>
  <c r="U100"/>
  <c r="U106"/>
  <c r="U86"/>
  <c r="W314"/>
  <c r="W311"/>
  <c r="W316"/>
  <c r="W310"/>
  <c r="B107"/>
  <c r="X240"/>
  <c r="X241"/>
  <c r="X236"/>
  <c r="X239"/>
  <c r="X237"/>
  <c r="X235"/>
  <c r="U268"/>
  <c r="U265"/>
  <c r="S73"/>
  <c r="S70"/>
  <c r="B62"/>
  <c r="T134"/>
  <c r="T132"/>
  <c r="T136"/>
  <c r="F122"/>
  <c r="X286"/>
  <c r="X281"/>
  <c r="X282"/>
  <c r="S241"/>
  <c r="B227"/>
  <c r="S235"/>
  <c r="S236"/>
  <c r="S239"/>
  <c r="S238"/>
  <c r="S237"/>
  <c r="F227"/>
  <c r="W90"/>
  <c r="W87"/>
  <c r="W85"/>
  <c r="W89"/>
  <c r="W91"/>
  <c r="W86"/>
  <c r="R57" i="32"/>
  <c r="E68" i="21"/>
  <c r="F57" i="32" s="1"/>
  <c r="R62"/>
  <c r="E71" i="21"/>
  <c r="F60" i="32" s="1"/>
  <c r="E57" i="7"/>
  <c r="T211" i="47"/>
  <c r="E14" i="28"/>
  <c r="Y42" i="47"/>
  <c r="X175"/>
  <c r="T420" i="32"/>
  <c r="X346" i="47"/>
  <c r="X17" s="1"/>
  <c r="O438" i="32"/>
  <c r="X179" i="47"/>
  <c r="X181"/>
  <c r="R63" i="32"/>
  <c r="W63"/>
  <c r="Y51"/>
  <c r="E23" i="21"/>
  <c r="Y237" i="47"/>
  <c r="Z66" i="32"/>
  <c r="T210" i="47"/>
  <c r="X211"/>
  <c r="Q269"/>
  <c r="Q268"/>
  <c r="S54" i="32"/>
  <c r="W252" i="47"/>
  <c r="T223"/>
  <c r="R195"/>
  <c r="S265"/>
  <c r="R194"/>
  <c r="S269"/>
  <c r="Y41"/>
  <c r="T564" i="32"/>
  <c r="E99" i="37"/>
  <c r="G564" i="32" s="1"/>
  <c r="R192" i="47"/>
  <c r="Y45"/>
  <c r="R56"/>
  <c r="R59"/>
  <c r="Y345"/>
  <c r="Y16" s="1"/>
  <c r="Y343"/>
  <c r="S66" i="32"/>
  <c r="S68"/>
  <c r="Q270"/>
  <c r="W344" i="47"/>
  <c r="W343"/>
  <c r="W341"/>
  <c r="W342"/>
  <c r="W346"/>
  <c r="W17" s="1"/>
  <c r="U315"/>
  <c r="Q70"/>
  <c r="S267"/>
  <c r="R190"/>
  <c r="Y40"/>
  <c r="V100"/>
  <c r="V103"/>
  <c r="W104"/>
  <c r="W102"/>
  <c r="W224"/>
  <c r="W220"/>
  <c r="Q116"/>
  <c r="Q117"/>
  <c r="X329"/>
  <c r="X326"/>
  <c r="X325"/>
  <c r="X328"/>
  <c r="X331"/>
  <c r="X15" s="1"/>
  <c r="U241"/>
  <c r="U237"/>
  <c r="Y75"/>
  <c r="Y71"/>
  <c r="Y76"/>
  <c r="R341"/>
  <c r="R340"/>
  <c r="O453" i="32"/>
  <c r="O454"/>
  <c r="X208" i="47"/>
  <c r="X206"/>
  <c r="X205"/>
  <c r="V437" i="32"/>
  <c r="V434"/>
  <c r="V441"/>
  <c r="Z72"/>
  <c r="X438"/>
  <c r="X420"/>
  <c r="Y390"/>
  <c r="Y380"/>
  <c r="Z372"/>
  <c r="X69"/>
  <c r="Z446"/>
  <c r="W58" i="47"/>
  <c r="Y131"/>
  <c r="Z51" i="32"/>
  <c r="Y426"/>
  <c r="Y453"/>
  <c r="E17" i="28"/>
  <c r="AB17" s="1"/>
  <c r="X21" i="32"/>
  <c r="T342" i="47"/>
  <c r="Y297"/>
  <c r="P561" i="32"/>
  <c r="X33"/>
  <c r="Y60"/>
  <c r="W253" i="47"/>
  <c r="Y196"/>
  <c r="X221"/>
  <c r="S209"/>
  <c r="Y134"/>
  <c r="W241"/>
  <c r="Y135"/>
  <c r="R241"/>
  <c r="E172" i="7"/>
  <c r="Q65" i="32"/>
  <c r="Q63"/>
  <c r="R441"/>
  <c r="R438"/>
  <c r="W254" i="47"/>
  <c r="Y130"/>
  <c r="Q562" i="32"/>
  <c r="Q561"/>
  <c r="W250" i="47"/>
  <c r="W251"/>
  <c r="W71"/>
  <c r="Z18" i="32"/>
  <c r="E105" i="37"/>
  <c r="AA105" s="1"/>
  <c r="Z54" i="32"/>
  <c r="Y36"/>
  <c r="Y18"/>
  <c r="Z530"/>
  <c r="Y509"/>
  <c r="Z408"/>
  <c r="W438"/>
  <c r="Y63"/>
  <c r="Z33"/>
  <c r="X434"/>
  <c r="X410"/>
  <c r="Z406"/>
  <c r="Z337"/>
  <c r="S63"/>
  <c r="Z27"/>
  <c r="Y430"/>
  <c r="X386"/>
  <c r="Z494"/>
  <c r="E148" i="28"/>
  <c r="AB148" s="1"/>
  <c r="E69" i="7"/>
  <c r="Z69" i="32"/>
  <c r="Y27"/>
  <c r="Z442"/>
  <c r="E32" i="21"/>
  <c r="E39" i="28"/>
  <c r="AB39" s="1"/>
  <c r="T438" i="32"/>
  <c r="E157" i="7"/>
  <c r="F438" i="32" s="1"/>
  <c r="X396"/>
  <c r="X412"/>
  <c r="E91" i="28"/>
  <c r="E59"/>
  <c r="X70" i="47"/>
  <c r="X76"/>
  <c r="X73"/>
  <c r="X71"/>
  <c r="X75"/>
  <c r="X74"/>
  <c r="X72"/>
  <c r="W313"/>
  <c r="W312"/>
  <c r="W315"/>
  <c r="U269"/>
  <c r="U267"/>
  <c r="U270"/>
  <c r="Q66" i="32"/>
  <c r="E77" i="21"/>
  <c r="T66" i="32"/>
  <c r="R225" i="47"/>
  <c r="R221"/>
  <c r="R226"/>
  <c r="R220"/>
  <c r="R224"/>
  <c r="R222"/>
  <c r="R223"/>
  <c r="B212"/>
  <c r="W117"/>
  <c r="W120"/>
  <c r="W118"/>
  <c r="W115"/>
  <c r="W119"/>
  <c r="W121"/>
  <c r="U211"/>
  <c r="U210"/>
  <c r="U208"/>
  <c r="F197"/>
  <c r="Q314"/>
  <c r="W196"/>
  <c r="W193"/>
  <c r="W191"/>
  <c r="W195"/>
  <c r="W190"/>
  <c r="X254"/>
  <c r="X256"/>
  <c r="X250"/>
  <c r="X251"/>
  <c r="X252"/>
  <c r="F242"/>
  <c r="B122"/>
  <c r="R132"/>
  <c r="Q91"/>
  <c r="Q90"/>
  <c r="Y55"/>
  <c r="Y61"/>
  <c r="Y60"/>
  <c r="Y57"/>
  <c r="W237"/>
  <c r="W240"/>
  <c r="W106"/>
  <c r="Y238"/>
  <c r="Y235"/>
  <c r="Y240"/>
  <c r="Y241"/>
  <c r="Y236"/>
  <c r="Q343"/>
  <c r="Q345"/>
  <c r="Z49" i="21"/>
  <c r="P65" i="32"/>
  <c r="P562"/>
  <c r="U63"/>
  <c r="Y69"/>
  <c r="Z60"/>
  <c r="X54"/>
  <c r="E133" i="28"/>
  <c r="V63" i="32"/>
  <c r="Y33"/>
  <c r="X422"/>
  <c r="Z84" i="21"/>
  <c r="Y441" i="32"/>
  <c r="Y438"/>
  <c r="U438"/>
  <c r="P63"/>
  <c r="E74" i="21"/>
  <c r="Q441" i="32"/>
  <c r="Q438"/>
  <c r="Y508"/>
  <c r="Y504"/>
  <c r="E44" i="37"/>
  <c r="T63" i="32"/>
  <c r="E47" i="21"/>
  <c r="E104" i="7"/>
  <c r="X68" i="32"/>
  <c r="X66"/>
  <c r="Z34" i="21"/>
  <c r="Y529" i="32"/>
  <c r="Y525"/>
  <c r="S441"/>
  <c r="S438"/>
  <c r="Z36"/>
  <c r="E83" i="21"/>
  <c r="AB173" i="7"/>
  <c r="E96" i="37"/>
  <c r="E65"/>
  <c r="N153" l="1"/>
  <c r="N266" i="7"/>
  <c r="O385" i="32"/>
  <c r="Z93" i="7"/>
  <c r="AA385" i="32" s="1"/>
  <c r="O420"/>
  <c r="Z134" i="7"/>
  <c r="AA420" i="32" s="1"/>
  <c r="O369"/>
  <c r="Z77" i="7"/>
  <c r="AB77" s="1"/>
  <c r="O380" i="32"/>
  <c r="Z88" i="7"/>
  <c r="AA380" i="32" s="1"/>
  <c r="O457"/>
  <c r="Z179" i="7"/>
  <c r="AB179" s="1"/>
  <c r="AC178" s="1"/>
  <c r="O395" i="32"/>
  <c r="Z103" i="7"/>
  <c r="O445" i="32"/>
  <c r="Z164" i="7"/>
  <c r="AA445" i="32" s="1"/>
  <c r="O433"/>
  <c r="Z147" i="7"/>
  <c r="AA433" i="32" s="1"/>
  <c r="O408"/>
  <c r="Z121" i="7"/>
  <c r="O374" i="32"/>
  <c r="Z82" i="7"/>
  <c r="AA374" i="32" s="1"/>
  <c r="O463"/>
  <c r="Z185" i="7"/>
  <c r="AA463" i="32" s="1"/>
  <c r="O441"/>
  <c r="Z160" i="7"/>
  <c r="AA441" i="32" s="1"/>
  <c r="O451"/>
  <c r="Z170" i="7"/>
  <c r="AA451" i="32" s="1"/>
  <c r="O390"/>
  <c r="Z98" i="7"/>
  <c r="AA390" i="32" s="1"/>
  <c r="O401"/>
  <c r="Z114" i="7"/>
  <c r="AA401" i="32" s="1"/>
  <c r="O437"/>
  <c r="Z151" i="7"/>
  <c r="AA437" i="32" s="1"/>
  <c r="O449"/>
  <c r="Z168" i="7"/>
  <c r="AA449" i="32" s="1"/>
  <c r="X43" i="47"/>
  <c r="V311"/>
  <c r="AA65" i="37"/>
  <c r="W149" i="47"/>
  <c r="W301"/>
  <c r="W299"/>
  <c r="W295"/>
  <c r="U26"/>
  <c r="Y355"/>
  <c r="O532" i="32"/>
  <c r="Z62" i="37"/>
  <c r="AA532" i="32" s="1"/>
  <c r="O523"/>
  <c r="Z53" i="37"/>
  <c r="AA523" i="32" s="1"/>
  <c r="O527"/>
  <c r="Z57" i="37"/>
  <c r="AA527" i="32" s="1"/>
  <c r="O491"/>
  <c r="Z21" i="37"/>
  <c r="AA491" i="32" s="1"/>
  <c r="Z72" i="37"/>
  <c r="AA537" i="32" s="1"/>
  <c r="O537"/>
  <c r="O511"/>
  <c r="Z41" i="37"/>
  <c r="AA511" i="32" s="1"/>
  <c r="O559"/>
  <c r="Z31" i="37"/>
  <c r="AA501" i="32" s="1"/>
  <c r="O501"/>
  <c r="Z50" i="37"/>
  <c r="AA520" i="32" s="1"/>
  <c r="O520"/>
  <c r="Z26" i="37"/>
  <c r="AA496" i="32" s="1"/>
  <c r="O496"/>
  <c r="O506"/>
  <c r="Z36" i="37"/>
  <c r="AA506" i="32" s="1"/>
  <c r="O486"/>
  <c r="Z16" i="37"/>
  <c r="F19" i="31"/>
  <c r="K19" s="1"/>
  <c r="X148" i="47"/>
  <c r="Q21"/>
  <c r="X165"/>
  <c r="X160"/>
  <c r="X162"/>
  <c r="X166"/>
  <c r="X163"/>
  <c r="AA460" i="32"/>
  <c r="X164" i="47"/>
  <c r="W297"/>
  <c r="Q166"/>
  <c r="W150"/>
  <c r="V316"/>
  <c r="V10" s="1"/>
  <c r="X42"/>
  <c r="W145"/>
  <c r="Q165"/>
  <c r="W148"/>
  <c r="X40"/>
  <c r="W151"/>
  <c r="R329"/>
  <c r="V314"/>
  <c r="X44"/>
  <c r="X41"/>
  <c r="V315"/>
  <c r="V12" s="1"/>
  <c r="V310"/>
  <c r="V313"/>
  <c r="W146"/>
  <c r="Q162"/>
  <c r="X45"/>
  <c r="X13" s="1"/>
  <c r="T175"/>
  <c r="V361"/>
  <c r="V19" s="1"/>
  <c r="Y356"/>
  <c r="W300"/>
  <c r="W296"/>
  <c r="R20"/>
  <c r="V299"/>
  <c r="X151"/>
  <c r="S42"/>
  <c r="S46"/>
  <c r="S44"/>
  <c r="R315"/>
  <c r="R12" s="1"/>
  <c r="W176"/>
  <c r="W181"/>
  <c r="W8" s="1"/>
  <c r="Y310"/>
  <c r="S148"/>
  <c r="Y313"/>
  <c r="Q7"/>
  <c r="T181"/>
  <c r="T8" s="1"/>
  <c r="T176"/>
  <c r="T179"/>
  <c r="U41"/>
  <c r="T180"/>
  <c r="T13" s="1"/>
  <c r="T178"/>
  <c r="G535" i="32"/>
  <c r="R313" i="47"/>
  <c r="S41"/>
  <c r="S151"/>
  <c r="S147"/>
  <c r="S43"/>
  <c r="S149"/>
  <c r="R312"/>
  <c r="W175"/>
  <c r="R151"/>
  <c r="S40"/>
  <c r="W178"/>
  <c r="W180"/>
  <c r="W13" s="1"/>
  <c r="R310"/>
  <c r="W179"/>
  <c r="Q164"/>
  <c r="Q160"/>
  <c r="Q161"/>
  <c r="R326"/>
  <c r="Z112" i="37"/>
  <c r="AA574" i="32" s="1"/>
  <c r="Z100" i="37"/>
  <c r="AA565" i="32" s="1"/>
  <c r="R330" i="47"/>
  <c r="R14" s="1"/>
  <c r="Z115" i="37"/>
  <c r="AA577" i="32" s="1"/>
  <c r="R297" i="47"/>
  <c r="Q358"/>
  <c r="S299"/>
  <c r="R327"/>
  <c r="Q296"/>
  <c r="V164"/>
  <c r="V161"/>
  <c r="Q301"/>
  <c r="V162"/>
  <c r="S361"/>
  <c r="S19" s="1"/>
  <c r="Q298"/>
  <c r="V165"/>
  <c r="V11" s="1"/>
  <c r="L19" i="31"/>
  <c r="V166" i="47"/>
  <c r="Q300"/>
  <c r="R311"/>
  <c r="Y162"/>
  <c r="V163"/>
  <c r="R325"/>
  <c r="R328"/>
  <c r="G543" i="32"/>
  <c r="Q360" i="47"/>
  <c r="Q18" s="1"/>
  <c r="Y361"/>
  <c r="Y19" s="1"/>
  <c r="Q355"/>
  <c r="Q359"/>
  <c r="X301"/>
  <c r="X300"/>
  <c r="Z63" i="21"/>
  <c r="AA62" s="1"/>
  <c r="AB51" i="32" s="1"/>
  <c r="Y358" i="47"/>
  <c r="S180"/>
  <c r="S13" s="1"/>
  <c r="V358"/>
  <c r="X295"/>
  <c r="Y359"/>
  <c r="Q356"/>
  <c r="V359"/>
  <c r="R149"/>
  <c r="R145"/>
  <c r="Y357"/>
  <c r="Q357"/>
  <c r="S297"/>
  <c r="V356"/>
  <c r="Z91" i="37"/>
  <c r="AA556" i="32" s="1"/>
  <c r="AA84" i="37"/>
  <c r="AB549" i="32" s="1"/>
  <c r="Z88" i="37"/>
  <c r="E77" i="2"/>
  <c r="F151" i="32" s="1"/>
  <c r="Q26" i="47"/>
  <c r="X146"/>
  <c r="X145"/>
  <c r="X150"/>
  <c r="X7"/>
  <c r="V357"/>
  <c r="X297"/>
  <c r="X296"/>
  <c r="X147"/>
  <c r="Z25" i="21"/>
  <c r="AA17" i="32" s="1"/>
  <c r="S21" i="47"/>
  <c r="V360"/>
  <c r="V18" s="1"/>
  <c r="Y161"/>
  <c r="Y166"/>
  <c r="Y9" s="1"/>
  <c r="X299"/>
  <c r="Y164"/>
  <c r="S150"/>
  <c r="R314"/>
  <c r="X323" i="32"/>
  <c r="AB323"/>
  <c r="S356" i="47"/>
  <c r="Q297"/>
  <c r="Q295"/>
  <c r="S145"/>
  <c r="AB514" i="32"/>
  <c r="Q327" i="47"/>
  <c r="Q20"/>
  <c r="S298"/>
  <c r="V26"/>
  <c r="Q330"/>
  <c r="Q14" s="1"/>
  <c r="Q331"/>
  <c r="Q15" s="1"/>
  <c r="Q329"/>
  <c r="Q326"/>
  <c r="Q328"/>
  <c r="S358"/>
  <c r="S20"/>
  <c r="W165"/>
  <c r="Q145"/>
  <c r="U7"/>
  <c r="U45"/>
  <c r="V146"/>
  <c r="V8"/>
  <c r="T300"/>
  <c r="V297"/>
  <c r="V296"/>
  <c r="R295"/>
  <c r="R301"/>
  <c r="V301"/>
  <c r="X361"/>
  <c r="X19" s="1"/>
  <c r="S181"/>
  <c r="X356"/>
  <c r="Y7"/>
  <c r="V295"/>
  <c r="S177"/>
  <c r="V298"/>
  <c r="S175"/>
  <c r="T26"/>
  <c r="T301"/>
  <c r="Q149"/>
  <c r="U160"/>
  <c r="U162"/>
  <c r="R10"/>
  <c r="U166"/>
  <c r="R21"/>
  <c r="B287"/>
  <c r="V13"/>
  <c r="S26"/>
  <c r="Q148"/>
  <c r="U43"/>
  <c r="U163"/>
  <c r="U46"/>
  <c r="U40"/>
  <c r="U161"/>
  <c r="U44"/>
  <c r="U164"/>
  <c r="V151"/>
  <c r="Z37" i="21"/>
  <c r="AA29" i="32" s="1"/>
  <c r="V148" i="47"/>
  <c r="T295"/>
  <c r="T296"/>
  <c r="T20"/>
  <c r="T149"/>
  <c r="T298"/>
  <c r="T297"/>
  <c r="G499" i="32"/>
  <c r="AA102" i="37"/>
  <c r="AB567" i="32" s="1"/>
  <c r="AA75" i="37"/>
  <c r="AB540" i="32" s="1"/>
  <c r="Y314" i="47"/>
  <c r="Y163"/>
  <c r="Y315"/>
  <c r="Y12" s="1"/>
  <c r="Y165"/>
  <c r="Y11" s="1"/>
  <c r="Y316"/>
  <c r="Y10" s="1"/>
  <c r="X359"/>
  <c r="U21"/>
  <c r="X355"/>
  <c r="B317"/>
  <c r="AA53" i="21"/>
  <c r="AB42" i="32" s="1"/>
  <c r="Y312" i="47"/>
  <c r="F302"/>
  <c r="Y328"/>
  <c r="X357"/>
  <c r="U10"/>
  <c r="V145"/>
  <c r="V147"/>
  <c r="V149"/>
  <c r="G546" i="32"/>
  <c r="AA81" i="37"/>
  <c r="AB546" i="32" s="1"/>
  <c r="F347" i="47"/>
  <c r="U355"/>
  <c r="U359"/>
  <c r="U360"/>
  <c r="U18" s="1"/>
  <c r="U180"/>
  <c r="Z206"/>
  <c r="U361"/>
  <c r="U19" s="1"/>
  <c r="V21"/>
  <c r="B347"/>
  <c r="T151"/>
  <c r="T150"/>
  <c r="T145"/>
  <c r="X360"/>
  <c r="X18" s="1"/>
  <c r="X26"/>
  <c r="W166"/>
  <c r="R146"/>
  <c r="W163"/>
  <c r="W161"/>
  <c r="R147"/>
  <c r="R150"/>
  <c r="F137"/>
  <c r="B32"/>
  <c r="Z31" i="21"/>
  <c r="AA23" i="32" s="1"/>
  <c r="Y327" i="47"/>
  <c r="U357"/>
  <c r="U356"/>
  <c r="Z102"/>
  <c r="S296"/>
  <c r="S300"/>
  <c r="R44"/>
  <c r="Z266"/>
  <c r="S301"/>
  <c r="R46"/>
  <c r="T146"/>
  <c r="T147"/>
  <c r="Z284"/>
  <c r="F287"/>
  <c r="S360"/>
  <c r="S18" s="1"/>
  <c r="S355"/>
  <c r="S359"/>
  <c r="Q146"/>
  <c r="Q150"/>
  <c r="Q147"/>
  <c r="Z253"/>
  <c r="Z131"/>
  <c r="S176"/>
  <c r="S178"/>
  <c r="R41"/>
  <c r="R43"/>
  <c r="Z222"/>
  <c r="Z205"/>
  <c r="R45"/>
  <c r="R40"/>
  <c r="Q45"/>
  <c r="Z70" i="21"/>
  <c r="AA59" i="32" s="1"/>
  <c r="F32" i="47"/>
  <c r="B302"/>
  <c r="U20"/>
  <c r="Q40"/>
  <c r="Z194"/>
  <c r="R359"/>
  <c r="R360"/>
  <c r="R18" s="1"/>
  <c r="R356"/>
  <c r="R358"/>
  <c r="R361"/>
  <c r="R19" s="1"/>
  <c r="R355"/>
  <c r="R300"/>
  <c r="R298"/>
  <c r="R299"/>
  <c r="Q43"/>
  <c r="Q46"/>
  <c r="Q41"/>
  <c r="Q44"/>
  <c r="Q42"/>
  <c r="Z192"/>
  <c r="Q178"/>
  <c r="Q175"/>
  <c r="Q180"/>
  <c r="Q181"/>
  <c r="Q179"/>
  <c r="Q176"/>
  <c r="Z286"/>
  <c r="AA32" i="21"/>
  <c r="AA38"/>
  <c r="AB30" i="32" s="1"/>
  <c r="Q12" i="47"/>
  <c r="U177"/>
  <c r="U178"/>
  <c r="U181"/>
  <c r="U179"/>
  <c r="U176"/>
  <c r="U147"/>
  <c r="U145"/>
  <c r="B137"/>
  <c r="U151"/>
  <c r="U150"/>
  <c r="U11" s="1"/>
  <c r="U146"/>
  <c r="U149"/>
  <c r="U148"/>
  <c r="G489" i="32"/>
  <c r="Z28" i="21"/>
  <c r="AA20" i="32" s="1"/>
  <c r="AA59" i="21"/>
  <c r="AB48" i="32" s="1"/>
  <c r="T10" i="47"/>
  <c r="Z52" i="21"/>
  <c r="AA50" s="1"/>
  <c r="AB39" i="32" s="1"/>
  <c r="T361" i="47"/>
  <c r="T19" s="1"/>
  <c r="T355"/>
  <c r="T359"/>
  <c r="T360"/>
  <c r="T18" s="1"/>
  <c r="T358"/>
  <c r="T356"/>
  <c r="T357"/>
  <c r="T326"/>
  <c r="T325"/>
  <c r="T327"/>
  <c r="T329"/>
  <c r="T330"/>
  <c r="T14" s="1"/>
  <c r="F317"/>
  <c r="T331"/>
  <c r="T15" s="1"/>
  <c r="T328"/>
  <c r="Z104"/>
  <c r="Z191"/>
  <c r="Z340"/>
  <c r="G570" i="32"/>
  <c r="AA108" i="37"/>
  <c r="AB570" i="32" s="1"/>
  <c r="W162" i="47"/>
  <c r="W164"/>
  <c r="Z130"/>
  <c r="Z135"/>
  <c r="Q177"/>
  <c r="Z281"/>
  <c r="Z193"/>
  <c r="Z121"/>
  <c r="T12"/>
  <c r="O79" i="32"/>
  <c r="Z93" i="21"/>
  <c r="AA79" i="32" s="1"/>
  <c r="Y330" i="47"/>
  <c r="Y14" s="1"/>
  <c r="Y329"/>
  <c r="Y325"/>
  <c r="Y331"/>
  <c r="Y15" s="1"/>
  <c r="G530" i="32"/>
  <c r="Z280" i="47"/>
  <c r="Z17"/>
  <c r="O17" s="1"/>
  <c r="Z207"/>
  <c r="Z344"/>
  <c r="Z190"/>
  <c r="X21"/>
  <c r="R23"/>
  <c r="Z23" s="1"/>
  <c r="Z105"/>
  <c r="S161"/>
  <c r="S164"/>
  <c r="F152"/>
  <c r="S163"/>
  <c r="S165"/>
  <c r="B152"/>
  <c r="Z103"/>
  <c r="Z59"/>
  <c r="AB157" i="28"/>
  <c r="S160" i="47"/>
  <c r="Z342"/>
  <c r="Z58"/>
  <c r="Z56"/>
  <c r="Z87"/>
  <c r="Z283"/>
  <c r="S162"/>
  <c r="R181"/>
  <c r="F167"/>
  <c r="R175"/>
  <c r="B167"/>
  <c r="R180"/>
  <c r="R176"/>
  <c r="R178"/>
  <c r="R179"/>
  <c r="R177"/>
  <c r="Z235"/>
  <c r="Z268"/>
  <c r="AC139" i="7"/>
  <c r="Z88" i="47"/>
  <c r="Z133"/>
  <c r="S312"/>
  <c r="S313"/>
  <c r="S315"/>
  <c r="S12" s="1"/>
  <c r="S314"/>
  <c r="S310"/>
  <c r="S311"/>
  <c r="S316"/>
  <c r="AB109" i="28"/>
  <c r="Z49"/>
  <c r="Z146"/>
  <c r="AA298" i="32" s="1"/>
  <c r="AB23" i="28"/>
  <c r="F303" i="32"/>
  <c r="Z152" i="28"/>
  <c r="AA301" i="32" s="1"/>
  <c r="AA68" i="28"/>
  <c r="AB237" i="32" s="1"/>
  <c r="F219"/>
  <c r="F273"/>
  <c r="AB154" i="28"/>
  <c r="F227" i="32"/>
  <c r="AA49" i="28"/>
  <c r="AB225" i="32" s="1"/>
  <c r="Z68" i="28"/>
  <c r="AA237" i="32" s="1"/>
  <c r="AC94" i="7"/>
  <c r="AC19"/>
  <c r="AC165"/>
  <c r="AA351" i="32"/>
  <c r="AB117" i="7"/>
  <c r="AC115" s="1"/>
  <c r="AA429" i="32"/>
  <c r="Z120" i="7"/>
  <c r="AA407" i="32" s="1"/>
  <c r="AC148" i="7"/>
  <c r="F381" i="32"/>
  <c r="AC89" i="7"/>
  <c r="Z37"/>
  <c r="AC63"/>
  <c r="AC25"/>
  <c r="AB399" i="32"/>
  <c r="AA399"/>
  <c r="AA395"/>
  <c r="Z124" i="7"/>
  <c r="AA411" i="32" s="1"/>
  <c r="Z110" i="7"/>
  <c r="AA397" i="32" s="1"/>
  <c r="F337"/>
  <c r="F321"/>
  <c r="F418"/>
  <c r="AC131" i="7"/>
  <c r="F376" i="32"/>
  <c r="AC84" i="7"/>
  <c r="F343" i="32"/>
  <c r="AC43" i="7"/>
  <c r="F430" i="32"/>
  <c r="AC143" i="7"/>
  <c r="F396" i="32"/>
  <c r="AC172" i="7"/>
  <c r="AC30"/>
  <c r="AC135"/>
  <c r="F422" i="32"/>
  <c r="F391"/>
  <c r="AC99" i="7"/>
  <c r="Z116"/>
  <c r="AA403" i="32" s="1"/>
  <c r="F353"/>
  <c r="AC53" i="7"/>
  <c r="O415" i="32"/>
  <c r="Z128" i="7"/>
  <c r="AA415" i="32" s="1"/>
  <c r="F442"/>
  <c r="AC161" i="7"/>
  <c r="AA146" i="28"/>
  <c r="AB298" i="32" s="1"/>
  <c r="F264"/>
  <c r="O301"/>
  <c r="AA152" i="28"/>
  <c r="AB301" i="32" s="1"/>
  <c r="F244"/>
  <c r="AB76" i="28"/>
  <c r="AB118"/>
  <c r="F291" i="32"/>
  <c r="AB139" i="28"/>
  <c r="F261" i="32"/>
  <c r="AB97" i="28"/>
  <c r="F276" i="32"/>
  <c r="AB112" i="28"/>
  <c r="F300" i="32"/>
  <c r="AB70" i="28"/>
  <c r="AA104"/>
  <c r="AB268" i="32" s="1"/>
  <c r="F214"/>
  <c r="AB29" i="28"/>
  <c r="F209" i="32"/>
  <c r="F270"/>
  <c r="F282"/>
  <c r="AB124" i="28"/>
  <c r="F233" i="32"/>
  <c r="F309"/>
  <c r="AB160" i="28"/>
  <c r="F252" i="32"/>
  <c r="AB85" i="28"/>
  <c r="F230" i="32"/>
  <c r="AB54" i="28"/>
  <c r="F285" i="32"/>
  <c r="AB127" i="28"/>
  <c r="F255" i="32"/>
  <c r="AB88" i="28"/>
  <c r="F224" i="32"/>
  <c r="AA65" i="28"/>
  <c r="AB64" s="1"/>
  <c r="F294" i="32"/>
  <c r="Z65" i="28"/>
  <c r="AA234" i="32" s="1"/>
  <c r="F239"/>
  <c r="F247"/>
  <c r="AB79" i="28"/>
  <c r="F258" i="32"/>
  <c r="Z104" i="28"/>
  <c r="AA268" i="32" s="1"/>
  <c r="Z85" i="47"/>
  <c r="Z282"/>
  <c r="Q10"/>
  <c r="Z271"/>
  <c r="Z136"/>
  <c r="P26" i="32"/>
  <c r="F15"/>
  <c r="F357"/>
  <c r="AC57" i="7"/>
  <c r="Q76" i="32"/>
  <c r="Z90" i="21"/>
  <c r="T21" i="47"/>
  <c r="Z239"/>
  <c r="Q25"/>
  <c r="Z25" s="1"/>
  <c r="Z255"/>
  <c r="W10"/>
  <c r="Y13"/>
  <c r="Z265"/>
  <c r="Z89"/>
  <c r="X10"/>
  <c r="O11" i="32"/>
  <c r="N12" i="21"/>
  <c r="X12" i="47"/>
  <c r="Q14" i="32"/>
  <c r="Z22" i="21"/>
  <c r="Z285" i="47"/>
  <c r="Z252"/>
  <c r="Z251"/>
  <c r="Z254"/>
  <c r="Z101"/>
  <c r="Z86"/>
  <c r="AC157" i="7"/>
  <c r="Z250" i="47"/>
  <c r="AA83" i="21"/>
  <c r="W14" i="47"/>
  <c r="AB125" i="7"/>
  <c r="AC123" s="1"/>
  <c r="Z116" i="47"/>
  <c r="F197" i="32"/>
  <c r="AB14" i="28"/>
  <c r="R41" i="32"/>
  <c r="Q271"/>
  <c r="Z107" i="28"/>
  <c r="AA107"/>
  <c r="R420" i="32"/>
  <c r="X8"/>
  <c r="Z16" i="21"/>
  <c r="AB80" i="7"/>
  <c r="AC78" s="1"/>
  <c r="E10" i="39"/>
  <c r="E11" i="28" s="1"/>
  <c r="E12" i="39"/>
  <c r="AB12" s="1"/>
  <c r="F177" i="32"/>
  <c r="AB177"/>
  <c r="AB59" i="28"/>
  <c r="Z341" i="47"/>
  <c r="Z100"/>
  <c r="Z237"/>
  <c r="Y11" i="32"/>
  <c r="Z19" i="21"/>
  <c r="Z346" i="47"/>
  <c r="Y46" i="32"/>
  <c r="Z57" i="21"/>
  <c r="S56" i="32"/>
  <c r="Y356"/>
  <c r="AA356"/>
  <c r="AA559"/>
  <c r="AA93" i="37"/>
  <c r="AB558" i="32" s="1"/>
  <c r="Z97" i="37"/>
  <c r="AA96" s="1"/>
  <c r="AB561" i="32" s="1"/>
  <c r="Z209" i="47"/>
  <c r="AB91" i="28"/>
  <c r="Z134" i="47"/>
  <c r="M19" i="31"/>
  <c r="Z240" i="47"/>
  <c r="X424" i="32"/>
  <c r="AA424"/>
  <c r="U65"/>
  <c r="Z61" i="47"/>
  <c r="Z118"/>
  <c r="Z224"/>
  <c r="Z267"/>
  <c r="X344" i="32"/>
  <c r="Z44" i="7"/>
  <c r="Z238" i="47"/>
  <c r="Z55"/>
  <c r="Z132"/>
  <c r="W24"/>
  <c r="Z24" s="1"/>
  <c r="Z120"/>
  <c r="Z220"/>
  <c r="Z269"/>
  <c r="Z71"/>
  <c r="Z75"/>
  <c r="G561" i="32"/>
  <c r="Z62"/>
  <c r="Z73" i="21"/>
  <c r="AA47"/>
  <c r="E12"/>
  <c r="V65" i="32"/>
  <c r="F63"/>
  <c r="F288"/>
  <c r="AB133" i="28"/>
  <c r="E12"/>
  <c r="X347" i="32"/>
  <c r="AA347"/>
  <c r="AA44" i="37"/>
  <c r="E12"/>
  <c r="Y35" i="32"/>
  <c r="Z43" i="21"/>
  <c r="X56" i="32"/>
  <c r="Z67" i="21"/>
  <c r="W21" i="47"/>
  <c r="Z106"/>
  <c r="W26"/>
  <c r="Z195"/>
  <c r="Z208"/>
  <c r="Z117"/>
  <c r="Z226"/>
  <c r="R7"/>
  <c r="W12"/>
  <c r="Z73"/>
  <c r="Z210"/>
  <c r="Z221"/>
  <c r="T68" i="32"/>
  <c r="Z76" i="47"/>
  <c r="X8"/>
  <c r="Z211"/>
  <c r="R26"/>
  <c r="Z225"/>
  <c r="AC104" i="7"/>
  <c r="E12"/>
  <c r="Z76" i="21"/>
  <c r="AA65" i="32" s="1"/>
  <c r="Z236" i="47"/>
  <c r="W7"/>
  <c r="Z196"/>
  <c r="Q68" i="32"/>
  <c r="Z79" i="21"/>
  <c r="AA68" i="32" s="1"/>
  <c r="Q16" i="47"/>
  <c r="Z16" s="1"/>
  <c r="O16" s="1"/>
  <c r="Z345"/>
  <c r="Z38" i="32"/>
  <c r="Z46" i="21"/>
  <c r="Z343" i="47"/>
  <c r="F66" i="32"/>
  <c r="Z70" i="47"/>
  <c r="Y73" i="32"/>
  <c r="Z87" i="21"/>
  <c r="Y70" i="32"/>
  <c r="Z81" i="21"/>
  <c r="Y8" i="47"/>
  <c r="Z241"/>
  <c r="Z57"/>
  <c r="Z90"/>
  <c r="Z119"/>
  <c r="Z223"/>
  <c r="Z72"/>
  <c r="Z60"/>
  <c r="Z91"/>
  <c r="Z256"/>
  <c r="X22"/>
  <c r="Z22" s="1"/>
  <c r="Z115"/>
  <c r="Z270"/>
  <c r="U12"/>
  <c r="Z74"/>
  <c r="X5" l="1"/>
  <c r="W4"/>
  <c r="AA14" i="37"/>
  <c r="AB484" i="32" s="1"/>
  <c r="Z12" i="37"/>
  <c r="AA12" s="1"/>
  <c r="AC48" i="7"/>
  <c r="W11" i="47"/>
  <c r="AA34" i="37"/>
  <c r="AB504" i="32" s="1"/>
  <c r="Q9" i="47"/>
  <c r="AA225" i="32"/>
  <c r="G7" i="28"/>
  <c r="G22" i="31" s="1"/>
  <c r="AA39" i="37"/>
  <c r="AB509" i="32" s="1"/>
  <c r="AA60" i="37"/>
  <c r="AB530" i="32" s="1"/>
  <c r="U13" i="47"/>
  <c r="AA52" i="37"/>
  <c r="AB522" i="32" s="1"/>
  <c r="AA19" i="37"/>
  <c r="AB489" i="32" s="1"/>
  <c r="AA49" i="37"/>
  <c r="AB519" i="32" s="1"/>
  <c r="AA29" i="37"/>
  <c r="AB499" i="32" s="1"/>
  <c r="AA55" i="37"/>
  <c r="AB525" i="32" s="1"/>
  <c r="AA24" i="37"/>
  <c r="AB494" i="32" s="1"/>
  <c r="AA486"/>
  <c r="G6" i="37"/>
  <c r="AA70"/>
  <c r="AB535" i="32" s="1"/>
  <c r="Q11" i="47"/>
  <c r="Z310"/>
  <c r="AB182" i="7"/>
  <c r="AC181" s="1"/>
  <c r="Y3" i="47"/>
  <c r="R9"/>
  <c r="W2"/>
  <c r="S8"/>
  <c r="X2"/>
  <c r="AA338" i="32"/>
  <c r="G7" i="7"/>
  <c r="G20" i="31" s="1"/>
  <c r="AA323" i="32"/>
  <c r="G8" i="7"/>
  <c r="AA52" i="32"/>
  <c r="X11" i="47"/>
  <c r="X9"/>
  <c r="Z42"/>
  <c r="Z313"/>
  <c r="AA553" i="32"/>
  <c r="W3" i="47"/>
  <c r="S9"/>
  <c r="U9"/>
  <c r="R4"/>
  <c r="U8"/>
  <c r="W6"/>
  <c r="Z311"/>
  <c r="AA99" i="37"/>
  <c r="AB564" i="32" s="1"/>
  <c r="AC14" i="7"/>
  <c r="AA90" i="37"/>
  <c r="AB555" i="32" s="1"/>
  <c r="X4" i="47"/>
  <c r="V9"/>
  <c r="AA111" i="37"/>
  <c r="AB573" i="32" s="1"/>
  <c r="Z295" i="47"/>
  <c r="Z300"/>
  <c r="AA87" i="37"/>
  <c r="AB552" i="32" s="1"/>
  <c r="AA114" i="37"/>
  <c r="AB576" i="32" s="1"/>
  <c r="Z314" i="47"/>
  <c r="V6"/>
  <c r="Y4"/>
  <c r="V2"/>
  <c r="V4"/>
  <c r="AA23" i="21"/>
  <c r="AB15" i="32" s="1"/>
  <c r="Z166" i="47"/>
  <c r="V5"/>
  <c r="Q6"/>
  <c r="Z163"/>
  <c r="X3"/>
  <c r="AA77" i="2"/>
  <c r="AB151" i="32" s="1"/>
  <c r="Z297" i="47"/>
  <c r="X6"/>
  <c r="T6"/>
  <c r="Z299"/>
  <c r="Z298"/>
  <c r="T11"/>
  <c r="W5"/>
  <c r="AA41" i="32"/>
  <c r="R6" i="47"/>
  <c r="Y6"/>
  <c r="Z148"/>
  <c r="T5"/>
  <c r="Q8"/>
  <c r="Z43"/>
  <c r="V3"/>
  <c r="Q5"/>
  <c r="S11"/>
  <c r="Z357"/>
  <c r="Z315"/>
  <c r="R2"/>
  <c r="AA68" i="21"/>
  <c r="AB57" i="32" s="1"/>
  <c r="Z161" i="47"/>
  <c r="Z301"/>
  <c r="Z149"/>
  <c r="V30"/>
  <c r="Z328"/>
  <c r="Z145"/>
  <c r="Z160"/>
  <c r="U4"/>
  <c r="W9"/>
  <c r="T9"/>
  <c r="S6"/>
  <c r="W30"/>
  <c r="Z181"/>
  <c r="Z176"/>
  <c r="Z45"/>
  <c r="AA35" i="21"/>
  <c r="AB27" i="32" s="1"/>
  <c r="R3" i="47"/>
  <c r="Y5"/>
  <c r="Z40"/>
  <c r="Z44"/>
  <c r="Z179"/>
  <c r="S4"/>
  <c r="Z15"/>
  <c r="O15" s="1"/>
  <c r="Z316"/>
  <c r="S3"/>
  <c r="X30"/>
  <c r="Z151"/>
  <c r="Z356"/>
  <c r="Z20"/>
  <c r="AA26" i="21"/>
  <c r="AB18" i="32" s="1"/>
  <c r="Z312" i="47"/>
  <c r="Z327"/>
  <c r="AA29" i="21"/>
  <c r="AB21" i="32" s="1"/>
  <c r="Z150" i="47"/>
  <c r="Z330"/>
  <c r="Z18"/>
  <c r="O18" s="1"/>
  <c r="Z361"/>
  <c r="Z178"/>
  <c r="R11"/>
  <c r="Z296"/>
  <c r="S2"/>
  <c r="Z21"/>
  <c r="Z325"/>
  <c r="Z164"/>
  <c r="Z41"/>
  <c r="T3"/>
  <c r="Q30"/>
  <c r="Z326"/>
  <c r="Z359"/>
  <c r="Z46"/>
  <c r="U5"/>
  <c r="Q13"/>
  <c r="U6"/>
  <c r="Y2"/>
  <c r="F30"/>
  <c r="Q4"/>
  <c r="Z147"/>
  <c r="U2"/>
  <c r="Z355"/>
  <c r="Q2"/>
  <c r="Z358"/>
  <c r="R5"/>
  <c r="Q3"/>
  <c r="Z180"/>
  <c r="T2"/>
  <c r="Z19"/>
  <c r="O19" s="1"/>
  <c r="Z331"/>
  <c r="Z360"/>
  <c r="Z329"/>
  <c r="U30"/>
  <c r="R30"/>
  <c r="Z177"/>
  <c r="Z14"/>
  <c r="O14" s="1"/>
  <c r="Z175"/>
  <c r="U3"/>
  <c r="B30"/>
  <c r="Z146"/>
  <c r="Y30"/>
  <c r="Z165"/>
  <c r="T30"/>
  <c r="AA92" i="21"/>
  <c r="AB78" i="32" s="1"/>
  <c r="T4" i="47"/>
  <c r="Z162"/>
  <c r="R8"/>
  <c r="R13"/>
  <c r="S5"/>
  <c r="S30"/>
  <c r="S10"/>
  <c r="Z10" s="1"/>
  <c r="O10" s="1"/>
  <c r="AA369" i="32"/>
  <c r="AB351"/>
  <c r="AB234"/>
  <c r="AB103" i="28"/>
  <c r="AB67"/>
  <c r="AB48"/>
  <c r="AB145"/>
  <c r="J7"/>
  <c r="G23" i="31" s="1"/>
  <c r="F23" s="1"/>
  <c r="K23" s="1"/>
  <c r="AB170" i="7"/>
  <c r="AC169" s="1"/>
  <c r="AB82"/>
  <c r="AC81" s="1"/>
  <c r="AB185"/>
  <c r="AC184" s="1"/>
  <c r="AA457" i="32"/>
  <c r="AA404"/>
  <c r="G6" i="7"/>
  <c r="H20" i="31" s="1"/>
  <c r="J6" i="7"/>
  <c r="H21" i="31" s="1"/>
  <c r="F21" s="1"/>
  <c r="L21" s="1"/>
  <c r="AC109" i="7"/>
  <c r="AB129"/>
  <c r="AC127" s="1"/>
  <c r="AA416" i="32"/>
  <c r="AA412"/>
  <c r="AB151" i="28"/>
  <c r="AA76" i="32"/>
  <c r="AA89" i="21"/>
  <c r="AB75" i="32" s="1"/>
  <c r="G7" i="37"/>
  <c r="AA26" i="32"/>
  <c r="AB24"/>
  <c r="AA562"/>
  <c r="AA372"/>
  <c r="AA77" i="21"/>
  <c r="AB66" i="32" s="1"/>
  <c r="AA14"/>
  <c r="AA20" i="21"/>
  <c r="AB12" i="32" s="1"/>
  <c r="AB176" i="7"/>
  <c r="AC175" s="1"/>
  <c r="AA454" i="32"/>
  <c r="AA17" i="21"/>
  <c r="AB9" i="32" s="1"/>
  <c r="AA11"/>
  <c r="AB271"/>
  <c r="AB106" i="28"/>
  <c r="AA271" i="32"/>
  <c r="AA46"/>
  <c r="AA56" i="21"/>
  <c r="AB45" i="32" s="1"/>
  <c r="AA8"/>
  <c r="AA14" i="21"/>
  <c r="AB6" i="32" s="1"/>
  <c r="AA12" i="28"/>
  <c r="AB12" s="1"/>
  <c r="Z26" i="47"/>
  <c r="AA408" i="32"/>
  <c r="AB121" i="7"/>
  <c r="AC119" s="1"/>
  <c r="Z12" i="47"/>
  <c r="O12" s="1"/>
  <c r="AA73" i="32"/>
  <c r="AA86" i="21"/>
  <c r="AB72" i="32" s="1"/>
  <c r="E10" i="28"/>
  <c r="AA35" i="32"/>
  <c r="AA41" i="21"/>
  <c r="AB33" i="32" s="1"/>
  <c r="G6" i="21"/>
  <c r="G8" i="39"/>
  <c r="G9" s="1"/>
  <c r="G10" s="1"/>
  <c r="N19" i="31" s="1"/>
  <c r="J8" i="28"/>
  <c r="J9" s="1"/>
  <c r="J10" s="1"/>
  <c r="N23" i="31" s="1"/>
  <c r="G8" i="28"/>
  <c r="G8" i="21"/>
  <c r="AC75" i="7"/>
  <c r="AA44" i="21"/>
  <c r="AB36" i="32" s="1"/>
  <c r="AA38"/>
  <c r="Z7" i="47"/>
  <c r="O7" s="1"/>
  <c r="AA71" i="21"/>
  <c r="AB60" i="32" s="1"/>
  <c r="AA62"/>
  <c r="AA70"/>
  <c r="G7" i="21"/>
  <c r="G17" i="31" s="1"/>
  <c r="AA80" i="21"/>
  <c r="AB69" i="32" s="1"/>
  <c r="G8" i="37"/>
  <c r="E11"/>
  <c r="Z12" i="21"/>
  <c r="AA12" s="1"/>
  <c r="J8" i="7"/>
  <c r="E11"/>
  <c r="AA74" i="21"/>
  <c r="AB63" i="32" s="1"/>
  <c r="AA344"/>
  <c r="AA56"/>
  <c r="AA65" i="21"/>
  <c r="AB54" i="32" s="1"/>
  <c r="G9" i="37" l="1"/>
  <c r="G10" s="1"/>
  <c r="AA12" i="7"/>
  <c r="AB12" s="1"/>
  <c r="X27" i="47"/>
  <c r="Z11"/>
  <c r="O11" s="1"/>
  <c r="V27"/>
  <c r="W27"/>
  <c r="Y27"/>
  <c r="Z6"/>
  <c r="O6" s="1"/>
  <c r="Z9"/>
  <c r="O9" s="1"/>
  <c r="U27"/>
  <c r="Z5"/>
  <c r="O5" s="1"/>
  <c r="Z2"/>
  <c r="O2" s="1"/>
  <c r="T27"/>
  <c r="Z30"/>
  <c r="Q27"/>
  <c r="Z13"/>
  <c r="O13" s="1"/>
  <c r="Z3"/>
  <c r="O3" s="1"/>
  <c r="R27"/>
  <c r="Z4"/>
  <c r="O4" s="1"/>
  <c r="Z8"/>
  <c r="O8" s="1"/>
  <c r="S27"/>
  <c r="L23" i="31"/>
  <c r="M23" s="1"/>
  <c r="G9" i="7"/>
  <c r="G10" s="1"/>
  <c r="N20" i="31" s="1"/>
  <c r="G9" i="28"/>
  <c r="G10" s="1"/>
  <c r="N22" i="31" s="1"/>
  <c r="F22"/>
  <c r="K22" s="1"/>
  <c r="K21"/>
  <c r="M21" s="1"/>
  <c r="G9" i="21"/>
  <c r="G10" s="1"/>
  <c r="N17" i="31" s="1"/>
  <c r="H17"/>
  <c r="F17" s="1"/>
  <c r="L17" s="1"/>
  <c r="K8" i="7"/>
  <c r="J9"/>
  <c r="J10" s="1"/>
  <c r="N21" i="31" s="1"/>
  <c r="F20"/>
  <c r="L20" s="1"/>
  <c r="E19"/>
  <c r="E23"/>
  <c r="E22"/>
  <c r="E25"/>
  <c r="H25" s="1"/>
  <c r="E21"/>
  <c r="E18"/>
  <c r="E17"/>
  <c r="E20"/>
  <c r="E24"/>
  <c r="H24" s="1"/>
  <c r="Z27" i="47" l="1"/>
  <c r="L22" i="31"/>
  <c r="M22" s="1"/>
  <c r="I18"/>
  <c r="J18"/>
  <c r="I21"/>
  <c r="J21"/>
  <c r="O21" s="1"/>
  <c r="I20"/>
  <c r="F25"/>
  <c r="L25" s="1"/>
  <c r="J25"/>
  <c r="I25"/>
  <c r="K20"/>
  <c r="M20" s="1"/>
  <c r="I22"/>
  <c r="J22"/>
  <c r="O22" s="1"/>
  <c r="F24"/>
  <c r="L24" s="1"/>
  <c r="I24"/>
  <c r="J24"/>
  <c r="I19"/>
  <c r="J19"/>
  <c r="O19" s="1"/>
  <c r="J20"/>
  <c r="O20" s="1"/>
  <c r="I23"/>
  <c r="J23"/>
  <c r="O23" s="1"/>
  <c r="J17"/>
  <c r="K17"/>
  <c r="M17" s="1"/>
  <c r="I17"/>
  <c r="K24" l="1"/>
  <c r="M24" s="1"/>
  <c r="K25"/>
  <c r="M25" s="1"/>
  <c r="N24"/>
  <c r="O24" s="1"/>
  <c r="N25"/>
  <c r="O25" s="1"/>
  <c r="J26"/>
  <c r="J27" s="1"/>
  <c r="O17"/>
  <c r="O107" i="32" l="1"/>
  <c r="R107"/>
  <c r="P107"/>
  <c r="S107"/>
  <c r="U107"/>
  <c r="L107"/>
  <c r="T107"/>
  <c r="X107"/>
  <c r="Q107"/>
  <c r="Z107"/>
  <c r="Y107"/>
  <c r="V107"/>
  <c r="W107"/>
  <c r="X4" l="1"/>
  <c r="S4"/>
  <c r="U4"/>
  <c r="Q122"/>
  <c r="Q125"/>
  <c r="Y4"/>
  <c r="V4"/>
  <c r="P122"/>
  <c r="Q119"/>
  <c r="R4"/>
  <c r="P119"/>
  <c r="Z4"/>
  <c r="O125"/>
  <c r="T4"/>
  <c r="P125"/>
  <c r="W4"/>
  <c r="O122"/>
  <c r="Q4" l="1"/>
  <c r="Z45" i="2"/>
  <c r="AA122" i="32" s="1"/>
  <c r="P4"/>
  <c r="O119"/>
  <c r="Z42" i="2"/>
  <c r="O4" i="32"/>
  <c r="Z51" i="2"/>
  <c r="AB107" i="32"/>
  <c r="F107"/>
  <c r="Z12" i="2" l="1"/>
  <c r="G7"/>
  <c r="G18" i="31" s="1"/>
  <c r="AA119" i="32"/>
  <c r="AA4" s="1"/>
  <c r="AA125"/>
  <c r="AB4"/>
  <c r="F18" i="31" l="1"/>
  <c r="K18" s="1"/>
  <c r="L18" l="1"/>
  <c r="M18" s="1"/>
  <c r="Z157" i="32" l="1"/>
  <c r="Z169"/>
  <c r="Z98"/>
  <c r="Z142" l="1"/>
  <c r="Z112"/>
  <c r="Z145"/>
  <c r="Z118"/>
  <c r="Z154"/>
  <c r="Z172"/>
  <c r="Z133"/>
  <c r="Z95"/>
  <c r="Z148"/>
  <c r="Z136"/>
  <c r="Z163"/>
  <c r="Z89"/>
  <c r="Z130"/>
  <c r="Z127"/>
  <c r="Z160"/>
  <c r="Z124"/>
  <c r="Z115"/>
  <c r="Z101"/>
  <c r="Z104"/>
  <c r="Z139"/>
  <c r="Z92"/>
  <c r="Z121"/>
  <c r="Z166"/>
  <c r="K107" i="2"/>
  <c r="P107" s="1"/>
  <c r="K65"/>
  <c r="Y65" s="1"/>
  <c r="Y139" i="32" s="1"/>
  <c r="K26" i="2"/>
  <c r="T26" s="1"/>
  <c r="T101" i="32" s="1"/>
  <c r="K14" i="2"/>
  <c r="K59"/>
  <c r="R59" s="1"/>
  <c r="R133" i="32" s="1"/>
  <c r="K71" i="2"/>
  <c r="K20"/>
  <c r="Y20" s="1"/>
  <c r="Y95" i="32" s="1"/>
  <c r="K92" i="2"/>
  <c r="R92" s="1"/>
  <c r="R163" i="32" s="1"/>
  <c r="K110" i="2"/>
  <c r="N110" s="1"/>
  <c r="K101"/>
  <c r="W101" s="1"/>
  <c r="W172" i="32" s="1"/>
  <c r="K62" i="2"/>
  <c r="N62" s="1"/>
  <c r="K44"/>
  <c r="P44" s="1"/>
  <c r="P121" i="32" s="1"/>
  <c r="K53" i="2"/>
  <c r="N53" s="1"/>
  <c r="K38"/>
  <c r="X38" s="1"/>
  <c r="X115" i="32" s="1"/>
  <c r="K86" i="2"/>
  <c r="Q86" s="1"/>
  <c r="Q157" i="32" s="1"/>
  <c r="K29" i="2"/>
  <c r="S29" s="1"/>
  <c r="S104" i="32" s="1"/>
  <c r="K89" i="2"/>
  <c r="N89" s="1"/>
  <c r="K50"/>
  <c r="T50" s="1"/>
  <c r="T124" i="32" s="1"/>
  <c r="K98" i="2"/>
  <c r="K74"/>
  <c r="N74" s="1"/>
  <c r="K68"/>
  <c r="N68" s="1"/>
  <c r="O142" i="32" s="1"/>
  <c r="K104" i="2"/>
  <c r="N104" s="1"/>
  <c r="K80"/>
  <c r="W80" s="1"/>
  <c r="W154" i="32" s="1"/>
  <c r="K56" i="2"/>
  <c r="Q56" s="1"/>
  <c r="Q130" i="32" s="1"/>
  <c r="K47" i="2"/>
  <c r="N47" s="1"/>
  <c r="K83"/>
  <c r="N83" s="1"/>
  <c r="K23"/>
  <c r="W23" s="1"/>
  <c r="W98" i="32" s="1"/>
  <c r="K32" i="2"/>
  <c r="N32" s="1"/>
  <c r="K17"/>
  <c r="S17" s="1"/>
  <c r="S92" i="32" s="1"/>
  <c r="K95" i="2"/>
  <c r="V95" s="1"/>
  <c r="V166" i="32" s="1"/>
  <c r="K41" i="2"/>
  <c r="T41" s="1"/>
  <c r="T118" i="32" s="1"/>
  <c r="K35" i="2"/>
  <c r="P35" s="1"/>
  <c r="P112" i="32" s="1"/>
  <c r="P95" i="2" l="1"/>
  <c r="P166" i="32" s="1"/>
  <c r="P80" i="2"/>
  <c r="P154" i="32" s="1"/>
  <c r="Y89" i="2"/>
  <c r="Y160" i="32" s="1"/>
  <c r="O148"/>
  <c r="O127"/>
  <c r="O160"/>
  <c r="O136"/>
  <c r="O98" i="2"/>
  <c r="L169" i="32"/>
  <c r="Y98" i="2"/>
  <c r="Y169" i="32" s="1"/>
  <c r="X98" i="2"/>
  <c r="X169" i="32" s="1"/>
  <c r="R98" i="2"/>
  <c r="R169" i="32" s="1"/>
  <c r="S98" i="2"/>
  <c r="S169" i="32" s="1"/>
  <c r="Q98" i="2"/>
  <c r="Q169" i="32" s="1"/>
  <c r="T98" i="2"/>
  <c r="T169" i="32" s="1"/>
  <c r="N17" i="2"/>
  <c r="R17"/>
  <c r="R92" i="32" s="1"/>
  <c r="V17" i="2"/>
  <c r="V92" i="32" s="1"/>
  <c r="U17" i="2"/>
  <c r="U92" i="32" s="1"/>
  <c r="P17" i="2"/>
  <c r="P92" i="32" s="1"/>
  <c r="L92"/>
  <c r="O17" i="2"/>
  <c r="T17"/>
  <c r="T92" i="32" s="1"/>
  <c r="Q17" i="2"/>
  <c r="Q92" i="32" s="1"/>
  <c r="X17" i="2"/>
  <c r="X92" i="32" s="1"/>
  <c r="S56" i="2"/>
  <c r="S130" i="32" s="1"/>
  <c r="T56" i="2"/>
  <c r="T130" i="32" s="1"/>
  <c r="V56" i="2"/>
  <c r="V130" i="32" s="1"/>
  <c r="X56" i="2"/>
  <c r="X130" i="32" s="1"/>
  <c r="R56" i="2"/>
  <c r="R130" i="32" s="1"/>
  <c r="P56" i="2"/>
  <c r="P130" i="32" s="1"/>
  <c r="W56" i="2"/>
  <c r="W130" i="32" s="1"/>
  <c r="O56" i="2"/>
  <c r="Y56"/>
  <c r="Y130" i="32" s="1"/>
  <c r="L130"/>
  <c r="U29" i="2"/>
  <c r="U104" i="32" s="1"/>
  <c r="Q29" i="2"/>
  <c r="Q104" i="32" s="1"/>
  <c r="T29" i="2"/>
  <c r="T104" i="32" s="1"/>
  <c r="V29" i="2"/>
  <c r="V104" i="32" s="1"/>
  <c r="L104"/>
  <c r="R29" i="2"/>
  <c r="R104" i="32" s="1"/>
  <c r="W29" i="2"/>
  <c r="W104" i="32" s="1"/>
  <c r="O29" i="2"/>
  <c r="N29"/>
  <c r="P29"/>
  <c r="P104" i="32" s="1"/>
  <c r="Q38" i="2"/>
  <c r="Q115" i="32" s="1"/>
  <c r="L115"/>
  <c r="V38" i="2"/>
  <c r="V115" i="32" s="1"/>
  <c r="S38" i="2"/>
  <c r="S115" i="32" s="1"/>
  <c r="O38" i="2"/>
  <c r="N38"/>
  <c r="W38"/>
  <c r="W115" i="32" s="1"/>
  <c r="P38" i="2"/>
  <c r="P115" i="32" s="1"/>
  <c r="U38" i="2"/>
  <c r="U115" i="32" s="1"/>
  <c r="Y38" i="2"/>
  <c r="Y115" i="32" s="1"/>
  <c r="R38" i="2"/>
  <c r="R115" i="32" s="1"/>
  <c r="W98" i="2"/>
  <c r="W169" i="32" s="1"/>
  <c r="W71" i="2"/>
  <c r="W145" i="32" s="1"/>
  <c r="T71" i="2"/>
  <c r="T145" i="32" s="1"/>
  <c r="Q71" i="2"/>
  <c r="Q145" i="32" s="1"/>
  <c r="X71" i="2"/>
  <c r="X145" i="32" s="1"/>
  <c r="Y71" i="2"/>
  <c r="Y145" i="32" s="1"/>
  <c r="P71" i="2"/>
  <c r="P145" i="32" s="1"/>
  <c r="O71" i="2"/>
  <c r="V71"/>
  <c r="V145" i="32" s="1"/>
  <c r="R71" i="2"/>
  <c r="R145" i="32" s="1"/>
  <c r="L145"/>
  <c r="U71" i="2"/>
  <c r="U145" i="32" s="1"/>
  <c r="S71" i="2"/>
  <c r="S145" i="32" s="1"/>
  <c r="V14" i="2"/>
  <c r="V89" i="32" s="1"/>
  <c r="S14" i="2"/>
  <c r="S89" i="32" s="1"/>
  <c r="T14" i="2"/>
  <c r="T89" i="32" s="1"/>
  <c r="R14" i="2"/>
  <c r="R89" i="32" s="1"/>
  <c r="X14" i="2"/>
  <c r="X89" i="32" s="1"/>
  <c r="Y14" i="2"/>
  <c r="Y89" i="32" s="1"/>
  <c r="O14" i="2"/>
  <c r="W14"/>
  <c r="W89" i="32" s="1"/>
  <c r="L89"/>
  <c r="Q14" i="2"/>
  <c r="Q89" i="32" s="1"/>
  <c r="U14" i="2"/>
  <c r="U89" i="32" s="1"/>
  <c r="P14" i="2"/>
  <c r="P89" i="32" s="1"/>
  <c r="Q62" i="2"/>
  <c r="Q136" i="32" s="1"/>
  <c r="T38" i="2"/>
  <c r="T115" i="32" s="1"/>
  <c r="Q50" i="2"/>
  <c r="Q124" i="32" s="1"/>
  <c r="Y29" i="2"/>
  <c r="Y104" i="32" s="1"/>
  <c r="T74" i="2"/>
  <c r="T148" i="32" s="1"/>
  <c r="N92" i="2"/>
  <c r="Q26"/>
  <c r="Q101" i="32" s="1"/>
  <c r="O41" i="2"/>
  <c r="P41"/>
  <c r="P118" i="32" s="1"/>
  <c r="Q41" i="2"/>
  <c r="Q118" i="32" s="1"/>
  <c r="V41" i="2"/>
  <c r="V118" i="32" s="1"/>
  <c r="X41" i="2"/>
  <c r="X118" i="32" s="1"/>
  <c r="S41" i="2"/>
  <c r="S118" i="32" s="1"/>
  <c r="R41" i="2"/>
  <c r="R118" i="32" s="1"/>
  <c r="L118"/>
  <c r="N41" i="2"/>
  <c r="O83"/>
  <c r="Q83"/>
  <c r="W83"/>
  <c r="P83"/>
  <c r="S83"/>
  <c r="R83"/>
  <c r="V83"/>
  <c r="U83"/>
  <c r="Y83"/>
  <c r="T83"/>
  <c r="X83"/>
  <c r="W41"/>
  <c r="W118" i="32" s="1"/>
  <c r="Q104" i="2"/>
  <c r="W104"/>
  <c r="O104"/>
  <c r="Y104"/>
  <c r="R104"/>
  <c r="X104"/>
  <c r="P104"/>
  <c r="S104"/>
  <c r="T104"/>
  <c r="V104"/>
  <c r="U104"/>
  <c r="V50"/>
  <c r="V124" i="32" s="1"/>
  <c r="X50" i="2"/>
  <c r="X124" i="32" s="1"/>
  <c r="P50" i="2"/>
  <c r="P124" i="32" s="1"/>
  <c r="L124"/>
  <c r="W50" i="2"/>
  <c r="W124" i="32" s="1"/>
  <c r="O50" i="2"/>
  <c r="U50"/>
  <c r="U124" i="32" s="1"/>
  <c r="R50" i="2"/>
  <c r="R124" i="32" s="1"/>
  <c r="Y50" i="2"/>
  <c r="Y124" i="32" s="1"/>
  <c r="S50" i="2"/>
  <c r="S124" i="32" s="1"/>
  <c r="R86" i="2"/>
  <c r="R157" i="32" s="1"/>
  <c r="U98" i="2"/>
  <c r="U169" i="32" s="1"/>
  <c r="N56" i="2"/>
  <c r="Y41"/>
  <c r="Y118" i="32" s="1"/>
  <c r="N50" i="2"/>
  <c r="W17"/>
  <c r="W92" i="32" s="1"/>
  <c r="N20" i="2"/>
  <c r="S35"/>
  <c r="S112" i="32" s="1"/>
  <c r="Y35" i="2"/>
  <c r="Y112" i="32" s="1"/>
  <c r="T35" i="2"/>
  <c r="T112" i="32" s="1"/>
  <c r="Q35" i="2"/>
  <c r="Q112" i="32" s="1"/>
  <c r="W35" i="2"/>
  <c r="W112" i="32" s="1"/>
  <c r="L112"/>
  <c r="O35" i="2"/>
  <c r="U35"/>
  <c r="U112" i="32" s="1"/>
  <c r="Y32" i="2"/>
  <c r="W32"/>
  <c r="V32"/>
  <c r="X32"/>
  <c r="T32"/>
  <c r="Q32"/>
  <c r="O32"/>
  <c r="P32"/>
  <c r="R32"/>
  <c r="S32"/>
  <c r="U32"/>
  <c r="P86"/>
  <c r="P157" i="32" s="1"/>
  <c r="Y86" i="2"/>
  <c r="Y157" i="32" s="1"/>
  <c r="L157"/>
  <c r="O86" i="2"/>
  <c r="T86"/>
  <c r="T157" i="32" s="1"/>
  <c r="W86" i="2"/>
  <c r="W157" i="32" s="1"/>
  <c r="S86" i="2"/>
  <c r="S157" i="32" s="1"/>
  <c r="V86" i="2"/>
  <c r="V157" i="32" s="1"/>
  <c r="Y53" i="2"/>
  <c r="Y127" i="32" s="1"/>
  <c r="Y110" i="2"/>
  <c r="W110"/>
  <c r="V110"/>
  <c r="P110"/>
  <c r="X110"/>
  <c r="R110"/>
  <c r="T110"/>
  <c r="Q110"/>
  <c r="O110"/>
  <c r="S110"/>
  <c r="U110"/>
  <c r="X29"/>
  <c r="X104" i="32" s="1"/>
  <c r="N26" i="2"/>
  <c r="W26"/>
  <c r="W101" i="32" s="1"/>
  <c r="Y26" i="2"/>
  <c r="Y101" i="32" s="1"/>
  <c r="O26" i="2"/>
  <c r="P26"/>
  <c r="P101" i="32" s="1"/>
  <c r="L101"/>
  <c r="S26" i="2"/>
  <c r="S101" i="32" s="1"/>
  <c r="V26" i="2"/>
  <c r="V101" i="32" s="1"/>
  <c r="R26" i="2"/>
  <c r="R101" i="32" s="1"/>
  <c r="X26" i="2"/>
  <c r="X101" i="32" s="1"/>
  <c r="U26" i="2"/>
  <c r="U101" i="32" s="1"/>
  <c r="R35" i="2"/>
  <c r="R112" i="32" s="1"/>
  <c r="Y74" i="2"/>
  <c r="Y148" i="32" s="1"/>
  <c r="U74" i="2"/>
  <c r="U148" i="32" s="1"/>
  <c r="P74" i="2"/>
  <c r="P148" i="32" s="1"/>
  <c r="S74" i="2"/>
  <c r="S148" i="32" s="1"/>
  <c r="R74" i="2"/>
  <c r="R148" i="32" s="1"/>
  <c r="L148"/>
  <c r="O74" i="2"/>
  <c r="W74"/>
  <c r="W148" i="32" s="1"/>
  <c r="V74" i="2"/>
  <c r="V148" i="32" s="1"/>
  <c r="N44" i="2"/>
  <c r="S44"/>
  <c r="S121" i="32" s="1"/>
  <c r="Y44" i="2"/>
  <c r="Y121" i="32" s="1"/>
  <c r="V44" i="2"/>
  <c r="V121" i="32" s="1"/>
  <c r="T44" i="2"/>
  <c r="T121" i="32" s="1"/>
  <c r="L121"/>
  <c r="W44" i="2"/>
  <c r="W121" i="32" s="1"/>
  <c r="U44" i="2"/>
  <c r="U121" i="32" s="1"/>
  <c r="Q44" i="2"/>
  <c r="Q121" i="32" s="1"/>
  <c r="O44" i="2"/>
  <c r="R44"/>
  <c r="R121" i="32" s="1"/>
  <c r="L172"/>
  <c r="X101" i="2"/>
  <c r="X172" i="32" s="1"/>
  <c r="O101" i="2"/>
  <c r="U101"/>
  <c r="U172" i="32" s="1"/>
  <c r="S101" i="2"/>
  <c r="S172" i="32" s="1"/>
  <c r="T101" i="2"/>
  <c r="T172" i="32" s="1"/>
  <c r="P101" i="2"/>
  <c r="P172" i="32" s="1"/>
  <c r="V101" i="2"/>
  <c r="V172" i="32" s="1"/>
  <c r="R101" i="2"/>
  <c r="R172" i="32" s="1"/>
  <c r="Y101" i="2"/>
  <c r="Y172" i="32" s="1"/>
  <c r="N101" i="2"/>
  <c r="Q101"/>
  <c r="Q172" i="32" s="1"/>
  <c r="W92" i="2"/>
  <c r="W163" i="32" s="1"/>
  <c r="P92" i="2"/>
  <c r="P163" i="32" s="1"/>
  <c r="Y92" i="2"/>
  <c r="Y163" i="32" s="1"/>
  <c r="U92" i="2"/>
  <c r="U163" i="32" s="1"/>
  <c r="O92" i="2"/>
  <c r="L163" i="32"/>
  <c r="T92" i="2"/>
  <c r="T163" i="32" s="1"/>
  <c r="V92" i="2"/>
  <c r="V163" i="32" s="1"/>
  <c r="S92" i="2"/>
  <c r="S163" i="32" s="1"/>
  <c r="X92" i="2"/>
  <c r="X163" i="32" s="1"/>
  <c r="Q92" i="2"/>
  <c r="Q163" i="32" s="1"/>
  <c r="X86" i="2"/>
  <c r="X157" i="32" s="1"/>
  <c r="Q74" i="2"/>
  <c r="Q148" i="32" s="1"/>
  <c r="U41" i="2"/>
  <c r="U118" i="32" s="1"/>
  <c r="O47" i="2"/>
  <c r="U47"/>
  <c r="P47"/>
  <c r="R47"/>
  <c r="W47"/>
  <c r="Y47"/>
  <c r="T47"/>
  <c r="S47"/>
  <c r="V47"/>
  <c r="Q47"/>
  <c r="X47"/>
  <c r="O80"/>
  <c r="V80"/>
  <c r="V154" i="32" s="1"/>
  <c r="L154"/>
  <c r="N80" i="2"/>
  <c r="Y80"/>
  <c r="Y154" i="32" s="1"/>
  <c r="Q80" i="2"/>
  <c r="Q154" i="32" s="1"/>
  <c r="X80" i="2"/>
  <c r="X154" i="32" s="1"/>
  <c r="T80" i="2"/>
  <c r="T154" i="32" s="1"/>
  <c r="U80" i="2"/>
  <c r="U154" i="32" s="1"/>
  <c r="S80" i="2"/>
  <c r="S154" i="32" s="1"/>
  <c r="Q89" i="2"/>
  <c r="Q160" i="32" s="1"/>
  <c r="O89" i="2"/>
  <c r="X89"/>
  <c r="X160" i="32" s="1"/>
  <c r="L160"/>
  <c r="W89" i="2"/>
  <c r="W160" i="32" s="1"/>
  <c r="P89" i="2"/>
  <c r="P160" i="32" s="1"/>
  <c r="S89" i="2"/>
  <c r="S160" i="32" s="1"/>
  <c r="T89" i="2"/>
  <c r="T160" i="32" s="1"/>
  <c r="R89" i="2"/>
  <c r="R160" i="32" s="1"/>
  <c r="U89" i="2"/>
  <c r="U160" i="32" s="1"/>
  <c r="V89" i="2"/>
  <c r="V160" i="32" s="1"/>
  <c r="U86" i="2"/>
  <c r="U157" i="32" s="1"/>
  <c r="X44" i="2"/>
  <c r="X121" i="32" s="1"/>
  <c r="P98" i="2"/>
  <c r="P169" i="32" s="1"/>
  <c r="P20" i="2"/>
  <c r="P95" i="32" s="1"/>
  <c r="Y17" i="2"/>
  <c r="Y92" i="32" s="1"/>
  <c r="Y95" i="2"/>
  <c r="Y166" i="32" s="1"/>
  <c r="S95" i="2"/>
  <c r="S166" i="32" s="1"/>
  <c r="U95" i="2"/>
  <c r="U166" i="32" s="1"/>
  <c r="X95" i="2"/>
  <c r="X166" i="32" s="1"/>
  <c r="N95" i="2"/>
  <c r="L166" i="32"/>
  <c r="R95" i="2"/>
  <c r="R166" i="32" s="1"/>
  <c r="O95" i="2"/>
  <c r="Q95"/>
  <c r="Q166" i="32" s="1"/>
  <c r="T95" i="2"/>
  <c r="T166" i="32" s="1"/>
  <c r="W95" i="2"/>
  <c r="W166" i="32" s="1"/>
  <c r="N35" i="2"/>
  <c r="O23"/>
  <c r="V23"/>
  <c r="V98" i="32" s="1"/>
  <c r="N23" i="2"/>
  <c r="U23"/>
  <c r="U98" i="32" s="1"/>
  <c r="P23" i="2"/>
  <c r="P98" i="32" s="1"/>
  <c r="X23" i="2"/>
  <c r="X98" i="32" s="1"/>
  <c r="L98"/>
  <c r="T23" i="2"/>
  <c r="T98" i="32" s="1"/>
  <c r="R23" i="2"/>
  <c r="R98" i="32" s="1"/>
  <c r="S23" i="2"/>
  <c r="S98" i="32" s="1"/>
  <c r="Y23" i="2"/>
  <c r="Y98" i="32" s="1"/>
  <c r="Q23" i="2"/>
  <c r="Q98" i="32" s="1"/>
  <c r="Q68" i="2"/>
  <c r="Q142" i="32" s="1"/>
  <c r="V68" i="2"/>
  <c r="V142" i="32" s="1"/>
  <c r="S68" i="2"/>
  <c r="S142" i="32" s="1"/>
  <c r="X68" i="2"/>
  <c r="X142" i="32" s="1"/>
  <c r="T68" i="2"/>
  <c r="T142" i="32" s="1"/>
  <c r="P68" i="2"/>
  <c r="P142" i="32" s="1"/>
  <c r="R68" i="2"/>
  <c r="R142" i="32" s="1"/>
  <c r="U68" i="2"/>
  <c r="U142" i="32" s="1"/>
  <c r="L142"/>
  <c r="Y68" i="2"/>
  <c r="Y142" i="32" s="1"/>
  <c r="O68" i="2"/>
  <c r="V98"/>
  <c r="V169" i="32" s="1"/>
  <c r="X74" i="2"/>
  <c r="X148" i="32" s="1"/>
  <c r="V35" i="2"/>
  <c r="V112" i="32" s="1"/>
  <c r="N98" i="2"/>
  <c r="V65"/>
  <c r="V139" i="32" s="1"/>
  <c r="P65" i="2"/>
  <c r="P139" i="32" s="1"/>
  <c r="W65" i="2"/>
  <c r="W139" i="32" s="1"/>
  <c r="O65" i="2"/>
  <c r="N65"/>
  <c r="L139" i="32"/>
  <c r="R65" i="2"/>
  <c r="R139" i="32" s="1"/>
  <c r="U65" i="2"/>
  <c r="U139" i="32" s="1"/>
  <c r="Q65" i="2"/>
  <c r="Q139" i="32" s="1"/>
  <c r="T65" i="2"/>
  <c r="T139" i="32" s="1"/>
  <c r="X65" i="2"/>
  <c r="X139" i="32" s="1"/>
  <c r="S65" i="2"/>
  <c r="S139" i="32" s="1"/>
  <c r="W68" i="2"/>
  <c r="W142" i="32" s="1"/>
  <c r="O53" i="2"/>
  <c r="Q53"/>
  <c r="Q127" i="32" s="1"/>
  <c r="X53" i="2"/>
  <c r="X127" i="32" s="1"/>
  <c r="L127"/>
  <c r="U53" i="2"/>
  <c r="U127" i="32" s="1"/>
  <c r="P53" i="2"/>
  <c r="P127" i="32" s="1"/>
  <c r="R53" i="2"/>
  <c r="R127" i="32" s="1"/>
  <c r="W53" i="2"/>
  <c r="W127" i="32" s="1"/>
  <c r="V53" i="2"/>
  <c r="V127" i="32" s="1"/>
  <c r="T53" i="2"/>
  <c r="T127" i="32" s="1"/>
  <c r="S53" i="2"/>
  <c r="S127" i="32" s="1"/>
  <c r="L136"/>
  <c r="R62" i="2"/>
  <c r="R136" i="32" s="1"/>
  <c r="W62" i="2"/>
  <c r="W136" i="32" s="1"/>
  <c r="O62" i="2"/>
  <c r="X62"/>
  <c r="X136" i="32" s="1"/>
  <c r="V62" i="2"/>
  <c r="V136" i="32" s="1"/>
  <c r="P62" i="2"/>
  <c r="P136" i="32" s="1"/>
  <c r="Y62" i="2"/>
  <c r="Y136" i="32" s="1"/>
  <c r="S62" i="2"/>
  <c r="S136" i="32" s="1"/>
  <c r="T62" i="2"/>
  <c r="T136" i="32" s="1"/>
  <c r="U62" i="2"/>
  <c r="U136" i="32" s="1"/>
  <c r="R80" i="2"/>
  <c r="R154" i="32" s="1"/>
  <c r="L95"/>
  <c r="S20" i="2"/>
  <c r="S95" i="32" s="1"/>
  <c r="W20" i="2"/>
  <c r="W95" i="32" s="1"/>
  <c r="V20" i="2"/>
  <c r="V95" i="32" s="1"/>
  <c r="R20" i="2"/>
  <c r="R95" i="32" s="1"/>
  <c r="Q20" i="2"/>
  <c r="Q95" i="32" s="1"/>
  <c r="X20" i="2"/>
  <c r="X95" i="32" s="1"/>
  <c r="U20" i="2"/>
  <c r="U95" i="32" s="1"/>
  <c r="O20" i="2"/>
  <c r="T20"/>
  <c r="T95" i="32" s="1"/>
  <c r="N71" i="2"/>
  <c r="P59"/>
  <c r="P133" i="32" s="1"/>
  <c r="Y59" i="2"/>
  <c r="Y133" i="32" s="1"/>
  <c r="W59" i="2"/>
  <c r="W133" i="32" s="1"/>
  <c r="T59" i="2"/>
  <c r="T133" i="32" s="1"/>
  <c r="S59" i="2"/>
  <c r="S133" i="32" s="1"/>
  <c r="U59" i="2"/>
  <c r="U133" i="32" s="1"/>
  <c r="L133"/>
  <c r="Q59" i="2"/>
  <c r="Q133" i="32" s="1"/>
  <c r="O59" i="2"/>
  <c r="V59"/>
  <c r="V133" i="32" s="1"/>
  <c r="N59" i="2"/>
  <c r="X59"/>
  <c r="X133" i="32" s="1"/>
  <c r="N14" i="2"/>
  <c r="U56"/>
  <c r="U130" i="32" s="1"/>
  <c r="X35" i="2"/>
  <c r="X112" i="32" s="1"/>
  <c r="N86" i="2"/>
  <c r="V107"/>
  <c r="N107"/>
  <c r="T107"/>
  <c r="W107"/>
  <c r="S107"/>
  <c r="X107"/>
  <c r="O107"/>
  <c r="R107"/>
  <c r="U107"/>
  <c r="Y107"/>
  <c r="Q107"/>
  <c r="E89" l="1"/>
  <c r="F160" i="32" s="1"/>
  <c r="E83" i="2"/>
  <c r="AA83" s="1"/>
  <c r="E62"/>
  <c r="F136" i="32" s="1"/>
  <c r="E32" i="2"/>
  <c r="AA32" s="1"/>
  <c r="E104"/>
  <c r="AA104" s="1"/>
  <c r="E110"/>
  <c r="AA110" s="1"/>
  <c r="E53"/>
  <c r="F127" i="32" s="1"/>
  <c r="E47" i="2"/>
  <c r="AA47" s="1"/>
  <c r="E74"/>
  <c r="F148" i="32" s="1"/>
  <c r="O154"/>
  <c r="E80" i="2"/>
  <c r="E26"/>
  <c r="O101" i="32"/>
  <c r="E107" i="2"/>
  <c r="AA107" s="1"/>
  <c r="O92" i="32"/>
  <c r="E17" i="2"/>
  <c r="E20"/>
  <c r="O95" i="32"/>
  <c r="O169"/>
  <c r="E98" i="2"/>
  <c r="E23"/>
  <c r="O98" i="32"/>
  <c r="E44" i="2"/>
  <c r="O121" i="32"/>
  <c r="O124"/>
  <c r="E50" i="2"/>
  <c r="O163" i="32"/>
  <c r="E92" i="2"/>
  <c r="O145" i="32"/>
  <c r="E71" i="2"/>
  <c r="E59"/>
  <c r="O133" i="32"/>
  <c r="O157"/>
  <c r="E86" i="2"/>
  <c r="O166" i="32"/>
  <c r="E95" i="2"/>
  <c r="O130" i="32"/>
  <c r="E56" i="2"/>
  <c r="O139" i="32"/>
  <c r="E65" i="2"/>
  <c r="O112" i="32"/>
  <c r="E35" i="2"/>
  <c r="E101"/>
  <c r="O172" i="32"/>
  <c r="O104"/>
  <c r="E29" i="2"/>
  <c r="O118" i="32"/>
  <c r="E41" i="2"/>
  <c r="O89" i="32"/>
  <c r="E14" i="2"/>
  <c r="E68"/>
  <c r="O115" i="32"/>
  <c r="E38" i="2"/>
  <c r="AA74" l="1"/>
  <c r="AB148" i="32" s="1"/>
  <c r="AA89" i="2"/>
  <c r="AB160" i="32" s="1"/>
  <c r="AA62" i="2"/>
  <c r="AB136" i="32" s="1"/>
  <c r="AA53" i="2"/>
  <c r="AB127" i="32" s="1"/>
  <c r="F145"/>
  <c r="AA71" i="2"/>
  <c r="AB145" i="32" s="1"/>
  <c r="AA20" i="2"/>
  <c r="AB95" i="32" s="1"/>
  <c r="F95"/>
  <c r="F92"/>
  <c r="AA17" i="2"/>
  <c r="AB92" i="32" s="1"/>
  <c r="AA23" i="2"/>
  <c r="AB98" i="32" s="1"/>
  <c r="F98"/>
  <c r="AA41" i="2"/>
  <c r="AB118" i="32" s="1"/>
  <c r="F118"/>
  <c r="F166"/>
  <c r="AA95" i="2"/>
  <c r="AB166" i="32" s="1"/>
  <c r="F163"/>
  <c r="AA92" i="2"/>
  <c r="AB163" i="32" s="1"/>
  <c r="F169"/>
  <c r="AA98" i="2"/>
  <c r="AB169" i="32" s="1"/>
  <c r="AA26" i="2"/>
  <c r="AB101" i="32" s="1"/>
  <c r="F101"/>
  <c r="F139"/>
  <c r="AA65" i="2"/>
  <c r="AB139" i="32" s="1"/>
  <c r="AA44" i="2"/>
  <c r="AB121" i="32" s="1"/>
  <c r="F121"/>
  <c r="F130"/>
  <c r="AA56" i="2"/>
  <c r="AB130" i="32" s="1"/>
  <c r="F115"/>
  <c r="AA38" i="2"/>
  <c r="AB115" i="32" s="1"/>
  <c r="F172"/>
  <c r="AA101" i="2"/>
  <c r="AB172" i="32" s="1"/>
  <c r="AA80" i="2"/>
  <c r="AB154" i="32" s="1"/>
  <c r="F154"/>
  <c r="F133"/>
  <c r="AA59" i="2"/>
  <c r="AB133" i="32" s="1"/>
  <c r="F104"/>
  <c r="AA29" i="2"/>
  <c r="AB104" i="32" s="1"/>
  <c r="F142"/>
  <c r="AA68" i="2"/>
  <c r="AB142" i="32" s="1"/>
  <c r="AA14" i="2"/>
  <c r="AB89" i="32" s="1"/>
  <c r="F89"/>
  <c r="E12" i="2"/>
  <c r="F112" i="32"/>
  <c r="AA35" i="2"/>
  <c r="AB112" i="32" s="1"/>
  <c r="F157"/>
  <c r="AA86" i="2"/>
  <c r="AB157" i="32" s="1"/>
  <c r="F124"/>
  <c r="AA50" i="2"/>
  <c r="AB124" i="32" s="1"/>
  <c r="AA12" i="2" l="1"/>
  <c r="E11"/>
  <c r="G8"/>
  <c r="G9" s="1"/>
  <c r="G10" s="1"/>
  <c r="N18" i="31" s="1"/>
  <c r="O18" s="1"/>
</calcChain>
</file>

<file path=xl/comments1.xml><?xml version="1.0" encoding="utf-8"?>
<comments xmlns="http://schemas.openxmlformats.org/spreadsheetml/2006/main">
  <authors>
    <author>Nidia Nakano(ACBZ)</author>
  </authors>
  <commentList>
    <comment ref="G7" authorId="0">
      <text>
        <r>
          <rPr>
            <b/>
            <sz val="9"/>
            <color indexed="81"/>
            <rFont val="Tahoma"/>
            <family val="2"/>
            <charset val="136"/>
          </rPr>
          <t>Nidia Nakano(ACBZ):</t>
        </r>
        <r>
          <rPr>
            <sz val="9"/>
            <color indexed="81"/>
            <rFont val="Tahoma"/>
            <family val="2"/>
            <charset val="136"/>
          </rPr>
          <t xml:space="preserve">
import 2022 +  backlog 2021</t>
        </r>
      </text>
    </comment>
  </commentList>
</comments>
</file>

<file path=xl/comments2.xml><?xml version="1.0" encoding="utf-8"?>
<comments xmlns="http://schemas.openxmlformats.org/spreadsheetml/2006/main">
  <authors>
    <author>Nidia Nakano(ACBZ)</author>
  </authors>
  <commentList>
    <comment ref="G7" authorId="0">
      <text>
        <r>
          <rPr>
            <b/>
            <sz val="9"/>
            <color indexed="81"/>
            <rFont val="Tahoma"/>
            <family val="2"/>
            <charset val="136"/>
          </rPr>
          <t xml:space="preserve">Nidia Nakano(ACBZ):
</t>
        </r>
        <r>
          <rPr>
            <sz val="9"/>
            <color indexed="81"/>
            <rFont val="Tahoma"/>
            <family val="2"/>
            <charset val="136"/>
          </rPr>
          <t xml:space="preserve">
import 2021+  backlog 2020</t>
        </r>
      </text>
    </comment>
  </commentList>
</comments>
</file>

<file path=xl/comments3.xml><?xml version="1.0" encoding="utf-8"?>
<comments xmlns="http://schemas.openxmlformats.org/spreadsheetml/2006/main">
  <authors>
    <author>Nidia Nakano(ACBZ)</author>
    <author>Naomi Tu(杜俞潔)</author>
    <author>Janis Hsu(許甄妮)</author>
  </authors>
  <commentList>
    <comment ref="J7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2021 + backlog 2020</t>
        </r>
      </text>
    </comment>
    <comment ref="Z13" authorId="0">
      <text>
        <r>
          <rPr>
            <b/>
            <sz val="9"/>
            <color indexed="81"/>
            <rFont val="Tahoma"/>
            <family val="2"/>
            <charset val="136"/>
          </rPr>
          <t>Nidia Nakano(ACBZ):</t>
        </r>
        <r>
          <rPr>
            <sz val="9"/>
            <color indexed="81"/>
            <rFont val="Tahoma"/>
            <family val="2"/>
            <charset val="136"/>
          </rPr>
          <t xml:space="preserve">
Total of ICs</t>
        </r>
      </text>
    </comment>
    <comment ref="K14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4+0
Local 0+4</t>
        </r>
      </text>
    </comment>
    <comment ref="K19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0+8</t>
        </r>
      </text>
    </comment>
    <comment ref="O20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2022 carry over due to HANA C/R in 2022 Dec</t>
        </r>
      </text>
    </comment>
    <comment ref="K25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4+0
Local 0+4</t>
        </r>
      </text>
    </comment>
    <comment ref="K30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0+8</t>
        </r>
      </text>
    </comment>
    <comment ref="K36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0+8</t>
        </r>
      </text>
    </comment>
    <comment ref="O38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2022 carry over due to HANA C/R in 2022 Dec</t>
        </r>
      </text>
    </comment>
    <comment ref="K43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8+8</t>
        </r>
      </text>
    </comment>
    <comment ref="K48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4+0
Local 0+4</t>
        </r>
      </text>
    </comment>
    <comment ref="M50" authorId="2">
      <text>
        <r>
          <rPr>
            <b/>
            <sz val="9"/>
            <color indexed="81"/>
            <rFont val="Tahoma"/>
            <family val="2"/>
          </rPr>
          <t>Janis Hsu(</t>
        </r>
        <r>
          <rPr>
            <b/>
            <sz val="9"/>
            <color indexed="81"/>
            <rFont val="細明體"/>
            <family val="3"/>
            <charset val="136"/>
          </rPr>
          <t>許甄妮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for CSC
</t>
        </r>
      </text>
    </comment>
    <comment ref="K53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0+8
Local 4+4</t>
        </r>
      </text>
    </comment>
    <comment ref="K57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4+0
Local 0+4</t>
        </r>
      </text>
    </comment>
    <comment ref="N58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2022 carry over due to HANA C/R in 2022 Dec</t>
        </r>
      </text>
    </comment>
    <comment ref="N60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2022 carry over due to X515EA HANA C/R in 2022 Dec</t>
        </r>
      </text>
    </comment>
    <comment ref="K63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0+8</t>
        </r>
      </text>
    </comment>
    <comment ref="O64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2022 carry over due to HANA C/R in 2022 Dec</t>
        </r>
      </text>
    </comment>
    <comment ref="K69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0+8</t>
        </r>
      </text>
    </comment>
    <comment ref="K78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4+0</t>
        </r>
      </text>
    </comment>
    <comment ref="K81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4+0</t>
        </r>
      </text>
    </comment>
    <comment ref="K84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4+4</t>
        </r>
      </text>
    </comment>
    <comment ref="K89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8+8</t>
        </r>
      </text>
    </comment>
    <comment ref="K94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4+4</t>
        </r>
      </text>
    </comment>
    <comment ref="K99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8+8</t>
        </r>
      </text>
    </comment>
    <comment ref="K104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8+8</t>
        </r>
      </text>
    </comment>
    <comment ref="K109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8+8</t>
        </r>
      </text>
    </comment>
    <comment ref="K115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16+0</t>
        </r>
      </text>
    </comment>
    <comment ref="K119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16+0</t>
        </r>
      </text>
    </comment>
    <comment ref="K123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8+0</t>
        </r>
      </text>
    </comment>
    <comment ref="K127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16+0</t>
        </r>
      </text>
    </comment>
    <comment ref="K131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4+4</t>
        </r>
      </text>
    </comment>
    <comment ref="K135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4+4</t>
        </r>
      </text>
    </comment>
    <comment ref="K139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8+8</t>
        </r>
      </text>
    </comment>
    <comment ref="K143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4+4</t>
        </r>
      </text>
    </comment>
    <comment ref="K148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8+8</t>
        </r>
      </text>
    </comment>
    <comment ref="K152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4+4</t>
        </r>
      </text>
    </comment>
    <comment ref="K157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8+8</t>
        </r>
      </text>
    </comment>
    <comment ref="K161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4+4</t>
        </r>
      </text>
    </comment>
    <comment ref="K165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8+8</t>
        </r>
      </text>
    </comment>
    <comment ref="K203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4+0
Local 0+4</t>
        </r>
      </text>
    </comment>
    <comment ref="M205" authorId="2">
      <text>
        <r>
          <rPr>
            <b/>
            <sz val="9"/>
            <color indexed="81"/>
            <rFont val="Tahoma"/>
            <family val="2"/>
          </rPr>
          <t>Janis Hsu(</t>
        </r>
        <r>
          <rPr>
            <b/>
            <sz val="9"/>
            <color indexed="81"/>
            <rFont val="細明體"/>
            <family val="3"/>
            <charset val="136"/>
          </rPr>
          <t>許甄妮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for CSC
</t>
        </r>
      </text>
    </comment>
    <comment ref="K208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8+0
Local 0+8</t>
        </r>
      </text>
    </comment>
    <comment ref="K211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4+0
Local 0+4</t>
        </r>
      </text>
    </comment>
    <comment ref="M213" authorId="2">
      <text>
        <r>
          <rPr>
            <b/>
            <sz val="9"/>
            <color indexed="81"/>
            <rFont val="Tahoma"/>
            <family val="2"/>
          </rPr>
          <t>Janis Hsu(</t>
        </r>
        <r>
          <rPr>
            <b/>
            <sz val="9"/>
            <color indexed="81"/>
            <rFont val="細明體"/>
            <family val="3"/>
            <charset val="136"/>
          </rPr>
          <t>許甄妮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for CSC
</t>
        </r>
      </text>
    </comment>
    <comment ref="K216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8+0
Local 0+8</t>
        </r>
      </text>
    </comment>
    <comment ref="K219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8+8
Local 8+8</t>
        </r>
      </text>
    </comment>
    <comment ref="K223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0+8
Local 4+4</t>
        </r>
      </text>
    </comment>
    <comment ref="K228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8+0
Local 4+4</t>
        </r>
      </text>
    </comment>
    <comment ref="K231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8+8
Local 8+8</t>
        </r>
      </text>
    </comment>
    <comment ref="K235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0+8
Local 0+8</t>
        </r>
      </text>
    </comment>
    <comment ref="K239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0+16
Local 0+16</t>
        </r>
      </text>
    </comment>
    <comment ref="K243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8+8
Local 8+8</t>
        </r>
      </text>
    </comment>
    <comment ref="K247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8+0
Local 0+8</t>
        </r>
      </text>
    </comment>
    <comment ref="K251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8+8
Local 8+8</t>
        </r>
      </text>
    </comment>
    <comment ref="K256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Imported 0+16
Local 0+16</t>
        </r>
      </text>
    </comment>
  </commentList>
</comments>
</file>

<file path=xl/comments4.xml><?xml version="1.0" encoding="utf-8"?>
<comments xmlns="http://schemas.openxmlformats.org/spreadsheetml/2006/main">
  <authors>
    <author>Nidia Nakano(ACBZ)</author>
    <author>Naomi Tu(杜俞潔)</author>
  </authors>
  <commentList>
    <comment ref="G8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in case IC Qty higher than FCST, the calculation base will be IC Qty.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HDD only</t>
        </r>
      </text>
    </comment>
    <comment ref="O184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EN-0380650</t>
        </r>
      </text>
    </comment>
  </commentList>
</comments>
</file>

<file path=xl/comments5.xml><?xml version="1.0" encoding="utf-8"?>
<comments xmlns="http://schemas.openxmlformats.org/spreadsheetml/2006/main">
  <authors>
    <author>Nidia Nakano(ACBZ)</author>
    <author>Naomi Tu(杜俞潔)</author>
  </authors>
  <commentList>
    <comment ref="G7" authorId="0">
      <text>
        <r>
          <rPr>
            <b/>
            <sz val="9"/>
            <color indexed="81"/>
            <rFont val="Tahoma"/>
            <family val="2"/>
            <charset val="136"/>
          </rPr>
          <t xml:space="preserve">Nidia Nakano(ACBZ):
</t>
        </r>
        <r>
          <rPr>
            <sz val="9"/>
            <color indexed="81"/>
            <rFont val="Tahoma"/>
            <family val="2"/>
            <charset val="136"/>
          </rPr>
          <t xml:space="preserve">
import 2021 + 279 backlog 2020</t>
        </r>
      </text>
    </comment>
    <comment ref="E10" authorId="1">
      <text>
        <r>
          <rPr>
            <b/>
            <sz val="9"/>
            <color indexed="81"/>
            <rFont val="Tahoma"/>
            <family val="2"/>
          </rPr>
          <t>Naomi Tu(</t>
        </r>
        <r>
          <rPr>
            <b/>
            <sz val="9"/>
            <color indexed="81"/>
            <rFont val="細明體"/>
            <family val="3"/>
            <charset val="136"/>
          </rPr>
          <t>杜俞潔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HDD only</t>
        </r>
      </text>
    </comment>
    <comment ref="F14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SSD + HDD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SSD +HDD</t>
        </r>
      </text>
    </comment>
  </commentList>
</comments>
</file>

<file path=xl/comments6.xml><?xml version="1.0" encoding="utf-8"?>
<comments xmlns="http://schemas.openxmlformats.org/spreadsheetml/2006/main">
  <authors>
    <author>Nidia Nakano(ACBZ)</author>
  </authors>
  <commentList>
    <comment ref="N1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FBR stock before April FCST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local demand after FBR stock reduction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local buy 25k in Mar</t>
        </r>
      </text>
    </comment>
    <comment ref="M9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local buy 25k in Mar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local buy 25k in Mar</t>
        </r>
      </text>
    </comment>
    <comment ref="M49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project
PN change: 
previous 15100-11719000 --&gt;15100-0155A000 </t>
        </r>
      </text>
    </comment>
    <comment ref="M56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project
PN change: 
previous 15100-11719000 --&gt;15100-0155A000 </t>
        </r>
      </text>
    </comment>
    <comment ref="M94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project</t>
        </r>
      </text>
    </comment>
    <comment ref="M98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project</t>
        </r>
      </text>
    </comment>
    <comment ref="M99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project</t>
        </r>
      </text>
    </comment>
    <comment ref="M105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project</t>
        </r>
      </text>
    </comment>
    <comment ref="M106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imort project</t>
        </r>
      </text>
    </comment>
    <comment ref="M109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project</t>
        </r>
      </text>
    </comment>
    <comment ref="M113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project</t>
        </r>
      </text>
    </comment>
    <comment ref="M114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project</t>
        </r>
      </text>
    </comment>
    <comment ref="M121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project</t>
        </r>
      </text>
    </comment>
    <comment ref="M188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project</t>
        </r>
      </text>
    </comment>
    <comment ref="O188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FBR import label excess 11.488units</t>
        </r>
      </text>
    </comment>
    <comment ref="O195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FBR import label excess 11.488units</t>
        </r>
      </text>
    </comment>
    <comment ref="M218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project</t>
        </r>
      </text>
    </comment>
    <comment ref="O218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FBR import label excess 11.488units</t>
        </r>
      </text>
    </comment>
    <comment ref="O225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FBR import label excess 11.488units</t>
        </r>
      </text>
    </comment>
    <comment ref="M248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label project</t>
        </r>
      </text>
    </comment>
    <comment ref="M249" authorId="0">
      <text>
        <r>
          <rPr>
            <b/>
            <sz val="9"/>
            <color indexed="81"/>
            <rFont val="Tahoma"/>
            <family val="2"/>
          </rPr>
          <t>Nidia Nakano(ACBZ):</t>
        </r>
        <r>
          <rPr>
            <sz val="9"/>
            <color indexed="81"/>
            <rFont val="Tahoma"/>
            <family val="2"/>
          </rPr>
          <t xml:space="preserve">
Import label project</t>
        </r>
      </text>
    </comment>
  </commentList>
</comments>
</file>

<file path=xl/comments7.xml><?xml version="1.0" encoding="utf-8"?>
<comments xmlns="http://schemas.openxmlformats.org/spreadsheetml/2006/main">
  <authors>
    <author>Allenyj Lin(林彥然)</author>
  </authors>
  <commentList>
    <comment ref="D33" authorId="0">
      <text>
        <r>
          <rPr>
            <b/>
            <sz val="9"/>
            <color indexed="81"/>
            <rFont val="Tahoma"/>
            <family val="2"/>
          </rPr>
          <t>Allenyj Lin(</t>
        </r>
        <r>
          <rPr>
            <b/>
            <sz val="9"/>
            <color indexed="81"/>
            <rFont val="細明體"/>
            <family val="3"/>
            <charset val="136"/>
          </rPr>
          <t>林彥然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Check Panel</t>
        </r>
      </text>
    </comment>
    <comment ref="D66" authorId="0">
      <text>
        <r>
          <rPr>
            <b/>
            <sz val="9"/>
            <color indexed="81"/>
            <rFont val="Tahoma"/>
            <family val="2"/>
          </rPr>
          <t>Allenyj Lin(</t>
        </r>
        <r>
          <rPr>
            <b/>
            <sz val="9"/>
            <color indexed="81"/>
            <rFont val="細明體"/>
            <family val="3"/>
            <charset val="136"/>
          </rPr>
          <t>林彥然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新增機種
</t>
        </r>
      </text>
    </comment>
    <comment ref="D67" authorId="0">
      <text>
        <r>
          <rPr>
            <b/>
            <sz val="9"/>
            <color indexed="81"/>
            <rFont val="Tahoma"/>
            <family val="2"/>
          </rPr>
          <t>Allenyj Lin(</t>
        </r>
        <r>
          <rPr>
            <b/>
            <sz val="9"/>
            <color indexed="81"/>
            <rFont val="細明體"/>
            <family val="3"/>
            <charset val="136"/>
          </rPr>
          <t>林彥然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新增</t>
        </r>
        <r>
          <rPr>
            <sz val="9"/>
            <color indexed="81"/>
            <rFont val="Tahoma"/>
            <family val="2"/>
          </rPr>
          <t>90</t>
        </r>
      </text>
    </comment>
    <comment ref="D73" authorId="0">
      <text>
        <r>
          <rPr>
            <b/>
            <sz val="9"/>
            <color indexed="81"/>
            <rFont val="Tahoma"/>
            <family val="2"/>
          </rPr>
          <t>Allenyj Lin(</t>
        </r>
        <r>
          <rPr>
            <b/>
            <sz val="9"/>
            <color indexed="81"/>
            <rFont val="細明體"/>
            <family val="3"/>
            <charset val="136"/>
          </rPr>
          <t>林彥然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機種還要做嗎</t>
        </r>
        <r>
          <rPr>
            <sz val="9"/>
            <color indexed="81"/>
            <rFont val="Tahoma"/>
            <family val="2"/>
          </rPr>
          <t>?</t>
        </r>
      </text>
    </comment>
    <comment ref="D92" authorId="0">
      <text>
        <r>
          <rPr>
            <b/>
            <sz val="9"/>
            <color indexed="81"/>
            <rFont val="Tahoma"/>
            <family val="2"/>
          </rPr>
          <t>Allenyj Lin(</t>
        </r>
        <r>
          <rPr>
            <b/>
            <sz val="9"/>
            <color indexed="81"/>
            <rFont val="細明體"/>
            <family val="3"/>
            <charset val="136"/>
          </rPr>
          <t>林彥然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都</t>
        </r>
        <r>
          <rPr>
            <sz val="9"/>
            <color indexed="81"/>
            <rFont val="Tahoma"/>
            <family val="2"/>
          </rPr>
          <t>90
2. Request KeepOS</t>
        </r>
      </text>
    </comment>
    <comment ref="D103" authorId="0">
      <text>
        <r>
          <rPr>
            <b/>
            <sz val="9"/>
            <color indexed="81"/>
            <rFont val="Tahoma"/>
            <family val="2"/>
          </rPr>
          <t>Allenyj Lin(</t>
        </r>
        <r>
          <rPr>
            <b/>
            <sz val="9"/>
            <color indexed="81"/>
            <rFont val="細明體"/>
            <family val="3"/>
            <charset val="136"/>
          </rPr>
          <t>林彥然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DDR5*2?</t>
        </r>
      </text>
    </comment>
    <comment ref="D110" authorId="0">
      <text>
        <r>
          <rPr>
            <b/>
            <sz val="9"/>
            <color indexed="81"/>
            <rFont val="Tahoma"/>
            <family val="2"/>
          </rPr>
          <t>Allenyj Lin(</t>
        </r>
        <r>
          <rPr>
            <b/>
            <sz val="9"/>
            <color indexed="81"/>
            <rFont val="細明體"/>
            <family val="3"/>
            <charset val="136"/>
          </rPr>
          <t>林彥然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新增機種
</t>
        </r>
      </text>
    </comment>
  </commentList>
</comments>
</file>

<file path=xl/sharedStrings.xml><?xml version="1.0" encoding="utf-8"?>
<sst xmlns="http://schemas.openxmlformats.org/spreadsheetml/2006/main" count="9853" uniqueCount="1082">
  <si>
    <t>Total</t>
  </si>
  <si>
    <t>Jan</t>
  </si>
  <si>
    <t>Imported</t>
  </si>
  <si>
    <t>Feb</t>
  </si>
  <si>
    <t>Mar</t>
  </si>
  <si>
    <t>Apr</t>
  </si>
  <si>
    <t>May</t>
  </si>
  <si>
    <t>Local Buy</t>
  </si>
  <si>
    <t>Jul</t>
  </si>
  <si>
    <t>Aug</t>
  </si>
  <si>
    <t>Sep</t>
  </si>
  <si>
    <t>Oct</t>
  </si>
  <si>
    <t>Nov</t>
  </si>
  <si>
    <t>X512FJ</t>
  </si>
  <si>
    <t>Model</t>
  </si>
  <si>
    <t>From</t>
  </si>
  <si>
    <t>Supplier</t>
  </si>
  <si>
    <t>Material</t>
  </si>
  <si>
    <t>Spec</t>
  </si>
  <si>
    <t>ASUS P/N</t>
    <phoneticPr fontId="9" type="noConversion"/>
  </si>
  <si>
    <t>Local</t>
  </si>
  <si>
    <t>adapter</t>
  </si>
  <si>
    <t>FCST</t>
  </si>
  <si>
    <t>Remarks</t>
  </si>
  <si>
    <t>Total
 FCST</t>
  </si>
  <si>
    <t>HDD</t>
  </si>
  <si>
    <t>Memory</t>
  </si>
  <si>
    <t>Multilaser</t>
  </si>
  <si>
    <t>Mmodule</t>
  </si>
  <si>
    <t>Adaptor</t>
  </si>
  <si>
    <t>commodity</t>
  </si>
  <si>
    <t>Asus</t>
  </si>
  <si>
    <t>MB</t>
  </si>
  <si>
    <t>%</t>
  </si>
  <si>
    <t>Points</t>
  </si>
  <si>
    <t>FG backlog</t>
  </si>
  <si>
    <t>Total FCST</t>
  </si>
  <si>
    <t>Local material backlog</t>
  </si>
  <si>
    <t>Local material</t>
  </si>
  <si>
    <t>Imported material</t>
  </si>
  <si>
    <t>Total Points</t>
  </si>
  <si>
    <t>SSD IC</t>
  </si>
  <si>
    <t>SSD M</t>
  </si>
  <si>
    <t xml:space="preserve">DRAM IC </t>
  </si>
  <si>
    <t>DRAM M</t>
  </si>
  <si>
    <t xml:space="preserve">Local Obligation Minimum Points = 42 </t>
  </si>
  <si>
    <t xml:space="preserve">The possibilities that we can do locally </t>
  </si>
  <si>
    <t>Subsection</t>
  </si>
  <si>
    <t>Production Stages</t>
  </si>
  <si>
    <t>I</t>
  </si>
  <si>
    <t>Projeto/design Local (portaria 950)</t>
  </si>
  <si>
    <t>II</t>
  </si>
  <si>
    <t>Investimento adicional em P&amp;D,</t>
  </si>
  <si>
    <t xml:space="preserve">2 pts = 1%  (limitado a um máximo de 6 pontos). </t>
  </si>
  <si>
    <t>III</t>
  </si>
  <si>
    <t xml:space="preserve">Desenvolvimento software/firmware  </t>
  </si>
  <si>
    <t>IV</t>
  </si>
  <si>
    <t>Corte do wafer, encapsulamento e</t>
  </si>
  <si>
    <t xml:space="preserve">teste do Processador Principal (CPU) </t>
  </si>
  <si>
    <t>V</t>
  </si>
  <si>
    <t>Laminação e corte das placas de vidro</t>
  </si>
  <si>
    <t xml:space="preserve">e encapsulamento da célula de vidro polarizada. </t>
  </si>
  <si>
    <t>VI</t>
  </si>
  <si>
    <t>Injeção plástica ou</t>
  </si>
  <si>
    <t>estampagem da carcaça do gabinete.</t>
  </si>
  <si>
    <t>VII</t>
  </si>
  <si>
    <t>Laminação da placa de circuito impresso.</t>
  </si>
  <si>
    <t xml:space="preserve">que implemente a função de processamento central. </t>
  </si>
  <si>
    <t>VIII</t>
  </si>
  <si>
    <t>X</t>
  </si>
  <si>
    <t xml:space="preserve">Adapter CA/CC </t>
  </si>
  <si>
    <t>XII</t>
  </si>
  <si>
    <t>XIII</t>
  </si>
  <si>
    <t>Memory (DRAM) IC</t>
  </si>
  <si>
    <t>XIV</t>
  </si>
  <si>
    <t>Memory (DRAM) Module</t>
  </si>
  <si>
    <t>XV</t>
  </si>
  <si>
    <r>
      <t>Solid State Drive</t>
    </r>
    <r>
      <rPr>
        <sz val="11"/>
        <color indexed="8"/>
        <rFont val="Calibri"/>
        <family val="2"/>
      </rPr>
      <t xml:space="preserve"> "on Board " </t>
    </r>
  </si>
  <si>
    <t>XVI</t>
  </si>
  <si>
    <r>
      <t>Solid State Drive</t>
    </r>
    <r>
      <rPr>
        <sz val="11"/>
        <color indexed="8"/>
        <rFont val="Calibri"/>
        <family val="2"/>
      </rPr>
      <t>  "Module"</t>
    </r>
  </si>
  <si>
    <t>XVII</t>
  </si>
  <si>
    <t>Integration of Final Product</t>
  </si>
  <si>
    <t>XVIII</t>
  </si>
  <si>
    <t>Tests</t>
  </si>
  <si>
    <t>GAP</t>
  </si>
  <si>
    <t>Total 
Material</t>
  </si>
  <si>
    <t>PPB Obligation by Points</t>
    <phoneticPr fontId="14" type="noConversion"/>
  </si>
  <si>
    <t>Total FCST+
Backlog</t>
  </si>
  <si>
    <t>Packing</t>
  </si>
  <si>
    <t xml:space="preserve">Jun </t>
  </si>
  <si>
    <t>X512FB</t>
  </si>
  <si>
    <t>M509DA</t>
  </si>
  <si>
    <t>UX434FAC</t>
  </si>
  <si>
    <t>Total IC
 Local</t>
  </si>
  <si>
    <t>Total Mmodule</t>
  </si>
  <si>
    <t>Points
Achievement</t>
  </si>
  <si>
    <t>X543NA</t>
    <phoneticPr fontId="6" type="noConversion"/>
  </si>
  <si>
    <t>Start</t>
  </si>
  <si>
    <t>EOL</t>
  </si>
  <si>
    <t>Q4_20</t>
  </si>
  <si>
    <t>Q1_21</t>
  </si>
  <si>
    <t>Q1_20</t>
  </si>
  <si>
    <r>
      <t xml:space="preserve">%
</t>
    </r>
    <r>
      <rPr>
        <sz val="8"/>
        <rFont val="Calibri"/>
        <family val="2"/>
      </rPr>
      <t>(PPB calculation)</t>
    </r>
  </si>
  <si>
    <t>import</t>
  </si>
  <si>
    <t>double check</t>
  </si>
  <si>
    <t>check</t>
  </si>
  <si>
    <t>X571GT</t>
  </si>
  <si>
    <t>X515JA</t>
  </si>
  <si>
    <t>8GB</t>
  </si>
  <si>
    <t>X509JA</t>
  </si>
  <si>
    <t>X515JF</t>
  </si>
  <si>
    <t>X512JP</t>
  </si>
  <si>
    <t>UX425EA</t>
  </si>
  <si>
    <t>UX435EA</t>
  </si>
  <si>
    <t>1TB</t>
  </si>
  <si>
    <t>SSD</t>
  </si>
  <si>
    <t>Total IC</t>
  </si>
  <si>
    <t>256G</t>
  </si>
  <si>
    <t>512G</t>
  </si>
  <si>
    <t>M on board</t>
  </si>
  <si>
    <t>X513EP</t>
  </si>
  <si>
    <t>4GB</t>
  </si>
  <si>
    <t>IC per unit</t>
  </si>
  <si>
    <r>
      <t>UX4</t>
    </r>
    <r>
      <rPr>
        <b/>
        <sz val="10"/>
        <color indexed="10"/>
        <rFont val="Calibri"/>
        <family val="2"/>
      </rPr>
      <t>35</t>
    </r>
    <r>
      <rPr>
        <b/>
        <sz val="10"/>
        <color indexed="56"/>
        <rFont val="Calibri"/>
        <family val="2"/>
      </rPr>
      <t>EA</t>
    </r>
  </si>
  <si>
    <t>Total Module</t>
  </si>
  <si>
    <t>WD</t>
  </si>
  <si>
    <t>X543UA (I3-6100U)</t>
    <phoneticPr fontId="6" type="noConversion"/>
  </si>
  <si>
    <t>X543UAR (I5-8250U)</t>
    <phoneticPr fontId="12" type="noConversion"/>
  </si>
  <si>
    <t>X543UA (I3-7020U)</t>
    <phoneticPr fontId="6" type="noConversion"/>
  </si>
  <si>
    <t>X543UAR (I5-6200U)</t>
    <phoneticPr fontId="12" type="noConversion"/>
  </si>
  <si>
    <t>K513EP/X513EP</t>
  </si>
  <si>
    <t>M570DA</t>
    <phoneticPr fontId="12" type="noConversion"/>
  </si>
  <si>
    <t>8GB</t>
    <phoneticPr fontId="6" type="noConversion"/>
  </si>
  <si>
    <t>TBD</t>
    <phoneticPr fontId="6" type="noConversion"/>
  </si>
  <si>
    <t>X543MA</t>
  </si>
  <si>
    <t>M515DA (Ryzen 5 3500U)</t>
  </si>
  <si>
    <t>M515DA (Ryzen 5 3500U)</t>
    <phoneticPr fontId="12" type="noConversion"/>
  </si>
  <si>
    <t>M515DA (Ryzen 7 3700U)</t>
  </si>
  <si>
    <t>M515DA (Ryzen 7 3700U)</t>
    <phoneticPr fontId="12" type="noConversion"/>
  </si>
  <si>
    <t>E510MA</t>
  </si>
  <si>
    <t>eMMC</t>
  </si>
  <si>
    <t>PN</t>
  </si>
  <si>
    <t>Label Code</t>
  </si>
  <si>
    <t>15100-17212000</t>
  </si>
  <si>
    <t>15100-02793200</t>
  </si>
  <si>
    <t>15100-12786000</t>
  </si>
  <si>
    <t>15100-00390200</t>
  </si>
  <si>
    <t>15100-11712100</t>
  </si>
  <si>
    <t>15100-12782100</t>
  </si>
  <si>
    <t>15100-0155A000</t>
  </si>
  <si>
    <t>15100-08290100</t>
  </si>
  <si>
    <t>15100-17202000</t>
  </si>
  <si>
    <t>X543NA</t>
    <phoneticPr fontId="5" type="noConversion"/>
  </si>
  <si>
    <t>Label</t>
  </si>
  <si>
    <t>BRAZIL WARRANTY LABEL//V5.0</t>
  </si>
  <si>
    <t>X543UA (I3-6100U)</t>
    <phoneticPr fontId="5" type="noConversion"/>
  </si>
  <si>
    <t>X543UAR (I5-6200U)</t>
    <phoneticPr fontId="11" type="noConversion"/>
  </si>
  <si>
    <t>X543UAR (I5-8250U)</t>
    <phoneticPr fontId="11" type="noConversion"/>
  </si>
  <si>
    <t>M515DA (Ryzen 5 3500U)</t>
    <phoneticPr fontId="11" type="noConversion"/>
  </si>
  <si>
    <t>M515DA (Ryzen 7 3700U)</t>
    <phoneticPr fontId="11" type="noConversion"/>
  </si>
  <si>
    <t>15100-16151200</t>
  </si>
  <si>
    <t>15100-16154000</t>
  </si>
  <si>
    <t>15100-1720C000</t>
  </si>
  <si>
    <t>15100-17210100</t>
  </si>
  <si>
    <t>#</t>
  </si>
  <si>
    <t>X543UA (I3-7020U)</t>
  </si>
  <si>
    <t>do not add 
any column</t>
  </si>
  <si>
    <t>Sub X543NA()</t>
  </si>
  <si>
    <t>Application.ScreenUpdating = False</t>
  </si>
  <si>
    <t>' X543NA Mar</t>
  </si>
  <si>
    <t>'</t>
  </si>
  <si>
    <t xml:space="preserve">    Sheets("Labels").Select</t>
  </si>
  <si>
    <t xml:space="preserve">    Selection.Copy</t>
  </si>
  <si>
    <t xml:space="preserve">    Selection.PasteSpecial Paste:=xlPasteValues, Operation:=xlNone, SkipBlanks _</t>
  </si>
  <si>
    <t xml:space="preserve">        :=False, Transpose:=False</t>
  </si>
  <si>
    <t xml:space="preserve">    Application.CutCopyMode = False</t>
  </si>
  <si>
    <t>'X543NA Apr</t>
  </si>
  <si>
    <t xml:space="preserve"> </t>
  </si>
  <si>
    <t xml:space="preserve">    Range("O14").Select</t>
  </si>
  <si>
    <t>'X543NA May</t>
  </si>
  <si>
    <t xml:space="preserve">    Range("P14").Select</t>
  </si>
  <si>
    <t>'X543NA Jun</t>
  </si>
  <si>
    <t xml:space="preserve">    Range("Q14").Select</t>
  </si>
  <si>
    <t>End Sub</t>
  </si>
  <si>
    <t>N14 --&gt;local da qty de Março</t>
  </si>
  <si>
    <t>O14 --&gt;local da qty de Abril</t>
  </si>
  <si>
    <t>P14 --&gt;local da qty de Maio</t>
  </si>
  <si>
    <t>Q14 --&gt;local da qty de Maio</t>
  </si>
  <si>
    <r>
      <t xml:space="preserve">    ActiveCell.FormulaR1C1 = "=VLOOKUP(RC</t>
    </r>
    <r>
      <rPr>
        <b/>
        <sz val="11"/>
        <color rgb="FFFF0000"/>
        <rFont val="Calibri"/>
        <family val="2"/>
        <scheme val="minor"/>
      </rPr>
      <t>[-7]</t>
    </r>
    <r>
      <rPr>
        <sz val="11"/>
        <color theme="1"/>
        <rFont val="Calibri"/>
        <family val="1"/>
        <charset val="136"/>
        <scheme val="minor"/>
      </rPr>
      <t>,MB!R14C7:R500C25,10,0)"</t>
    </r>
  </si>
  <si>
    <r>
      <t xml:space="preserve">    Range("N</t>
    </r>
    <r>
      <rPr>
        <sz val="11"/>
        <color rgb="FFFF0000"/>
        <rFont val="Calibri"/>
        <family val="2"/>
        <scheme val="minor"/>
      </rPr>
      <t>14</t>
    </r>
    <r>
      <rPr>
        <sz val="11"/>
        <color theme="1"/>
        <rFont val="Calibri"/>
        <family val="1"/>
        <charset val="136"/>
        <scheme val="minor"/>
      </rPr>
      <t>").Select</t>
    </r>
  </si>
  <si>
    <r>
      <t xml:space="preserve">    ActiveCell.FormulaR1C1 = "=VLOOKUP(RC</t>
    </r>
    <r>
      <rPr>
        <b/>
        <sz val="11"/>
        <color rgb="FFFF0000"/>
        <rFont val="Calibri"/>
        <family val="2"/>
        <scheme val="minor"/>
      </rPr>
      <t>[-8]</t>
    </r>
    <r>
      <rPr>
        <sz val="11"/>
        <color theme="1"/>
        <rFont val="Calibri"/>
        <family val="1"/>
        <charset val="136"/>
        <scheme val="minor"/>
      </rPr>
      <t>,MB!R14C7:R500C25,11,0)"</t>
    </r>
  </si>
  <si>
    <r>
      <t xml:space="preserve">    ActiveCell.FormulaR1C1 = "=VLOOKUP(RC</t>
    </r>
    <r>
      <rPr>
        <b/>
        <sz val="11"/>
        <color rgb="FFFF0000"/>
        <rFont val="Calibri"/>
        <family val="2"/>
        <scheme val="minor"/>
      </rPr>
      <t>[-9]</t>
    </r>
    <r>
      <rPr>
        <sz val="11"/>
        <color theme="1"/>
        <rFont val="Calibri"/>
        <family val="1"/>
        <charset val="136"/>
        <scheme val="minor"/>
      </rPr>
      <t>,MB!R14C7:R500C25,12,0)"</t>
    </r>
  </si>
  <si>
    <r>
      <t xml:space="preserve">    ActiveCell.FormulaR1C1 = "=VLOOKUP(RC</t>
    </r>
    <r>
      <rPr>
        <b/>
        <sz val="11"/>
        <color rgb="FFFF0000"/>
        <rFont val="Calibri"/>
        <family val="2"/>
        <scheme val="minor"/>
      </rPr>
      <t>[-10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1"/>
        <charset val="136"/>
        <scheme val="minor"/>
      </rPr>
      <t>,MB!R14C7:R500C25,13,0)"</t>
    </r>
  </si>
  <si>
    <t>14 row</t>
  </si>
  <si>
    <r>
      <t>Para update mudam:  a</t>
    </r>
    <r>
      <rPr>
        <b/>
        <sz val="10"/>
        <color rgb="FFFF0000"/>
        <rFont val="Calibri"/>
        <family val="2"/>
      </rPr>
      <t xml:space="preserve"> </t>
    </r>
    <r>
      <rPr>
        <u/>
        <sz val="10"/>
        <color rgb="FFFF0000"/>
        <rFont val="Calibri"/>
        <family val="2"/>
      </rPr>
      <t>linha que está o Mode</t>
    </r>
    <r>
      <rPr>
        <b/>
        <u/>
        <sz val="10"/>
        <color rgb="FFFF0000"/>
        <rFont val="Calibri"/>
        <family val="2"/>
      </rPr>
      <t xml:space="preserve">lo "range14 --&gt;" </t>
    </r>
    <r>
      <rPr>
        <b/>
        <sz val="10"/>
        <color rgb="FFFF0000"/>
        <rFont val="Calibri"/>
        <family val="2"/>
      </rPr>
      <t xml:space="preserve"> e posição do Mês (coluna -7, ou -8, -9, -10, etc..)</t>
    </r>
  </si>
  <si>
    <r>
      <t xml:space="preserve">VBA: programa linka os </t>
    </r>
    <r>
      <rPr>
        <b/>
        <u/>
        <sz val="11"/>
        <color rgb="FFFF0000"/>
        <rFont val="Calibri"/>
        <family val="2"/>
        <scheme val="minor"/>
      </rPr>
      <t>modelos /Qty</t>
    </r>
    <r>
      <rPr>
        <sz val="11"/>
        <color rgb="FFFF0000"/>
        <rFont val="Calibri"/>
        <family val="1"/>
        <charset val="136"/>
        <scheme val="minor"/>
      </rPr>
      <t xml:space="preserve"> </t>
    </r>
    <r>
      <rPr>
        <b/>
        <sz val="11"/>
        <color rgb="FF7030A0"/>
        <rFont val="Calibri"/>
        <family val="2"/>
        <scheme val="minor"/>
      </rPr>
      <t>(linha/coluna</t>
    </r>
    <r>
      <rPr>
        <sz val="11"/>
        <color rgb="FFFF0000"/>
        <rFont val="Calibri"/>
        <family val="1"/>
        <charset val="136"/>
        <scheme val="minor"/>
      </rPr>
      <t xml:space="preserve">),  as duas plans (MB/Labes) precisam estar alinhadas. 
</t>
    </r>
    <r>
      <rPr>
        <b/>
        <sz val="12"/>
        <color rgb="FFFF0000"/>
        <rFont val="Calibri"/>
        <family val="2"/>
        <scheme val="minor"/>
      </rPr>
      <t>se adicionar linha na pg do MB/Label será</t>
    </r>
    <r>
      <rPr>
        <sz val="11"/>
        <color rgb="FFFF0000"/>
        <rFont val="Calibri"/>
        <family val="1"/>
        <charset val="136"/>
        <scheme val="minor"/>
      </rPr>
      <t xml:space="preserve"> preciso conferir e mudar o número da linha no programa </t>
    </r>
    <r>
      <rPr>
        <b/>
        <sz val="11"/>
        <color rgb="FFFF0000"/>
        <rFont val="Calibri"/>
        <family val="2"/>
        <scheme val="minor"/>
      </rPr>
      <t>de acordo com a linha em que ele estiver na pg MB.</t>
    </r>
  </si>
  <si>
    <t>adding row is OK</t>
  </si>
  <si>
    <t>Supplier</t>
    <phoneticPr fontId="12" type="noConversion"/>
  </si>
  <si>
    <t>X513EA</t>
  </si>
  <si>
    <t>X513UA</t>
  </si>
  <si>
    <t>X515EA</t>
  </si>
  <si>
    <t>K513EP</t>
  </si>
  <si>
    <t>Description</t>
  </si>
  <si>
    <t>FCST
from Apr</t>
  </si>
  <si>
    <t>BOM info pending</t>
  </si>
  <si>
    <t>X513EA(i5-1135G7)</t>
  </si>
  <si>
    <t>X513EA (i7-1165G7)</t>
  </si>
  <si>
    <t>K513EQ</t>
  </si>
  <si>
    <t>stock 
FBR</t>
  </si>
  <si>
    <t>local demand</t>
  </si>
  <si>
    <t>Dec</t>
  </si>
  <si>
    <t>stock FBR</t>
  </si>
  <si>
    <t>BARCODE STIKCER SHIPPING</t>
  </si>
  <si>
    <t xml:space="preserve">NB SERIAL NUMBER LB </t>
  </si>
  <si>
    <t>SEALED FOR QUALITY LB</t>
  </si>
  <si>
    <t>NB SPEC SHIPPING LB</t>
  </si>
  <si>
    <t>Anatel label</t>
  </si>
  <si>
    <t>RF label</t>
  </si>
  <si>
    <t>15100-0155F000</t>
  </si>
  <si>
    <t>15100-19816000</t>
  </si>
  <si>
    <t>15100-17184000</t>
  </si>
  <si>
    <t>15100-19814100</t>
  </si>
  <si>
    <t>15100-1981A100</t>
  </si>
  <si>
    <t>15100-17180200</t>
  </si>
  <si>
    <t>Supplier</t>
    <phoneticPr fontId="16" type="noConversion"/>
  </si>
  <si>
    <t>ASUS P/N</t>
    <phoneticPr fontId="13" type="noConversion"/>
  </si>
  <si>
    <t>FBR stock</t>
  </si>
  <si>
    <t>Dec</t>
    <phoneticPr fontId="13" type="noConversion"/>
  </si>
  <si>
    <t>Q2_21</t>
    <phoneticPr fontId="16" type="noConversion"/>
  </si>
  <si>
    <t>TBD</t>
    <phoneticPr fontId="16" type="noConversion"/>
  </si>
  <si>
    <t>M515DA (Ryzen 5 3500U)</t>
    <phoneticPr fontId="16" type="noConversion"/>
  </si>
  <si>
    <t>M515DA (Ryzen 7 3700U)</t>
    <phoneticPr fontId="16" type="noConversion"/>
  </si>
  <si>
    <t>Q4_21</t>
    <phoneticPr fontId="16" type="noConversion"/>
  </si>
  <si>
    <t>X543UA (I3-6100U)</t>
    <phoneticPr fontId="10" type="noConversion"/>
  </si>
  <si>
    <t>X543UA (I3-7020U)</t>
    <phoneticPr fontId="10" type="noConversion"/>
  </si>
  <si>
    <t>X543UAR (I5-6200U)</t>
    <phoneticPr fontId="16" type="noConversion"/>
  </si>
  <si>
    <t>X543UAR (I5-8250U)</t>
    <phoneticPr fontId="16" type="noConversion"/>
  </si>
  <si>
    <t>Q3_21</t>
    <phoneticPr fontId="16" type="noConversion"/>
  </si>
  <si>
    <t>Q3_22</t>
  </si>
  <si>
    <t>UX482EA</t>
  </si>
  <si>
    <t>local</t>
  </si>
  <si>
    <t>RF UX482EA</t>
  </si>
  <si>
    <t>Anatel UX482EA</t>
  </si>
  <si>
    <t>X515MA</t>
  </si>
  <si>
    <t>K3500PH</t>
  </si>
  <si>
    <t>DIGITRON</t>
  </si>
  <si>
    <t>8GB (3200)</t>
    <phoneticPr fontId="6" type="noConversion"/>
  </si>
  <si>
    <t>DDR4 (512x16)</t>
    <phoneticPr fontId="6" type="noConversion"/>
  </si>
  <si>
    <t>16GB</t>
    <phoneticPr fontId="6" type="noConversion"/>
  </si>
  <si>
    <t>DDR4 (1024x16)</t>
    <phoneticPr fontId="6" type="noConversion"/>
  </si>
  <si>
    <t>03A08-00054400</t>
  </si>
  <si>
    <t>03A08-00043700</t>
  </si>
  <si>
    <t>X543UA (I3-6100U)</t>
  </si>
  <si>
    <t>X543UAR (I5-6200U)</t>
  </si>
  <si>
    <t>X543UAR (I5-8250U)</t>
  </si>
  <si>
    <t>label</t>
  </si>
  <si>
    <t>RF X515MA</t>
  </si>
  <si>
    <t>Anatel X515MA</t>
  </si>
  <si>
    <t>RF K3500PH</t>
  </si>
  <si>
    <t>Anatel K3500PH</t>
  </si>
  <si>
    <t xml:space="preserve">15100-17212000     </t>
  </si>
  <si>
    <t xml:space="preserve">15100-17210100    </t>
  </si>
  <si>
    <t>03A08-00054600</t>
    <phoneticPr fontId="6" type="noConversion"/>
  </si>
  <si>
    <t>03B03-00373200</t>
  </si>
  <si>
    <t>Celeron N4020</t>
  </si>
  <si>
    <t>CPU</t>
  </si>
  <si>
    <t>Ryzen 5 3500U</t>
  </si>
  <si>
    <t>NPI</t>
  </si>
  <si>
    <t>Adapter</t>
  </si>
  <si>
    <t>128G</t>
  </si>
  <si>
    <t>03B03-00227200</t>
  </si>
  <si>
    <t>03B03-00228500</t>
  </si>
  <si>
    <t>45W</t>
  </si>
  <si>
    <t>0A001-01102700</t>
    <phoneticPr fontId="6" type="noConversion"/>
  </si>
  <si>
    <t>LITEON</t>
  </si>
  <si>
    <t>65W PD</t>
  </si>
  <si>
    <t>16GB</t>
  </si>
  <si>
    <t xml:space="preserve">4GB </t>
  </si>
  <si>
    <t>03A08-00053000</t>
  </si>
  <si>
    <t>4GB OB</t>
  </si>
  <si>
    <t>4GB (3200)</t>
  </si>
  <si>
    <t>03A08-00043900</t>
  </si>
  <si>
    <t>8GB (3200)</t>
  </si>
  <si>
    <t>8GB OB</t>
  </si>
  <si>
    <t>"on board only NB"</t>
  </si>
  <si>
    <t>Giftbox</t>
  </si>
  <si>
    <t>15000-09107100</t>
  </si>
  <si>
    <t xml:space="preserve">ACCESSORY BOX </t>
  </si>
  <si>
    <t>15020-03220000</t>
  </si>
  <si>
    <t>EPE</t>
  </si>
  <si>
    <t>15050-04165000</t>
  </si>
  <si>
    <t>Larondine</t>
  </si>
  <si>
    <t>SKD</t>
  </si>
  <si>
    <t>Q1 EOP</t>
    <phoneticPr fontId="12" type="noConversion"/>
  </si>
  <si>
    <t>M515DA</t>
  </si>
  <si>
    <t>UX325JA</t>
  </si>
  <si>
    <t>UX482EAR</t>
  </si>
  <si>
    <t>Core i5-1035G1</t>
  </si>
  <si>
    <t>03A08-00042800</t>
  </si>
  <si>
    <t>03013-00060300</t>
  </si>
  <si>
    <t>03A08-00054600</t>
  </si>
  <si>
    <t>4GB OB (3200)</t>
    <phoneticPr fontId="6" type="noConversion"/>
  </si>
  <si>
    <t>4GB (3200)</t>
    <phoneticPr fontId="6" type="noConversion"/>
  </si>
  <si>
    <t>8GB (3200)</t>
    <phoneticPr fontId="6" type="noConversion"/>
  </si>
  <si>
    <t>8GB OB</t>
    <phoneticPr fontId="6" type="noConversion"/>
  </si>
  <si>
    <t>TBD</t>
    <phoneticPr fontId="13" type="noConversion"/>
  </si>
  <si>
    <t>19200-41620800</t>
  </si>
  <si>
    <t>CPU</t>
    <phoneticPr fontId="19" type="noConversion"/>
  </si>
  <si>
    <t>RAM</t>
  </si>
  <si>
    <t>Storage</t>
  </si>
  <si>
    <t>加總 - Jan</t>
  </si>
  <si>
    <t>加總 - Feb</t>
  </si>
  <si>
    <t>加總 - Mar</t>
  </si>
  <si>
    <t>加總 - Apr</t>
  </si>
  <si>
    <t>加總 - May</t>
  </si>
  <si>
    <t>加總 - Jun</t>
  </si>
  <si>
    <t>總計</t>
  </si>
  <si>
    <t>4GB (3200)</t>
    <phoneticPr fontId="6" type="noConversion"/>
  </si>
  <si>
    <t>4GB OB (3200)</t>
    <phoneticPr fontId="6" type="noConversion"/>
  </si>
  <si>
    <t>16GB (3200)</t>
    <phoneticPr fontId="6" type="noConversion"/>
  </si>
  <si>
    <t>8GB (4266)</t>
    <phoneticPr fontId="6" type="noConversion"/>
  </si>
  <si>
    <t>16GB (4266)</t>
    <phoneticPr fontId="6" type="noConversion"/>
  </si>
  <si>
    <t>16GB (6400)</t>
    <phoneticPr fontId="6" type="noConversion"/>
  </si>
  <si>
    <t>4GB &gt;&gt; LPDDR4 Samsung</t>
    <phoneticPr fontId="6" type="noConversion"/>
  </si>
  <si>
    <t>Q1</t>
  </si>
  <si>
    <t>EMS</t>
    <phoneticPr fontId="91" type="noConversion"/>
  </si>
  <si>
    <t>Mode</t>
    <phoneticPr fontId="91" type="noConversion"/>
  </si>
  <si>
    <t>WW Model Name</t>
    <phoneticPr fontId="91" type="noConversion"/>
  </si>
  <si>
    <t>WW PN</t>
    <phoneticPr fontId="91" type="noConversion"/>
  </si>
  <si>
    <t>BR Model Name</t>
    <phoneticPr fontId="91" type="noConversion"/>
  </si>
  <si>
    <t>BR PN</t>
    <phoneticPr fontId="91" type="noConversion"/>
  </si>
  <si>
    <t>Color</t>
  </si>
  <si>
    <t>Screen</t>
  </si>
  <si>
    <t>GPU</t>
  </si>
  <si>
    <t>Adapter</t>
    <phoneticPr fontId="93" type="noConversion"/>
  </si>
  <si>
    <t>OS</t>
  </si>
  <si>
    <t>Win 11</t>
    <phoneticPr fontId="93" type="noConversion"/>
  </si>
  <si>
    <t>Grey</t>
  </si>
  <si>
    <t xml:space="preserve">15.6" HD </t>
  </si>
  <si>
    <t>UMA</t>
  </si>
  <si>
    <t>15.6" HD</t>
  </si>
  <si>
    <t>128GB SSD</t>
  </si>
  <si>
    <t>TBD</t>
    <phoneticPr fontId="93" type="noConversion"/>
  </si>
  <si>
    <t>Win 11 Pro</t>
    <phoneticPr fontId="93" type="noConversion"/>
  </si>
  <si>
    <t>E410MA-BV1509X</t>
  </si>
  <si>
    <t xml:space="preserve">14" HD </t>
  </si>
  <si>
    <t>Can't config</t>
    <phoneticPr fontId="93" type="noConversion"/>
  </si>
  <si>
    <t>E410MA-BV1510X</t>
  </si>
  <si>
    <t>E410MA-BV1530X</t>
  </si>
  <si>
    <t>128GB eMMC</t>
  </si>
  <si>
    <t>E510MA-BR685X</t>
  </si>
  <si>
    <t>90NB0Q65-M14190</t>
  </si>
  <si>
    <t>E510MA-BR724X</t>
  </si>
  <si>
    <t>90NB0Q64-M14200</t>
  </si>
  <si>
    <t>E510MA-BR725X</t>
  </si>
  <si>
    <t>90NB0Q62-M14210</t>
  </si>
  <si>
    <t>E510MA-BR723X</t>
  </si>
  <si>
    <t>90NB0Q63-M14180</t>
  </si>
  <si>
    <t>90NB0SR1-M42600</t>
  </si>
  <si>
    <t>Core i3-1005G1</t>
    <phoneticPr fontId="91" type="noConversion"/>
  </si>
  <si>
    <t>256GB SSD</t>
  </si>
  <si>
    <t>Win 11</t>
  </si>
  <si>
    <t>X515JA-BR2248W</t>
  </si>
  <si>
    <t>90NB0SR1-M42610</t>
  </si>
  <si>
    <t xml:space="preserve">8GB </t>
  </si>
  <si>
    <t>Core I3-1115G4</t>
  </si>
  <si>
    <t>90NB0SR1-M42620</t>
  </si>
  <si>
    <t xml:space="preserve">15.6" FHD </t>
    <phoneticPr fontId="91" type="noConversion"/>
  </si>
  <si>
    <t>90NB0SR1-M42630</t>
  </si>
  <si>
    <t>512GB SSD</t>
  </si>
  <si>
    <t>X515JA-EJ2243W</t>
  </si>
  <si>
    <t>90NB0SR1-M42640</t>
  </si>
  <si>
    <t>Cobalt Blue</t>
  </si>
  <si>
    <t>Core i5-1135G7</t>
  </si>
  <si>
    <t>X513EA-BQ2455W</t>
  </si>
  <si>
    <t>90NB0SG6-M38440</t>
  </si>
  <si>
    <t>Slate Grey</t>
  </si>
  <si>
    <t>15.6" FHD</t>
  </si>
  <si>
    <t>MX130</t>
  </si>
  <si>
    <t>1TB + 256GB SSD</t>
  </si>
  <si>
    <t>Black</t>
  </si>
  <si>
    <t xml:space="preserve">15.6" FHD </t>
  </si>
  <si>
    <t>Core i7-1165G7</t>
  </si>
  <si>
    <t>UMA Iris Xe</t>
  </si>
  <si>
    <t>X513EA-EJ2452W</t>
  </si>
  <si>
    <t>90NB0SG4-M38400</t>
  </si>
  <si>
    <t>X513EA-EJ2452</t>
  </si>
  <si>
    <t>90NB0SG4-M38410</t>
  </si>
  <si>
    <t>90NB0SG4-M38420</t>
  </si>
  <si>
    <t>90NB0SG4-M38430</t>
  </si>
  <si>
    <t>Core i7 ADL</t>
  </si>
  <si>
    <t>Silver</t>
    <phoneticPr fontId="93" type="noConversion"/>
  </si>
  <si>
    <t>Pine Grey</t>
    <phoneticPr fontId="93" type="noConversion"/>
  </si>
  <si>
    <t>14" FHD</t>
  </si>
  <si>
    <t>Core i3-1005G1</t>
  </si>
  <si>
    <t>數值</t>
  </si>
  <si>
    <t>n/a</t>
  </si>
  <si>
    <t>(全部)</t>
  </si>
  <si>
    <t>E410MA-BV1511X</t>
  </si>
  <si>
    <t>90NB0Q11-M000Z0</t>
  </si>
  <si>
    <t>E510MA-BR702X</t>
  </si>
  <si>
    <t>E510MA-BR701X</t>
  </si>
  <si>
    <t>90NB0Q64-M000B0</t>
  </si>
  <si>
    <t>E510MA-BR703X</t>
  </si>
  <si>
    <t>E510MA-BR700X</t>
  </si>
  <si>
    <t>X515JA-EJ1791W</t>
  </si>
  <si>
    <t>90NB0SR1-M000P0</t>
  </si>
  <si>
    <t>X513EA</t>
    <phoneticPr fontId="91" type="noConversion"/>
  </si>
  <si>
    <t>M515DA</t>
    <phoneticPr fontId="91" type="noConversion"/>
  </si>
  <si>
    <t>RTX3050</t>
    <phoneticPr fontId="93" type="noConversion"/>
  </si>
  <si>
    <t>UX482EAR</t>
    <phoneticPr fontId="93" type="noConversion"/>
  </si>
  <si>
    <t>K3500PC</t>
  </si>
  <si>
    <t>03B03-00223600</t>
  </si>
  <si>
    <t>512GB SSD</t>
    <phoneticPr fontId="13" type="noConversion"/>
  </si>
  <si>
    <t>15000-09694000</t>
  </si>
  <si>
    <t>FCST gap</t>
    <phoneticPr fontId="6" type="noConversion"/>
  </si>
  <si>
    <t>E410MA</t>
  </si>
  <si>
    <t>33W*4.0PHI</t>
  </si>
  <si>
    <t>45W*4.0PHI</t>
  </si>
  <si>
    <t>65W*4.0PHI</t>
  </si>
  <si>
    <t>120W*4.5PHI</t>
  </si>
  <si>
    <t>33W*4.0PHI</t>
    <phoneticPr fontId="6" type="noConversion"/>
  </si>
  <si>
    <t>ADATA</t>
    <phoneticPr fontId="6" type="noConversion"/>
  </si>
  <si>
    <t>03A08-00044000</t>
    <phoneticPr fontId="6" type="noConversion"/>
  </si>
  <si>
    <t>X515MA-BR755W</t>
  </si>
  <si>
    <t>90NB0TH1-M005F0</t>
  </si>
  <si>
    <t>X515EA-EJ1382W</t>
  </si>
  <si>
    <t>90NB0TY1-M24850</t>
  </si>
  <si>
    <t>X515EA-EJ1320W</t>
  </si>
  <si>
    <t>90NB0TY1-M002B0</t>
  </si>
  <si>
    <t>X515EA-EJ1358W</t>
    <phoneticPr fontId="93" type="noConversion"/>
  </si>
  <si>
    <t>90NB0TY1-M24860</t>
    <phoneticPr fontId="93" type="noConversion"/>
  </si>
  <si>
    <t>X515EA-EJ1668W</t>
  </si>
  <si>
    <t>90NB0TY1-M002C0</t>
  </si>
  <si>
    <t>X513EA-BQ2989W</t>
    <phoneticPr fontId="93" type="noConversion"/>
  </si>
  <si>
    <t>90NB0SG6-M00F30</t>
    <phoneticPr fontId="93" type="noConversion"/>
  </si>
  <si>
    <t>15.6" FHD VIPS</t>
  </si>
  <si>
    <t>X513EA-BQ2990W</t>
    <phoneticPr fontId="93" type="noConversion"/>
  </si>
  <si>
    <t>90NB0SG6-M00F40</t>
    <phoneticPr fontId="93" type="noConversion"/>
  </si>
  <si>
    <t>X1502ZA</t>
    <phoneticPr fontId="91" type="noConversion"/>
  </si>
  <si>
    <t>M1502IA</t>
    <phoneticPr fontId="91" type="noConversion"/>
  </si>
  <si>
    <t>Ryzen 7-5800H</t>
  </si>
  <si>
    <t>UX5401ZA</t>
    <phoneticPr fontId="93" type="noConversion"/>
  </si>
  <si>
    <t>Core i3-1005G1</t>
    <phoneticPr fontId="12" type="noConversion"/>
  </si>
  <si>
    <t>X1502ZA</t>
  </si>
  <si>
    <t>M1502IA</t>
  </si>
  <si>
    <t>M3500QC</t>
  </si>
  <si>
    <t>UX3402ZA</t>
  </si>
  <si>
    <t>UX5401ZA</t>
  </si>
  <si>
    <t>X515EA</t>
    <phoneticPr fontId="6" type="noConversion"/>
  </si>
  <si>
    <t xml:space="preserve">8GB </t>
    <phoneticPr fontId="6" type="noConversion"/>
  </si>
  <si>
    <t>X515JF</t>
    <phoneticPr fontId="6" type="noConversion"/>
  </si>
  <si>
    <t>90W*4.5PHI</t>
  </si>
  <si>
    <t>100W PD</t>
  </si>
  <si>
    <t>GPU VRAM</t>
    <phoneticPr fontId="6" type="noConversion"/>
  </si>
  <si>
    <t>V2G</t>
    <phoneticPr fontId="6" type="noConversion"/>
  </si>
  <si>
    <t>V4G</t>
  </si>
  <si>
    <t>90NB0Q15-M008R0</t>
    <phoneticPr fontId="93" type="noConversion"/>
  </si>
  <si>
    <t>90NB0Q14-M008S0</t>
    <phoneticPr fontId="93" type="noConversion"/>
  </si>
  <si>
    <t>90NB0Q12-M008T0</t>
    <phoneticPr fontId="93" type="noConversion"/>
  </si>
  <si>
    <t>90NB0SW1-M000V0</t>
  </si>
  <si>
    <t xml:space="preserve">Win 11 </t>
    <phoneticPr fontId="93" type="noConversion"/>
  </si>
  <si>
    <t>90NB0SW1-M000W0</t>
  </si>
  <si>
    <t>X515JF-EJ376W</t>
  </si>
  <si>
    <t>90NB0SW1-M000X0</t>
  </si>
  <si>
    <t>ADATA</t>
    <phoneticPr fontId="13" type="noConversion"/>
  </si>
  <si>
    <t>TBD</t>
    <phoneticPr fontId="13" type="noConversion"/>
  </si>
  <si>
    <t>CKD</t>
    <phoneticPr fontId="93" type="noConversion"/>
  </si>
  <si>
    <t>90NB0Q15-M008Z0</t>
  </si>
  <si>
    <t>E410MA-BV1870X</t>
  </si>
  <si>
    <t>90NB0Q11-M008Y0</t>
  </si>
  <si>
    <t>E410MA-BV1872X</t>
  </si>
  <si>
    <t>90NB0Q14-M009A0</t>
  </si>
  <si>
    <t>E410MA-BV1873X</t>
  </si>
  <si>
    <t>90NB0Q12-M009B0</t>
  </si>
  <si>
    <t>90NB0Q65-M000C0</t>
    <phoneticPr fontId="93" type="noConversion"/>
  </si>
  <si>
    <t>90NB0Q62-M000D0</t>
    <phoneticPr fontId="93" type="noConversion"/>
  </si>
  <si>
    <t>90NB0Q63-M000A0</t>
    <phoneticPr fontId="93" type="noConversion"/>
  </si>
  <si>
    <t>90NB0TY1-M00V70</t>
  </si>
  <si>
    <t>X515EA-EJ1668</t>
  </si>
  <si>
    <t>90NB0TY1-M00V80</t>
  </si>
  <si>
    <t>90NB0SR1-M00FD0</t>
  </si>
  <si>
    <t>90NB0SR1-M00FE0</t>
  </si>
  <si>
    <t>X513EA-BQ2782W</t>
  </si>
  <si>
    <t>90NB0SG6-M002D0</t>
  </si>
  <si>
    <t>X513EA-BQ3027W</t>
  </si>
  <si>
    <t>90NB0SG6-M00HK0</t>
  </si>
  <si>
    <t>90NB0T41-M00B40</t>
  </si>
  <si>
    <t>90NB0SW1-M000Y0</t>
  </si>
  <si>
    <t>X513EA-EJ3010W</t>
  </si>
  <si>
    <t>90NB0SG4-M00FY0</t>
  </si>
  <si>
    <t>X513EA-EJ3010</t>
  </si>
  <si>
    <t>90NB0SG4-M00HN0</t>
  </si>
  <si>
    <t>90NB0SG4-M00FZ0</t>
  </si>
  <si>
    <t>Quanta</t>
    <phoneticPr fontId="93" type="noConversion"/>
  </si>
  <si>
    <t>SKD</t>
    <phoneticPr fontId="93" type="noConversion"/>
  </si>
  <si>
    <t xml:space="preserve">14" OLED (16:10) </t>
    <phoneticPr fontId="91" type="noConversion"/>
  </si>
  <si>
    <t>90NB0S41-M002M0</t>
  </si>
  <si>
    <t>UX482EAR-KA370W</t>
  </si>
  <si>
    <t>90NB0S41-M000T0</t>
  </si>
  <si>
    <t>UX482EAR-KA394W</t>
  </si>
  <si>
    <t>90NB0S41-M002N0</t>
  </si>
  <si>
    <t>UX482EAR-KA371W</t>
  </si>
  <si>
    <t>90NB0S41-M000U0</t>
  </si>
  <si>
    <t>03012-00021500</t>
  </si>
  <si>
    <t>Huaqin</t>
  </si>
  <si>
    <t>Quanta</t>
  </si>
  <si>
    <t>X515JA-BR2750W</t>
    <phoneticPr fontId="93" type="noConversion"/>
  </si>
  <si>
    <t>90NB0SR1-M00HD0</t>
  </si>
  <si>
    <t>90NB0SR1-M00HE0</t>
  </si>
  <si>
    <t>X515JA-BR2751W</t>
  </si>
  <si>
    <t>90NB0SR1-M00HF0</t>
  </si>
  <si>
    <t>Pega</t>
  </si>
  <si>
    <t>Pega</t>
    <phoneticPr fontId="93" type="noConversion"/>
  </si>
  <si>
    <t>Endless</t>
    <phoneticPr fontId="93" type="noConversion"/>
  </si>
  <si>
    <t>X513EA-EJ2453W</t>
    <phoneticPr fontId="93" type="noConversion"/>
  </si>
  <si>
    <t>X513EA-EJ2454W</t>
    <phoneticPr fontId="93" type="noConversion"/>
  </si>
  <si>
    <t>90NB0SG4-M00MA0</t>
  </si>
  <si>
    <t>Black</t>
    <phoneticPr fontId="93" type="noConversion"/>
  </si>
  <si>
    <t>15.6"FHD</t>
    <phoneticPr fontId="93" type="noConversion"/>
  </si>
  <si>
    <t>1TB SSD</t>
    <phoneticPr fontId="93" type="noConversion"/>
  </si>
  <si>
    <t>Huaqin</t>
    <phoneticPr fontId="93" type="noConversion"/>
  </si>
  <si>
    <t>Core i5-1035G1</t>
    <phoneticPr fontId="93" type="noConversion"/>
  </si>
  <si>
    <t>Core i7-12700H</t>
    <phoneticPr fontId="93" type="noConversion"/>
  </si>
  <si>
    <t>UX482EAR-KA393W</t>
    <phoneticPr fontId="93" type="noConversion"/>
  </si>
  <si>
    <t>Azul Celestial</t>
    <phoneticPr fontId="93" type="noConversion"/>
  </si>
  <si>
    <t>Core i7-1195G7</t>
    <phoneticPr fontId="93" type="noConversion"/>
  </si>
  <si>
    <t>Core i5-11300H</t>
  </si>
  <si>
    <t>Core i7-11370H</t>
  </si>
  <si>
    <t>Core i7-1195G7</t>
  </si>
  <si>
    <t>Core i7-12700H</t>
  </si>
  <si>
    <t>16GB</t>
    <phoneticPr fontId="6" type="noConversion"/>
  </si>
  <si>
    <t>8GB (3200)</t>
    <phoneticPr fontId="6" type="noConversion"/>
  </si>
  <si>
    <t>03B03-00420500</t>
  </si>
  <si>
    <t>03B03-00375700</t>
  </si>
  <si>
    <t>1TB SSD</t>
  </si>
  <si>
    <t>X513EA-EJ3106W</t>
    <phoneticPr fontId="93" type="noConversion"/>
  </si>
  <si>
    <t>UMA</t>
    <phoneticPr fontId="93" type="noConversion"/>
  </si>
  <si>
    <t>Core i7-1165G7</t>
    <phoneticPr fontId="13" type="noConversion"/>
  </si>
  <si>
    <t>X515JA-EJ2279W</t>
    <phoneticPr fontId="93" type="noConversion"/>
  </si>
  <si>
    <t>X515JA-EJ2734W</t>
    <phoneticPr fontId="93" type="noConversion"/>
  </si>
  <si>
    <t>X515JA-EJ1792</t>
    <phoneticPr fontId="93" type="noConversion"/>
  </si>
  <si>
    <t>X515JF-EJ360W</t>
    <phoneticPr fontId="93" type="noConversion"/>
  </si>
  <si>
    <t xml:space="preserve">Total  on board </t>
    <phoneticPr fontId="6" type="noConversion"/>
  </si>
  <si>
    <t>19200-41640800</t>
  </si>
  <si>
    <t>03012-00020800
03012-00021000</t>
    <phoneticPr fontId="6" type="noConversion"/>
  </si>
  <si>
    <t>03A08-00052400
03A08-00052700</t>
    <phoneticPr fontId="6" type="noConversion"/>
  </si>
  <si>
    <t>03012-00040600
03012-00040700</t>
    <phoneticPr fontId="6" type="noConversion"/>
  </si>
  <si>
    <t>03012-00020800
03012-00020900
03012-00021000</t>
    <phoneticPr fontId="6" type="noConversion"/>
  </si>
  <si>
    <t>03A08-00042300
03A08-00042400
03A08-00043300</t>
    <phoneticPr fontId="6" type="noConversion"/>
  </si>
  <si>
    <t>03A08-00042300
03A08-00042400</t>
    <phoneticPr fontId="6" type="noConversion"/>
  </si>
  <si>
    <t>03013-00060000
03013-00060200</t>
    <phoneticPr fontId="6" type="noConversion"/>
  </si>
  <si>
    <t>03A08-00042300
03A08-00042400
03A08-00043300</t>
  </si>
  <si>
    <t>03012-00020900
03012-00021000</t>
    <phoneticPr fontId="6" type="noConversion"/>
  </si>
  <si>
    <t>03A08-00052400
03A08-00052700
03A08-00053900</t>
    <phoneticPr fontId="6" type="noConversion"/>
  </si>
  <si>
    <t>03012-00040600
03012-00041000</t>
    <phoneticPr fontId="6" type="noConversion"/>
  </si>
  <si>
    <t>03012-00021000
03012-00021300</t>
    <phoneticPr fontId="6" type="noConversion"/>
  </si>
  <si>
    <t>03013-00050400
03013-00050500</t>
    <phoneticPr fontId="6" type="noConversion"/>
  </si>
  <si>
    <t>03013-00050400
03013-00050800</t>
    <phoneticPr fontId="6" type="noConversion"/>
  </si>
  <si>
    <t>03013-00100400
03013-00100700</t>
    <phoneticPr fontId="6" type="noConversion"/>
  </si>
  <si>
    <t>03015-00070000
03015-00070300</t>
    <phoneticPr fontId="6" type="noConversion"/>
  </si>
  <si>
    <t>03008-00052100</t>
    <phoneticPr fontId="6" type="noConversion"/>
  </si>
  <si>
    <t>03014-00010600</t>
    <phoneticPr fontId="6" type="noConversion"/>
  </si>
  <si>
    <t>0A001-01100800
0A001-01102000
0A001-01101200</t>
    <phoneticPr fontId="6" type="noConversion"/>
  </si>
  <si>
    <t>0A001-00895100
0A001-00897500</t>
    <phoneticPr fontId="6" type="noConversion"/>
  </si>
  <si>
    <t>0A001-00772100
0A001-00773000</t>
    <phoneticPr fontId="6" type="noConversion"/>
  </si>
  <si>
    <t>0A001-00860500
0A001-00860600</t>
    <phoneticPr fontId="6" type="noConversion"/>
  </si>
  <si>
    <t>0A001-00059100
0A001-00059000</t>
    <phoneticPr fontId="6" type="noConversion"/>
  </si>
  <si>
    <t>0A001-00894600
0A001-00895400</t>
    <phoneticPr fontId="6" type="noConversion"/>
  </si>
  <si>
    <t>0A001-01090000</t>
    <phoneticPr fontId="6" type="noConversion"/>
  </si>
  <si>
    <r>
      <t>03012-00040600
03012-00040700
03012-00040800(</t>
    </r>
    <r>
      <rPr>
        <b/>
        <sz val="8"/>
        <rFont val="細明體"/>
        <family val="3"/>
        <charset val="136"/>
      </rPr>
      <t>導入</t>
    </r>
    <r>
      <rPr>
        <b/>
        <sz val="8"/>
        <rFont val="Calibri"/>
        <family val="2"/>
      </rPr>
      <t>ing)</t>
    </r>
    <phoneticPr fontId="6" type="noConversion"/>
  </si>
  <si>
    <r>
      <t>03012-00020500(2666)
03012-00020700(2666)
03012-00020800
03012-00021000(</t>
    </r>
    <r>
      <rPr>
        <b/>
        <sz val="8"/>
        <rFont val="細明體"/>
        <family val="3"/>
        <charset val="136"/>
      </rPr>
      <t>導入</t>
    </r>
    <r>
      <rPr>
        <b/>
        <sz val="8"/>
        <rFont val="Calibri"/>
        <family val="2"/>
      </rPr>
      <t>ing)</t>
    </r>
    <phoneticPr fontId="6" type="noConversion"/>
  </si>
  <si>
    <r>
      <t>03A08-00042300
03A08-00042400(</t>
    </r>
    <r>
      <rPr>
        <b/>
        <sz val="8"/>
        <rFont val="細明體"/>
        <family val="3"/>
        <charset val="136"/>
      </rPr>
      <t>待驗)</t>
    </r>
    <r>
      <rPr>
        <b/>
        <sz val="8"/>
        <rFont val="Calibri"/>
        <family val="2"/>
      </rPr>
      <t xml:space="preserve">
03A08-00043300</t>
    </r>
    <phoneticPr fontId="6" type="noConversion"/>
  </si>
  <si>
    <r>
      <t>03A08-00054300
03A08-00053900
03A08-00055100(</t>
    </r>
    <r>
      <rPr>
        <b/>
        <sz val="8"/>
        <rFont val="細明體"/>
        <family val="3"/>
        <charset val="136"/>
      </rPr>
      <t>待驗)</t>
    </r>
    <phoneticPr fontId="6" type="noConversion"/>
  </si>
  <si>
    <r>
      <t>03012-00040600
03012-00041000
03012-00041100(</t>
    </r>
    <r>
      <rPr>
        <b/>
        <sz val="8"/>
        <rFont val="細明體"/>
        <family val="3"/>
        <charset val="136"/>
      </rPr>
      <t>待驗)</t>
    </r>
    <phoneticPr fontId="6" type="noConversion"/>
  </si>
  <si>
    <t>ASUS P/N</t>
  </si>
  <si>
    <t>03B03-00232000</t>
  </si>
  <si>
    <t>03B03-00370200</t>
  </si>
  <si>
    <t>03B03-00163600</t>
  </si>
  <si>
    <t>03B03-00371100</t>
  </si>
  <si>
    <t>03B03-00370500</t>
  </si>
  <si>
    <t>03B03-00374000</t>
  </si>
  <si>
    <t>03B03-00166500</t>
  </si>
  <si>
    <t>X515MA-BR765W</t>
  </si>
  <si>
    <t>90NB0TH1-M008Z0</t>
  </si>
  <si>
    <t>X515MA-BR765</t>
  </si>
  <si>
    <t>90NB0TH1-M006D0</t>
  </si>
  <si>
    <t>X513EA-BQ3400W</t>
  </si>
  <si>
    <t>90NB0SG6-M016A0</t>
  </si>
  <si>
    <t>90NB0T41-M00CU0</t>
  </si>
  <si>
    <t>X513EA-EJ3203W</t>
  </si>
  <si>
    <t>90NB0SG4-M00SN0</t>
  </si>
  <si>
    <t xml:space="preserve">16:10" FHD </t>
    <phoneticPr fontId="93" type="noConversion"/>
  </si>
  <si>
    <t>Total
 Mmodule</t>
  </si>
  <si>
    <t>E410MA-BV1871</t>
    <phoneticPr fontId="93" type="noConversion"/>
  </si>
  <si>
    <t>90NB0Q15-M00UP0</t>
    <phoneticPr fontId="93" type="noConversion"/>
  </si>
  <si>
    <t>KeeP OS</t>
    <phoneticPr fontId="93" type="noConversion"/>
  </si>
  <si>
    <t>E510MA-BR702</t>
    <phoneticPr fontId="93" type="noConversion"/>
  </si>
  <si>
    <t>90NB0Q65-M00K90</t>
    <phoneticPr fontId="93" type="noConversion"/>
  </si>
  <si>
    <t>Core i5-1235U</t>
    <phoneticPr fontId="93" type="noConversion"/>
  </si>
  <si>
    <t>M1502IA-EJ149W</t>
    <phoneticPr fontId="93" type="noConversion"/>
  </si>
  <si>
    <t>90NB0Y52-M00680</t>
  </si>
  <si>
    <t>Ryzen 5-4600H</t>
    <phoneticPr fontId="93" type="noConversion"/>
  </si>
  <si>
    <t>90NB0Y52-M006A0</t>
  </si>
  <si>
    <t>Ryzen 7-4800H</t>
    <phoneticPr fontId="93" type="noConversion"/>
  </si>
  <si>
    <t>90NB0Y52-M006B0</t>
  </si>
  <si>
    <t>X1502ZA-EJ481W</t>
    <phoneticPr fontId="93" type="noConversion"/>
  </si>
  <si>
    <t>90NB0VX2-M00LN0</t>
  </si>
  <si>
    <t>Core i7-1255U</t>
    <phoneticPr fontId="93" type="noConversion"/>
  </si>
  <si>
    <t>UX325EA</t>
    <phoneticPr fontId="93" type="noConversion"/>
  </si>
  <si>
    <t>UX325EA-KG846W</t>
    <phoneticPr fontId="93" type="noConversion"/>
  </si>
  <si>
    <t>90NB0SL1-M00LU0</t>
    <phoneticPr fontId="93" type="noConversion"/>
  </si>
  <si>
    <t>UX482EAR-HY434W</t>
    <phoneticPr fontId="93" type="noConversion"/>
  </si>
  <si>
    <t>90NB0S41-M005E0</t>
    <phoneticPr fontId="93" type="noConversion"/>
  </si>
  <si>
    <t>UX482EAR-HY432W</t>
    <phoneticPr fontId="93" type="noConversion"/>
  </si>
  <si>
    <t>90NB0S41-M005B0</t>
    <phoneticPr fontId="93" type="noConversion"/>
  </si>
  <si>
    <t>14" FHD</t>
    <phoneticPr fontId="93" type="noConversion"/>
  </si>
  <si>
    <t>16GB</t>
    <phoneticPr fontId="93" type="noConversion"/>
  </si>
  <si>
    <t>512GB SSD</t>
    <phoneticPr fontId="93" type="noConversion"/>
  </si>
  <si>
    <t>Ryzen 5-4600H</t>
  </si>
  <si>
    <t>Ryzen 7-4800H</t>
  </si>
  <si>
    <t>Core i5-1235U</t>
  </si>
  <si>
    <t>Core i7-1255U</t>
  </si>
  <si>
    <t>K513EA</t>
  </si>
  <si>
    <t>X1603ZA</t>
  </si>
  <si>
    <t>UX325EA</t>
  </si>
  <si>
    <t>M1502IA</t>
    <phoneticPr fontId="6" type="noConversion"/>
  </si>
  <si>
    <t>M1502IA</t>
    <phoneticPr fontId="12" type="noConversion"/>
  </si>
  <si>
    <t>X1603ZA</t>
    <phoneticPr fontId="6" type="noConversion"/>
  </si>
  <si>
    <t>X515JA-BR2750</t>
    <phoneticPr fontId="93" type="noConversion"/>
  </si>
  <si>
    <t>90NB0VX2-M00RH0</t>
  </si>
  <si>
    <t>X1502ZA-BQ570W</t>
    <phoneticPr fontId="93" type="noConversion"/>
  </si>
  <si>
    <t>90NB0VX2-M00RJ0</t>
  </si>
  <si>
    <t>90NB0VX2-M00RK0</t>
  </si>
  <si>
    <t>X513EA-EJ3011W</t>
    <phoneticPr fontId="93" type="noConversion"/>
  </si>
  <si>
    <t>Core i5-1135G7</t>
    <phoneticPr fontId="93" type="noConversion"/>
  </si>
  <si>
    <t>X1502ZA-BQ569W</t>
    <phoneticPr fontId="93" type="noConversion"/>
  </si>
  <si>
    <t>15.6" FHD VIPS</t>
    <phoneticPr fontId="93" type="noConversion"/>
  </si>
  <si>
    <t>X1502ZA-BQ571W</t>
    <phoneticPr fontId="93" type="noConversion"/>
  </si>
  <si>
    <t>M1502IA-EJ151W</t>
    <phoneticPr fontId="93" type="noConversion"/>
  </si>
  <si>
    <t>M1502IA-EJ152W</t>
    <phoneticPr fontId="93" type="noConversion"/>
  </si>
  <si>
    <t>X515JF-EJ365W</t>
    <phoneticPr fontId="93" type="noConversion"/>
  </si>
  <si>
    <t>X515JF-EJ366W</t>
    <phoneticPr fontId="93" type="noConversion"/>
  </si>
  <si>
    <t>03B03-00226200</t>
  </si>
  <si>
    <t>03B03-00372600</t>
  </si>
  <si>
    <t>03B03-00226300</t>
  </si>
  <si>
    <t>03B03-00226500</t>
  </si>
  <si>
    <t>03B03-00372100</t>
  </si>
  <si>
    <t>UX5401ZA-L7143W</t>
    <phoneticPr fontId="93" type="noConversion"/>
  </si>
  <si>
    <t>90NB0WM5-M007N0</t>
  </si>
  <si>
    <t>UX5401ZA-L7144W</t>
    <phoneticPr fontId="93" type="noConversion"/>
  </si>
  <si>
    <t>90NB0WM5-M007P0</t>
  </si>
  <si>
    <t>CPU</t>
    <phoneticPr fontId="93" type="noConversion"/>
  </si>
  <si>
    <t xml:space="preserve"> X515JA-BR3739W </t>
    <phoneticPr fontId="93" type="noConversion"/>
  </si>
  <si>
    <t xml:space="preserve"> 90NB0SR1-M022W0 </t>
    <phoneticPr fontId="93" type="noConversion"/>
  </si>
  <si>
    <t>128GB SSD</t>
    <phoneticPr fontId="93" type="noConversion"/>
  </si>
  <si>
    <t>X515JA-BR2247W</t>
    <phoneticPr fontId="93" type="noConversion"/>
  </si>
  <si>
    <t>Core I3-1115G4</t>
    <phoneticPr fontId="93" type="noConversion"/>
  </si>
  <si>
    <t>X515EA-EJ1320</t>
    <phoneticPr fontId="93" type="noConversion"/>
  </si>
  <si>
    <t>X515JA-EJ2240W</t>
    <phoneticPr fontId="93" type="noConversion"/>
  </si>
  <si>
    <t>X1502ZA-BQ655W</t>
  </si>
  <si>
    <t>90NB0VX2-M00VK0</t>
  </si>
  <si>
    <t>X1502ZA-BQ656W</t>
  </si>
  <si>
    <t>90NB0VX2-M00VL0</t>
  </si>
  <si>
    <t>X1502ZA-BQ621W</t>
  </si>
  <si>
    <t>90NB0VX2-M00U20</t>
  </si>
  <si>
    <t>M515DA-BR1213W</t>
    <phoneticPr fontId="93" type="noConversion"/>
  </si>
  <si>
    <t>Ryzen 5 3500U</t>
    <phoneticPr fontId="93" type="noConversion"/>
  </si>
  <si>
    <t>M515DA-BR1213</t>
    <phoneticPr fontId="93" type="noConversion"/>
  </si>
  <si>
    <t>8GB</t>
    <phoneticPr fontId="93" type="noConversion"/>
  </si>
  <si>
    <t>256GB SSD</t>
    <phoneticPr fontId="93" type="noConversion"/>
  </si>
  <si>
    <t>M515DA</t>
    <phoneticPr fontId="93" type="noConversion"/>
  </si>
  <si>
    <t>M515DA-BR1454W</t>
    <phoneticPr fontId="93" type="noConversion"/>
  </si>
  <si>
    <t>90NB0T41-M00B30</t>
    <phoneticPr fontId="93" type="noConversion"/>
  </si>
  <si>
    <t>Slate Grey</t>
    <phoneticPr fontId="93" type="noConversion"/>
  </si>
  <si>
    <t>15.6" HD</t>
    <phoneticPr fontId="93" type="noConversion"/>
  </si>
  <si>
    <t>Ryzen 7 3700U</t>
    <phoneticPr fontId="93" type="noConversion"/>
  </si>
  <si>
    <t>M515DA-BR1454</t>
    <phoneticPr fontId="93" type="noConversion"/>
  </si>
  <si>
    <t>90NB0T41-M00FX0</t>
    <phoneticPr fontId="93" type="noConversion"/>
  </si>
  <si>
    <t>M1502IA-EJ211W</t>
  </si>
  <si>
    <t>Core i7-1165G7</t>
    <phoneticPr fontId="93" type="noConversion"/>
  </si>
  <si>
    <t>X1502ZA-EJ611W</t>
  </si>
  <si>
    <t>90NB0VX2-M00TL0</t>
  </si>
  <si>
    <t>UX325EA-KG856W</t>
  </si>
  <si>
    <t>90NB0SL1-M00MF0</t>
  </si>
  <si>
    <t>UX482EAR-HY439W</t>
  </si>
  <si>
    <t>90NB0S41-M005S0</t>
  </si>
  <si>
    <t>UX482EAR-HY438W</t>
  </si>
  <si>
    <t>90NB0S41-M005R0</t>
  </si>
  <si>
    <t>Total</t>
    <phoneticPr fontId="93" type="noConversion"/>
  </si>
  <si>
    <t>Ryzen 7 3700U</t>
  </si>
  <si>
    <t>128GB SSD</t>
    <phoneticPr fontId="13" type="noConversion"/>
  </si>
  <si>
    <t>512GB SSD</t>
    <phoneticPr fontId="13" type="noConversion"/>
  </si>
  <si>
    <t>M1502IA-EJ251W</t>
  </si>
  <si>
    <t>90NB0Y52-M00B40</t>
  </si>
  <si>
    <t>M1502IA-EJ251</t>
  </si>
  <si>
    <t>90NB0Y52-M00B60</t>
  </si>
  <si>
    <t>M1502IA-EJ252W</t>
  </si>
  <si>
    <t>90NB0Y52-M00B50</t>
  </si>
  <si>
    <t>X515JF-EJ361W</t>
    <phoneticPr fontId="93" type="noConversion"/>
  </si>
  <si>
    <t>X515JF-EJ387W</t>
  </si>
  <si>
    <t>90NB0SW1-M001S0</t>
  </si>
  <si>
    <t>X515JF-EJ388W</t>
  </si>
  <si>
    <t>90NB0SW1-M001T0</t>
  </si>
  <si>
    <t>X513EA-EJ3517W</t>
  </si>
  <si>
    <t>90NB0SG4-M01E90</t>
    <phoneticPr fontId="93" type="noConversion"/>
  </si>
  <si>
    <t>UX3402ZA</t>
    <phoneticPr fontId="93" type="noConversion"/>
  </si>
  <si>
    <t>UX3402ZA-KM444W</t>
    <phoneticPr fontId="93" type="noConversion"/>
  </si>
  <si>
    <t>90NB0WC1-M00X50</t>
    <phoneticPr fontId="93" type="noConversion"/>
  </si>
  <si>
    <t>Core i7-1260P</t>
    <phoneticPr fontId="93" type="noConversion"/>
  </si>
  <si>
    <t>Core i7-1260P</t>
  </si>
  <si>
    <t>03A08-00044000</t>
  </si>
  <si>
    <t>Imported</t>
    <phoneticPr fontId="12" type="noConversion"/>
  </si>
  <si>
    <t>Local</t>
    <phoneticPr fontId="12" type="noConversion"/>
  </si>
  <si>
    <t>Asus</t>
    <phoneticPr fontId="12" type="noConversion"/>
  </si>
  <si>
    <t>Imported</t>
    <phoneticPr fontId="6" type="noConversion"/>
  </si>
  <si>
    <t>ASUS</t>
    <phoneticPr fontId="6" type="noConversion"/>
  </si>
  <si>
    <t>Local</t>
    <phoneticPr fontId="6" type="noConversion"/>
  </si>
  <si>
    <t>Asus</t>
    <phoneticPr fontId="6" type="noConversion"/>
  </si>
  <si>
    <t>ADATA</t>
    <phoneticPr fontId="6" type="noConversion"/>
  </si>
  <si>
    <t>DIGITRON</t>
    <phoneticPr fontId="6" type="noConversion"/>
  </si>
  <si>
    <t>SMART</t>
    <phoneticPr fontId="6" type="noConversion"/>
  </si>
  <si>
    <t>TBD</t>
    <phoneticPr fontId="6" type="noConversion"/>
  </si>
  <si>
    <t>Local</t>
    <phoneticPr fontId="13" type="noConversion"/>
  </si>
  <si>
    <t>Imported</t>
    <phoneticPr fontId="13" type="noConversion"/>
  </si>
  <si>
    <t>Asus</t>
    <phoneticPr fontId="13" type="noConversion"/>
  </si>
  <si>
    <t>DIGITRON</t>
    <phoneticPr fontId="13" type="noConversion"/>
  </si>
  <si>
    <t xml:space="preserve">45W*4.5PHI </t>
  </si>
  <si>
    <t>0A001-01103100
0A001-01103500</t>
    <phoneticPr fontId="6" type="noConversion"/>
  </si>
  <si>
    <t>X515JF</t>
    <phoneticPr fontId="13" type="noConversion"/>
  </si>
  <si>
    <t>E410MA-BV1871X</t>
    <phoneticPr fontId="93" type="noConversion"/>
  </si>
  <si>
    <t>X515JA-BR3932W</t>
  </si>
  <si>
    <t>90NB0SR1-M02FC0</t>
  </si>
  <si>
    <t>X515JA-EJ1792X</t>
    <phoneticPr fontId="93" type="noConversion"/>
  </si>
  <si>
    <t>90NB0SR1-M01RK0</t>
    <phoneticPr fontId="93" type="noConversion"/>
  </si>
  <si>
    <t>90NB0SW1-M000Z0</t>
    <phoneticPr fontId="93" type="noConversion"/>
  </si>
  <si>
    <t>X515JF-EJ389W</t>
  </si>
  <si>
    <t>90NB0SW1-M001U0</t>
  </si>
  <si>
    <t>X515JF-EJ383W</t>
    <phoneticPr fontId="93" type="noConversion"/>
  </si>
  <si>
    <t>90NB0SW1-M001M0</t>
    <phoneticPr fontId="93" type="noConversion"/>
  </si>
  <si>
    <t>X515JF-EJ390W</t>
  </si>
  <si>
    <t>90NB0SW1-M001V0</t>
  </si>
  <si>
    <t>X513EA-EJ3012W</t>
    <phoneticPr fontId="93" type="noConversion"/>
  </si>
  <si>
    <t>90NB0SG4-M00H00</t>
    <phoneticPr fontId="93" type="noConversion"/>
  </si>
  <si>
    <t>X513EA-EJ3529W</t>
  </si>
  <si>
    <t>90NB0SG4-M01EV0</t>
  </si>
  <si>
    <t>UX5401ZA-L7140W</t>
    <phoneticPr fontId="93" type="noConversion"/>
  </si>
  <si>
    <t>90NB0WM5-M007K0</t>
    <phoneticPr fontId="93" type="noConversion"/>
  </si>
  <si>
    <t>UX5401ZA-L7145W</t>
    <phoneticPr fontId="93" type="noConversion"/>
  </si>
  <si>
    <t>90NB0WM5-M007R0</t>
    <phoneticPr fontId="93" type="noConversion"/>
  </si>
  <si>
    <t>UX3402ZA-KM532W</t>
  </si>
  <si>
    <t>90NB0WC1-M012F0</t>
  </si>
  <si>
    <t>03100-00153600
03100-00155700</t>
    <phoneticPr fontId="13" type="noConversion"/>
  </si>
  <si>
    <t>8K Star Black</t>
    <phoneticPr fontId="93" type="noConversion"/>
  </si>
  <si>
    <t>1B Peacock Blue</t>
    <phoneticPr fontId="93" type="noConversion"/>
  </si>
  <si>
    <t>1P Rose Pink</t>
    <phoneticPr fontId="93" type="noConversion"/>
  </si>
  <si>
    <t>1W White</t>
    <phoneticPr fontId="93" type="noConversion"/>
  </si>
  <si>
    <t>X515JA-EJ1792W</t>
    <phoneticPr fontId="93" type="noConversion"/>
  </si>
  <si>
    <t>90NB0SR1-M000V0</t>
    <phoneticPr fontId="93" type="noConversion"/>
  </si>
  <si>
    <t>03A08-00044600</t>
  </si>
  <si>
    <t>Hana</t>
    <phoneticPr fontId="6" type="noConversion"/>
  </si>
  <si>
    <t>4GB</t>
    <phoneticPr fontId="6" type="noConversion"/>
  </si>
  <si>
    <t>Q2 2023</t>
  </si>
  <si>
    <t>EOL</t>
    <phoneticPr fontId="13" type="noConversion"/>
  </si>
  <si>
    <t>Asus Model</t>
  </si>
  <si>
    <t>90NB0Y52-M00980</t>
  </si>
  <si>
    <t>K6502ZC</t>
  </si>
  <si>
    <t>K6502HC</t>
  </si>
  <si>
    <t>M6500RC</t>
    <phoneticPr fontId="93" type="noConversion"/>
  </si>
  <si>
    <t>new</t>
    <phoneticPr fontId="6" type="noConversion"/>
  </si>
  <si>
    <t>new</t>
    <phoneticPr fontId="13" type="noConversion"/>
  </si>
  <si>
    <t>new</t>
    <phoneticPr fontId="19" type="noConversion"/>
  </si>
  <si>
    <t>90NB0Z61-M00250</t>
  </si>
  <si>
    <t>90NB0YX1-M005K0</t>
  </si>
  <si>
    <t>90NB0YX1-M00610</t>
  </si>
  <si>
    <t>M6500RC</t>
  </si>
  <si>
    <t>0A001-00083300</t>
  </si>
  <si>
    <t>150W*4.5PHI</t>
  </si>
  <si>
    <t>150W*4.5PHI</t>
    <phoneticPr fontId="6" type="noConversion"/>
  </si>
  <si>
    <t>03012-00041000</t>
  </si>
  <si>
    <t>03014-00010600
03014-00011300</t>
    <phoneticPr fontId="6" type="noConversion"/>
  </si>
  <si>
    <t>Core i5 ADL H</t>
  </si>
  <si>
    <t>Core i9 TGL H45</t>
  </si>
  <si>
    <t>Ryzen 7-6800H</t>
  </si>
  <si>
    <t>X543MA-GQ1287W</t>
    <phoneticPr fontId="93" type="noConversion"/>
  </si>
  <si>
    <t>90NB0IR7-M002Z0</t>
  </si>
  <si>
    <t>X543MA-GQ1300W</t>
    <phoneticPr fontId="93" type="noConversion"/>
  </si>
  <si>
    <t>90NB0IR7-M003E0</t>
  </si>
  <si>
    <t>Celeron N4020</t>
    <phoneticPr fontId="93" type="noConversion"/>
  </si>
  <si>
    <t>500GB HDD</t>
  </si>
  <si>
    <t>X515MA-BR640X</t>
  </si>
  <si>
    <t>90NB0TH1-M13310</t>
  </si>
  <si>
    <t>X515MA-BR623X</t>
  </si>
  <si>
    <t>90NB0TH1-M000B0</t>
    <phoneticPr fontId="93" type="noConversion"/>
  </si>
  <si>
    <t>K513EA</t>
    <phoneticPr fontId="93" type="noConversion"/>
  </si>
  <si>
    <t xml:space="preserve"> K513EA-L13505W </t>
    <phoneticPr fontId="93" type="noConversion"/>
  </si>
  <si>
    <t xml:space="preserve"> 90NB0SG1-M01DT0 </t>
    <phoneticPr fontId="93" type="noConversion"/>
  </si>
  <si>
    <t>K513EA-L13522W</t>
  </si>
  <si>
    <t>90NB0SG1-M01EE0</t>
  </si>
  <si>
    <t>15.6"OLED</t>
    <phoneticPr fontId="93" type="noConversion"/>
  </si>
  <si>
    <t>K513EQ</t>
    <phoneticPr fontId="91" type="noConversion"/>
  </si>
  <si>
    <t>K513EQ-EJ444W</t>
    <phoneticPr fontId="93" type="noConversion"/>
  </si>
  <si>
    <t>90NB0SK1-M00BV0</t>
    <phoneticPr fontId="93" type="noConversion"/>
  </si>
  <si>
    <t>K513EQ-EJ663W</t>
    <phoneticPr fontId="93" type="noConversion"/>
  </si>
  <si>
    <t>90NB0SK1-M00CB0</t>
    <phoneticPr fontId="93" type="noConversion"/>
  </si>
  <si>
    <t>MX350</t>
  </si>
  <si>
    <t>512GB SSD</t>
    <phoneticPr fontId="91" type="noConversion"/>
  </si>
  <si>
    <t>K513EQ-EJ665W</t>
    <phoneticPr fontId="93" type="noConversion"/>
  </si>
  <si>
    <t>90NB0SK1-M00CE0</t>
  </si>
  <si>
    <t>K513EQ-EJ682W</t>
  </si>
  <si>
    <t>90NB0SK1-M00D40</t>
  </si>
  <si>
    <t>K3500PH-KJ079W</t>
    <phoneticPr fontId="93" type="noConversion"/>
  </si>
  <si>
    <t>90NB0UV1-M007E0</t>
    <phoneticPr fontId="93" type="noConversion"/>
  </si>
  <si>
    <t>K3500PH-KJ378W</t>
  </si>
  <si>
    <t>90NB0UV1-M008H0</t>
  </si>
  <si>
    <t>Core i5-11300H</t>
    <phoneticPr fontId="93" type="noConversion"/>
  </si>
  <si>
    <t>GTX1650</t>
  </si>
  <si>
    <t>K3500PC</t>
    <phoneticPr fontId="93" type="noConversion"/>
  </si>
  <si>
    <t>K3500PC-KJ279W</t>
  </si>
  <si>
    <t xml:space="preserve">90NB0UW1-M002F0 </t>
  </si>
  <si>
    <t>K3500PC-KJ391W</t>
  </si>
  <si>
    <t>90NB0UW1-M00AM0</t>
  </si>
  <si>
    <t>K3500PC-KJ278W</t>
  </si>
  <si>
    <t>90NB0UW1-M002E0</t>
  </si>
  <si>
    <t>K3500PC-KJ390W</t>
  </si>
  <si>
    <t>90NB0UW1-M00AL0</t>
  </si>
  <si>
    <t>Core i7-11370H</t>
    <phoneticPr fontId="93" type="noConversion"/>
  </si>
  <si>
    <t>M3500QC</t>
    <phoneticPr fontId="93" type="noConversion"/>
  </si>
  <si>
    <t>M3500QC-KJ270W</t>
    <phoneticPr fontId="93" type="noConversion"/>
  </si>
  <si>
    <t>90NB0UT1-M04810</t>
  </si>
  <si>
    <t>M3500QC-KJ432W</t>
  </si>
  <si>
    <t>90NB0UT1-M00AM0</t>
  </si>
  <si>
    <t>Ryzen 7-5800H</t>
    <phoneticPr fontId="93" type="noConversion"/>
  </si>
  <si>
    <t>RTX3050</t>
  </si>
  <si>
    <t>15.6" FHD (144Hz)</t>
  </si>
  <si>
    <t>K6502HC-LP084W</t>
    <phoneticPr fontId="93" type="noConversion"/>
  </si>
  <si>
    <t>K6502HC-LP090W</t>
    <phoneticPr fontId="93" type="noConversion"/>
  </si>
  <si>
    <t>UX325JA</t>
    <phoneticPr fontId="93" type="noConversion"/>
  </si>
  <si>
    <t>UX325JA-KG293W</t>
    <phoneticPr fontId="93" type="noConversion"/>
  </si>
  <si>
    <t>90NB0QY1-M000H0</t>
  </si>
  <si>
    <t>UX325JA-KG302W</t>
  </si>
  <si>
    <t>90NB0QY1-M000R0</t>
  </si>
  <si>
    <t>Jun</t>
  </si>
  <si>
    <t>K6502ZC</t>
    <phoneticPr fontId="93" type="noConversion"/>
  </si>
  <si>
    <t>K6502HC</t>
    <phoneticPr fontId="93" type="noConversion"/>
  </si>
  <si>
    <t>K6502ZC-LP043W</t>
  </si>
  <si>
    <t>M6500RC-HN084W</t>
  </si>
  <si>
    <t>90NB0YK1-M003H0</t>
  </si>
  <si>
    <t>carry</t>
  </si>
  <si>
    <t>Mat'l FCST</t>
  </si>
  <si>
    <t>03015-00070000
03015-00070300</t>
    <phoneticPr fontId="6" type="noConversion"/>
  </si>
  <si>
    <t>16GB (3200) 
LPDDR5</t>
    <phoneticPr fontId="6" type="noConversion"/>
  </si>
  <si>
    <t>03012-000704000
03012-000705000</t>
    <phoneticPr fontId="6" type="noConversion"/>
  </si>
  <si>
    <t>X515MA-BR623W</t>
  </si>
  <si>
    <t>90NB0TH1-M00J40</t>
  </si>
  <si>
    <t> TBD</t>
  </si>
  <si>
    <t>E510MA-BR1254W</t>
  </si>
  <si>
    <t>E510MA-BR1255W</t>
  </si>
  <si>
    <t>X1500EA</t>
    <phoneticPr fontId="93" type="noConversion"/>
  </si>
  <si>
    <t> 90NB0TY6-M03KB0</t>
    <phoneticPr fontId="93" type="noConversion"/>
  </si>
  <si>
    <t> 90NB0TY6-M03BV0</t>
  </si>
  <si>
    <t>Endless</t>
  </si>
  <si>
    <t>X1500EA-EJ3458W</t>
  </si>
  <si>
    <t> 90NB0TY6-M03KM0</t>
  </si>
  <si>
    <t>M1502IA-EJ334W</t>
  </si>
  <si>
    <t>90NB0Y52-M00HT0</t>
  </si>
  <si>
    <t>Silver</t>
  </si>
  <si>
    <t>KeeP OS</t>
  </si>
  <si>
    <t>X1500EP</t>
    <phoneticPr fontId="93" type="noConversion"/>
  </si>
  <si>
    <t>X1500EP-EJ691W</t>
  </si>
  <si>
    <t>90NB0TZ6-M00K80</t>
  </si>
  <si>
    <t>MX330</t>
    <phoneticPr fontId="93" type="noConversion"/>
  </si>
  <si>
    <t xml:space="preserve">16:10" FHD </t>
  </si>
  <si>
    <t>32GB</t>
  </si>
  <si>
    <t>(空白)</t>
  </si>
  <si>
    <t>X1500EA</t>
  </si>
  <si>
    <t>X1500EP</t>
  </si>
  <si>
    <t>V2G</t>
  </si>
  <si>
    <t>03008-00052000
03008-00052100</t>
    <phoneticPr fontId="6" type="noConversion"/>
  </si>
  <si>
    <r>
      <t>03012-00040600
03012-00040700
03012-00040800</t>
    </r>
    <r>
      <rPr>
        <b/>
        <sz val="8"/>
        <rFont val="細明體"/>
        <family val="3"/>
        <charset val="136"/>
      </rPr>
      <t/>
    </r>
    <phoneticPr fontId="6" type="noConversion"/>
  </si>
  <si>
    <t>03012-00040600
03012-00040700
03012-00040800</t>
    <phoneticPr fontId="6" type="noConversion"/>
  </si>
  <si>
    <r>
      <t>03012-00040600
03012-00041100(</t>
    </r>
    <r>
      <rPr>
        <b/>
        <sz val="8"/>
        <rFont val="細明體"/>
        <family val="3"/>
        <charset val="136"/>
      </rPr>
      <t>導入中</t>
    </r>
    <r>
      <rPr>
        <b/>
        <sz val="8"/>
        <rFont val="Calibri"/>
        <family val="2"/>
      </rPr>
      <t>)</t>
    </r>
    <phoneticPr fontId="6" type="noConversion"/>
  </si>
  <si>
    <t>03A08-00052700
03A08-00055200</t>
    <phoneticPr fontId="6" type="noConversion"/>
  </si>
  <si>
    <t>32GB</t>
    <phoneticPr fontId="6" type="noConversion"/>
  </si>
  <si>
    <t>32GB (3200)</t>
    <phoneticPr fontId="6" type="noConversion"/>
  </si>
  <si>
    <t>03B03-00235600</t>
  </si>
  <si>
    <t>03B03-00420000</t>
  </si>
  <si>
    <t>1TB SSD</t>
    <phoneticPr fontId="13" type="noConversion"/>
  </si>
  <si>
    <t>2TB SSD</t>
    <phoneticPr fontId="13" type="noConversion"/>
  </si>
  <si>
    <t>2TB</t>
  </si>
  <si>
    <t>128GB SSD</t>
    <phoneticPr fontId="13" type="noConversion"/>
  </si>
  <si>
    <t xml:space="preserve">4GB </t>
    <phoneticPr fontId="6" type="noConversion"/>
  </si>
  <si>
    <t>TBD</t>
    <phoneticPr fontId="6" type="noConversion"/>
  </si>
  <si>
    <t>2022 carry qty</t>
    <phoneticPr fontId="6" type="noConversion"/>
  </si>
  <si>
    <t>X1605ZA-MB228W</t>
  </si>
  <si>
    <t>90NB0ZA2-M00C50</t>
  </si>
  <si>
    <t>X1605ZA-MB204W</t>
  </si>
  <si>
    <t>90NB0ZA2-M00AN0</t>
  </si>
  <si>
    <t>X1605ZA-MB229W</t>
  </si>
  <si>
    <t>90NB0ZA2-M00C60</t>
  </si>
  <si>
    <t>90NB0ZA2-M00C70</t>
  </si>
  <si>
    <t>X1605ZA</t>
    <phoneticPr fontId="91" type="noConversion"/>
  </si>
  <si>
    <t>K6502ZC-LP105W</t>
  </si>
  <si>
    <t>90NB0Z61-M00700</t>
  </si>
  <si>
    <t>K6502HC-LP095W</t>
    <phoneticPr fontId="93" type="noConversion"/>
  </si>
  <si>
    <t>90NB0YX1-M006C0</t>
  </si>
  <si>
    <t>K6502HC-LP096W</t>
  </si>
  <si>
    <t>90NB0YX1-M006D0</t>
  </si>
  <si>
    <t>M6500RC-HN088W</t>
  </si>
  <si>
    <t>90NB0YK1-M003P0</t>
  </si>
  <si>
    <t>X1605ZA</t>
  </si>
  <si>
    <t>03012-00041000
03012-00041100</t>
    <phoneticPr fontId="6" type="noConversion"/>
  </si>
  <si>
    <t>03A08-00053900
03A08-00055100</t>
    <phoneticPr fontId="6" type="noConversion"/>
  </si>
  <si>
    <t>0A001-01100800
0A001-01102000
0A001-01101200</t>
    <phoneticPr fontId="6" type="noConversion"/>
  </si>
  <si>
    <t>0A001-00895100
0A001-00897500</t>
    <phoneticPr fontId="6" type="noConversion"/>
  </si>
  <si>
    <t>03A08-00055300</t>
  </si>
  <si>
    <t>Local</t>
    <phoneticPr fontId="6" type="noConversion"/>
  </si>
  <si>
    <t>M1502IA-EJ151</t>
    <phoneticPr fontId="93" type="noConversion"/>
  </si>
  <si>
    <t>90NB0Y52-M00K50</t>
  </si>
  <si>
    <t>X1500EA-EJ3497</t>
    <phoneticPr fontId="93" type="noConversion"/>
  </si>
  <si>
    <t> 90NB0TY6-M03MF0</t>
    <phoneticPr fontId="93" type="noConversion"/>
  </si>
  <si>
    <t>X1500EA-EJ3498</t>
    <phoneticPr fontId="93" type="noConversion"/>
  </si>
  <si>
    <t> 90NB0TY6-M03MH0</t>
    <phoneticPr fontId="93" type="noConversion"/>
  </si>
  <si>
    <t>128GB eMMC</t>
    <phoneticPr fontId="93" type="noConversion"/>
  </si>
  <si>
    <t>X1500EA-EJ3317</t>
    <phoneticPr fontId="93" type="noConversion"/>
  </si>
  <si>
    <t>90NB0TY6-M03MC0</t>
    <phoneticPr fontId="93" type="noConversion"/>
  </si>
  <si>
    <t>X1500EA-EJ3495</t>
    <phoneticPr fontId="93" type="noConversion"/>
  </si>
  <si>
    <t>90NB0TY6-M03MD0</t>
    <phoneticPr fontId="93" type="noConversion"/>
  </si>
  <si>
    <t>CKD</t>
  </si>
  <si>
    <t>Core i7-ADL H45</t>
  </si>
  <si>
    <t>Non OS</t>
  </si>
  <si>
    <t>03B03-00421600</t>
  </si>
  <si>
    <t>Digitron</t>
    <phoneticPr fontId="13" type="noConversion"/>
  </si>
  <si>
    <t>X1500EA-EJ3452W</t>
    <phoneticPr fontId="93" type="noConversion"/>
  </si>
  <si>
    <t>X1500EA-EJ3663W</t>
  </si>
  <si>
    <t>90NB0TY6-M03XB0</t>
  </si>
  <si>
    <t>X1500EA-EJ3317W</t>
    <phoneticPr fontId="93" type="noConversion"/>
  </si>
  <si>
    <t>X1500EA-EJ3665W</t>
  </si>
  <si>
    <t>90NB0TY6-M03XF0</t>
  </si>
  <si>
    <t>X1500EA-EJ3665</t>
  </si>
  <si>
    <t>90NB0TY6-M03XH0</t>
  </si>
  <si>
    <t>X1500EA-EJ3496W</t>
  </si>
  <si>
    <t>90NB0TY6-M03V00</t>
  </si>
  <si>
    <t>X1500EA-EJ3666W</t>
  </si>
  <si>
    <t>90NB0TY6-M03XJ0</t>
  </si>
  <si>
    <t>X1500EA-EJ3495W</t>
  </si>
  <si>
    <t>90NB0TY6-M03UZ0</t>
  </si>
  <si>
    <t>X1500EA-EJ3667W</t>
  </si>
  <si>
    <t>90NB0TY6-M03XK0</t>
  </si>
  <si>
    <t>X1500EA-EJ3667</t>
  </si>
  <si>
    <t>90NB0TY6-M03XL0</t>
  </si>
  <si>
    <t>X1500EA-EJ3668W</t>
  </si>
  <si>
    <t>90NB0TY6-M03XM0</t>
  </si>
  <si>
    <t>X1500EA-EJ3497W</t>
  </si>
  <si>
    <t>90NB0TY6-M03VR0</t>
  </si>
  <si>
    <t>X1500EA-EJ3669W</t>
  </si>
  <si>
    <t>90NB0TY6-M03XN0</t>
  </si>
  <si>
    <t>X1500EA-EJ3669</t>
  </si>
  <si>
    <t>90NB0TY6-M03XP0</t>
  </si>
  <si>
    <t>X1500EA-EJ3622W</t>
  </si>
  <si>
    <t>90NB0TY6-M03VP0</t>
  </si>
  <si>
    <t>X1500EA-EJ3670W</t>
  </si>
  <si>
    <t>90NB0TY6-M03XR0</t>
  </si>
  <si>
    <t>X1500EA-EJ3671</t>
  </si>
  <si>
    <t>90NB0TY6-M03XS0</t>
  </si>
  <si>
    <t>M1502IA-EJ210</t>
  </si>
  <si>
    <t>90NB0Y52-M00KT0</t>
  </si>
  <si>
    <t>X1605ZA-MB310W</t>
  </si>
  <si>
    <t>90NB0ZA2-M00FT0</t>
  </si>
  <si>
    <t>X1605ZA-MB311W</t>
  </si>
  <si>
    <t>90NB0ZA2-M00FU0</t>
  </si>
  <si>
    <t>X1605ZA-MB312W</t>
  </si>
  <si>
    <t>90NB0ZA2-M00FV0</t>
  </si>
  <si>
    <t>X1605ZA-MB313W</t>
  </si>
  <si>
    <t>90NB0ZA2-M00FW0</t>
  </si>
  <si>
    <t>200W*6PHI</t>
  </si>
  <si>
    <t>0A001-01120500
0A001-01120100
0A001-01120300</t>
    <phoneticPr fontId="6" type="noConversion"/>
  </si>
  <si>
    <t>03A08-00053900
03A08-00055200</t>
    <phoneticPr fontId="6" type="noConversion"/>
  </si>
  <si>
    <t>03A08-00063500
03A08-00063800</t>
    <phoneticPr fontId="6" type="noConversion"/>
  </si>
  <si>
    <t>0A001-01105800(BR)
0A001-01103100(EU)</t>
    <phoneticPr fontId="6" type="noConversion"/>
  </si>
  <si>
    <t>X515MA-BR623</t>
    <phoneticPr fontId="93" type="noConversion"/>
  </si>
  <si>
    <t>90NB0TH1-M00KA0</t>
    <phoneticPr fontId="93" type="noConversion"/>
  </si>
  <si>
    <t>M1502IA-EJ384W</t>
  </si>
  <si>
    <t>90NB0Y52-M00L50</t>
  </si>
  <si>
    <t>K3504ZA</t>
    <phoneticPr fontId="91" type="noConversion"/>
  </si>
  <si>
    <t>90NB11S1-M001K0</t>
  </si>
  <si>
    <t>Indie Black</t>
  </si>
  <si>
    <t>15.6" OLED</t>
  </si>
  <si>
    <t>Core i7-ADL</t>
  </si>
  <si>
    <t>K3504ZA</t>
  </si>
  <si>
    <t>K3605ZF</t>
  </si>
  <si>
    <t>K3605ZF-N1044W</t>
    <phoneticPr fontId="93" type="noConversion"/>
  </si>
  <si>
    <t>90NB11E1-M001J0</t>
    <phoneticPr fontId="93" type="noConversion"/>
  </si>
  <si>
    <t>RTX2050</t>
  </si>
  <si>
    <t>K3605ZF</t>
    <phoneticPr fontId="91" type="noConversion"/>
  </si>
  <si>
    <t>KeepOS</t>
    <phoneticPr fontId="93" type="noConversion"/>
  </si>
  <si>
    <t>FX507ZC4</t>
    <phoneticPr fontId="93" type="noConversion"/>
  </si>
  <si>
    <t>G614JV</t>
    <phoneticPr fontId="93" type="noConversion"/>
  </si>
  <si>
    <t>G614JV-N3094W</t>
  </si>
  <si>
    <t>90NR0C61-M004W0</t>
  </si>
  <si>
    <t>16" WUXGA (165Hz)</t>
  </si>
  <si>
    <t>Core i9-RPL HX55</t>
  </si>
  <si>
    <t>RTX4060</t>
  </si>
  <si>
    <t>UX5304VA</t>
  </si>
  <si>
    <t>UX5304VA-NQ035W</t>
    <phoneticPr fontId="93" type="noConversion"/>
  </si>
  <si>
    <t>90NB0Z92-M001B0</t>
  </si>
  <si>
    <t>Basalt Grey</t>
  </si>
  <si>
    <t>13.3" OLED</t>
  </si>
  <si>
    <t>Core i7-RPL</t>
  </si>
  <si>
    <t>2TB SSD</t>
  </si>
  <si>
    <t>TOTAL</t>
  </si>
  <si>
    <t>Jul</t>
    <phoneticPr fontId="93" type="noConversion"/>
  </si>
  <si>
    <t>Aug</t>
    <phoneticPr fontId="93" type="noConversion"/>
  </si>
  <si>
    <t>Sep</t>
    <phoneticPr fontId="93" type="noConversion"/>
  </si>
  <si>
    <t>LTB Month</t>
    <phoneticPr fontId="93" type="noConversion"/>
  </si>
  <si>
    <t>Continue in 2023</t>
    <phoneticPr fontId="93" type="noConversion"/>
  </si>
  <si>
    <t>FX507ZC4</t>
  </si>
  <si>
    <t>FX507ZC4</t>
    <phoneticPr fontId="12" type="noConversion"/>
  </si>
  <si>
    <t>G614JV</t>
  </si>
  <si>
    <t>FX507ZC4</t>
    <phoneticPr fontId="6" type="noConversion"/>
  </si>
  <si>
    <t>加總 - Jul</t>
  </si>
  <si>
    <t>加總 - Aug</t>
  </si>
  <si>
    <t>加總 - Sep</t>
  </si>
  <si>
    <t>EOP</t>
    <phoneticPr fontId="12" type="noConversion"/>
  </si>
  <si>
    <t>Q2 EOP</t>
    <phoneticPr fontId="12" type="noConversion"/>
  </si>
  <si>
    <t>03012-00041000
03012-00041100</t>
    <phoneticPr fontId="6" type="noConversion"/>
  </si>
  <si>
    <t>03A08-00053900
03A08-00055200</t>
    <phoneticPr fontId="6" type="noConversion"/>
  </si>
  <si>
    <t>16GB(4800)</t>
    <phoneticPr fontId="6" type="noConversion"/>
  </si>
  <si>
    <t>03A12-00020300
03A12-00020500
03A12-00020600</t>
    <phoneticPr fontId="6" type="noConversion"/>
  </si>
  <si>
    <t>LPDDR5 16GB OB (6400)</t>
    <phoneticPr fontId="6" type="noConversion"/>
  </si>
  <si>
    <t>03015-00080000
03015-00080300</t>
    <phoneticPr fontId="6" type="noConversion"/>
  </si>
  <si>
    <t>LPDDR5 32GB OB (6400)</t>
    <phoneticPr fontId="6" type="noConversion"/>
  </si>
  <si>
    <t>65W*4.5PHI</t>
  </si>
  <si>
    <t>280W*6PHI</t>
  </si>
  <si>
    <t>0A001-01050300
0A001-01050600
0A001-01052500
0A001-01053500</t>
    <phoneticPr fontId="6" type="noConversion"/>
  </si>
  <si>
    <t>0A001-00860600
0A001-00860800</t>
    <phoneticPr fontId="6" type="noConversion"/>
  </si>
  <si>
    <t>0A001-00801800</t>
    <phoneticPr fontId="6" type="noConversion"/>
  </si>
  <si>
    <t>0A001-00894600
0A001-00895400
0A001-01053100
0A001-01052800</t>
    <phoneticPr fontId="6" type="noConversion"/>
  </si>
  <si>
    <t>MULTILASER</t>
  </si>
  <si>
    <t>03B03-00377800</t>
  </si>
  <si>
    <t>03B03-00431900</t>
  </si>
  <si>
    <t>03014-00010600
03014-00011300</t>
  </si>
  <si>
    <t>03014-00021500
03014-00020800</t>
    <phoneticPr fontId="6" type="noConversion"/>
  </si>
  <si>
    <t>V8G</t>
  </si>
  <si>
    <t>4GB OB</t>
    <phoneticPr fontId="93" type="noConversion"/>
  </si>
  <si>
    <t>8GB OB</t>
    <phoneticPr fontId="93" type="noConversion"/>
  </si>
  <si>
    <t>M1502IA-EJ152</t>
  </si>
  <si>
    <t>90NB0Y52-M00LA0</t>
  </si>
  <si>
    <t>X1605ZA-MB310</t>
  </si>
  <si>
    <t>90NB11E1-M004S0</t>
  </si>
  <si>
    <t>X1605ZA-MB230W</t>
    <phoneticPr fontId="93" type="noConversion"/>
  </si>
  <si>
    <t>K3504ZA-L1039W</t>
    <phoneticPr fontId="93" type="noConversion"/>
  </si>
  <si>
    <t>Core i5-12450H</t>
    <phoneticPr fontId="93" type="noConversion"/>
  </si>
  <si>
    <t>Quiet Blue</t>
    <phoneticPr fontId="93" type="noConversion"/>
  </si>
  <si>
    <t>Core i9-11900H</t>
    <phoneticPr fontId="93" type="noConversion"/>
  </si>
  <si>
    <t>FX507ZC4-HN112</t>
    <phoneticPr fontId="93" type="noConversion"/>
  </si>
  <si>
    <t>FX507ZC4-HN113W</t>
    <phoneticPr fontId="93" type="noConversion"/>
  </si>
  <si>
    <t>90NR0GW1-M007U0</t>
    <phoneticPr fontId="93" type="noConversion"/>
  </si>
  <si>
    <t>Core i9-13980HX</t>
    <phoneticPr fontId="93" type="noConversion"/>
  </si>
  <si>
    <t>Core i7-1355U</t>
    <phoneticPr fontId="93" type="noConversion"/>
  </si>
  <si>
    <t>UX5304VA-NQ124W</t>
  </si>
  <si>
    <t>90NB0Z92-M007K0</t>
  </si>
  <si>
    <t>32GB</t>
    <phoneticPr fontId="93" type="noConversion"/>
  </si>
  <si>
    <t>Core i9-11900H</t>
  </si>
  <si>
    <t>Core i5-12450H</t>
  </si>
  <si>
    <t>Core i9-13980HX</t>
  </si>
  <si>
    <t>Core i7-1355U</t>
  </si>
  <si>
    <t>X515MA-BR933WS</t>
  </si>
  <si>
    <t>90NB0TH1-M00KR0</t>
  </si>
  <si>
    <t>Win 11 + M365</t>
    <phoneticPr fontId="93" type="noConversion"/>
  </si>
  <si>
    <t>E510MA-BR1347WS</t>
  </si>
  <si>
    <t>90NB0Q65-M00Z50</t>
    <phoneticPr fontId="93" type="noConversion"/>
  </si>
  <si>
    <t>8K Star Black</t>
  </si>
  <si>
    <t>90NB0Q65-M00V40</t>
    <phoneticPr fontId="93" type="noConversion"/>
  </si>
  <si>
    <t>E510MA-BR1348WS</t>
  </si>
  <si>
    <t>90NB0Q62-M00Z60</t>
    <phoneticPr fontId="93" type="noConversion"/>
  </si>
  <si>
    <t>1P Rose Pink</t>
  </si>
  <si>
    <t>90NB0Q62-M00V50</t>
    <phoneticPr fontId="93" type="noConversion"/>
  </si>
  <si>
    <t>X515JA-EJ1791</t>
  </si>
  <si>
    <t>90NB0SR1-M02ZM0</t>
    <phoneticPr fontId="93" type="noConversion"/>
  </si>
  <si>
    <t>90NR0GW1-M00AR0</t>
  </si>
  <si>
    <t>Continue in 2023</t>
  </si>
</sst>
</file>

<file path=xl/styles.xml><?xml version="1.0" encoding="utf-8"?>
<styleSheet xmlns="http://schemas.openxmlformats.org/spreadsheetml/2006/main">
  <numFmts count="9">
    <numFmt numFmtId="164" formatCode="_-* #,##0.00_-;\-* #,##0.00_-;_-* &quot;-&quot;??_-;_-@_-"/>
    <numFmt numFmtId="165" formatCode="#,##0.000"/>
    <numFmt numFmtId="166" formatCode="0.000"/>
    <numFmt numFmtId="167" formatCode="0.0%"/>
    <numFmt numFmtId="168" formatCode="0.0"/>
    <numFmt numFmtId="169" formatCode="#,##0.0000"/>
    <numFmt numFmtId="170" formatCode="m&quot;月&quot;d&quot;日&quot;"/>
    <numFmt numFmtId="171" formatCode="_-* #,##0_-;\-* #,##0_-;_-* &quot;-&quot;??_-;_-@_-"/>
    <numFmt numFmtId="172" formatCode="0_);[Red]\(0\)"/>
  </numFmts>
  <fonts count="109">
    <font>
      <sz val="11"/>
      <color theme="1"/>
      <name val="Calibri"/>
      <family val="1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Calibri"/>
      <family val="2"/>
    </font>
    <font>
      <b/>
      <sz val="10"/>
      <name val="Calibri"/>
      <family val="2"/>
    </font>
    <font>
      <sz val="9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1"/>
      <color indexed="8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9"/>
      <name val="新細明體"/>
      <family val="1"/>
      <charset val="136"/>
    </font>
    <font>
      <b/>
      <sz val="9"/>
      <color indexed="81"/>
      <name val="Tahoma"/>
      <family val="2"/>
      <charset val="136"/>
    </font>
    <font>
      <sz val="9"/>
      <color indexed="81"/>
      <name val="Tahoma"/>
      <family val="2"/>
      <charset val="136"/>
    </font>
    <font>
      <b/>
      <sz val="14"/>
      <name val="Calibri"/>
      <family val="2"/>
    </font>
    <font>
      <sz val="8"/>
      <name val="Calibri"/>
      <family val="2"/>
    </font>
    <font>
      <b/>
      <sz val="10"/>
      <color indexed="56"/>
      <name val="Calibri"/>
      <family val="2"/>
    </font>
    <font>
      <b/>
      <sz val="10"/>
      <color indexed="10"/>
      <name val="Calibri"/>
      <family val="2"/>
    </font>
    <font>
      <sz val="9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sz val="11"/>
      <color theme="1"/>
      <name val="Calibri"/>
      <family val="1"/>
      <charset val="136"/>
      <scheme val="minor"/>
    </font>
    <font>
      <sz val="12"/>
      <color theme="1"/>
      <name val="Calibri"/>
      <family val="1"/>
      <charset val="136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0000"/>
      <name val="Calibri"/>
      <family val="2"/>
    </font>
    <font>
      <b/>
      <sz val="11"/>
      <color rgb="FF000000"/>
      <name val="Calibri"/>
      <family val="2"/>
    </font>
    <font>
      <sz val="10"/>
      <color rgb="FFFF0000"/>
      <name val="Calibri"/>
      <family val="2"/>
    </font>
    <font>
      <sz val="12"/>
      <color theme="4"/>
      <name val="Calibri"/>
      <family val="2"/>
    </font>
    <font>
      <b/>
      <sz val="10"/>
      <color theme="3"/>
      <name val="Calibri"/>
      <family val="2"/>
    </font>
    <font>
      <b/>
      <sz val="10"/>
      <color theme="4"/>
      <name val="Calibri"/>
      <family val="2"/>
    </font>
    <font>
      <sz val="9"/>
      <color theme="1"/>
      <name val="Calibri"/>
      <family val="1"/>
      <charset val="136"/>
      <scheme val="minor"/>
    </font>
    <font>
      <b/>
      <sz val="12"/>
      <color theme="3"/>
      <name val="Calibri"/>
      <family val="2"/>
    </font>
    <font>
      <sz val="12"/>
      <color theme="1"/>
      <name val="Calibri"/>
      <family val="2"/>
    </font>
    <font>
      <sz val="12"/>
      <color theme="1" tint="0.499984740745262"/>
      <name val="Calibri"/>
      <family val="2"/>
    </font>
    <font>
      <b/>
      <sz val="11"/>
      <color theme="1"/>
      <name val="Calibri"/>
      <family val="2"/>
    </font>
    <font>
      <b/>
      <sz val="14"/>
      <color rgb="FF000000"/>
      <name val="Calibri"/>
      <family val="2"/>
    </font>
    <font>
      <sz val="12"/>
      <color rgb="FFFF0000"/>
      <name val="Times New Roman"/>
      <family val="1"/>
    </font>
    <font>
      <sz val="11"/>
      <color rgb="FF00B050"/>
      <name val="Calibri"/>
      <family val="2"/>
    </font>
    <font>
      <sz val="16"/>
      <color rgb="FF000000"/>
      <name val="Calibri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</font>
    <font>
      <sz val="11"/>
      <color rgb="FF1F497D"/>
      <name val="Calibri"/>
      <family val="1"/>
      <charset val="136"/>
      <scheme val="minor"/>
    </font>
    <font>
      <b/>
      <sz val="11"/>
      <color theme="1"/>
      <name val="Calibri"/>
      <family val="1"/>
      <charset val="136"/>
      <scheme val="minor"/>
    </font>
    <font>
      <b/>
      <sz val="11"/>
      <name val="Calibri"/>
      <family val="1"/>
      <charset val="136"/>
      <scheme val="minor"/>
    </font>
    <font>
      <b/>
      <sz val="11"/>
      <color rgb="FFFF0000"/>
      <name val="Calibri"/>
      <family val="1"/>
      <charset val="136"/>
      <scheme val="minor"/>
    </font>
    <font>
      <sz val="10"/>
      <color theme="1"/>
      <name val="細明體"/>
      <family val="3"/>
      <charset val="136"/>
    </font>
    <font>
      <b/>
      <sz val="12"/>
      <color theme="1"/>
      <name val="Calibri"/>
      <family val="2"/>
    </font>
    <font>
      <sz val="11"/>
      <color rgb="FFFF0000"/>
      <name val="Calibri"/>
      <family val="1"/>
      <charset val="136"/>
      <scheme val="minor"/>
    </font>
    <font>
      <sz val="10"/>
      <color theme="3"/>
      <name val="Calibri"/>
      <family val="2"/>
    </font>
    <font>
      <b/>
      <sz val="11"/>
      <color rgb="FFFF0000"/>
      <name val="Calibri"/>
      <family val="2"/>
    </font>
    <font>
      <sz val="10"/>
      <color rgb="FF00B050"/>
      <name val="Calibri"/>
      <family val="2"/>
    </font>
    <font>
      <sz val="10"/>
      <color theme="0"/>
      <name val="Calibri"/>
      <family val="2"/>
    </font>
    <font>
      <sz val="14"/>
      <color theme="1"/>
      <name val="Calibri"/>
      <family val="2"/>
    </font>
    <font>
      <b/>
      <sz val="12"/>
      <color rgb="FF000000"/>
      <name val="Calibri"/>
      <family val="2"/>
    </font>
    <font>
      <b/>
      <sz val="10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1"/>
      <charset val="136"/>
      <scheme val="minor"/>
    </font>
    <font>
      <b/>
      <sz val="11"/>
      <color rgb="FF7030A0"/>
      <name val="Calibri"/>
      <family val="2"/>
      <scheme val="minor"/>
    </font>
    <font>
      <b/>
      <u/>
      <sz val="10"/>
      <color rgb="FFFF0000"/>
      <name val="Calibri"/>
      <family val="2"/>
    </font>
    <font>
      <u/>
      <sz val="10"/>
      <color rgb="FFFF0000"/>
      <name val="Calibri"/>
      <family val="2"/>
    </font>
    <font>
      <b/>
      <u/>
      <sz val="11"/>
      <color rgb="FFFF0000"/>
      <name val="Calibri"/>
      <family val="2"/>
      <scheme val="minor"/>
    </font>
    <font>
      <sz val="9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rgb="FFFFFF00"/>
      <name val="Calibri"/>
      <family val="2"/>
    </font>
    <font>
      <sz val="11"/>
      <color rgb="FF1F497D"/>
      <name val="Calibri"/>
      <family val="2"/>
      <scheme val="minor"/>
    </font>
    <font>
      <sz val="10"/>
      <color theme="7" tint="-0.249977111117893"/>
      <name val="Calibri"/>
      <family val="2"/>
    </font>
    <font>
      <sz val="10"/>
      <color theme="1" tint="0.499984740745262"/>
      <name val="Calibri"/>
      <family val="2"/>
    </font>
    <font>
      <b/>
      <sz val="8"/>
      <color theme="7" tint="-0.249977111117893"/>
      <name val="Calibri"/>
      <family val="2"/>
      <scheme val="minor"/>
    </font>
    <font>
      <sz val="12"/>
      <color theme="7" tint="-0.249977111117893"/>
      <name val="Calibri"/>
      <family val="2"/>
    </font>
    <font>
      <b/>
      <sz val="10"/>
      <color theme="7" tint="-0.249977111117893"/>
      <name val="Calibri"/>
      <family val="2"/>
    </font>
    <font>
      <b/>
      <sz val="9"/>
      <color theme="7" tint="-0.249977111117893"/>
      <name val="Calibri"/>
      <family val="2"/>
    </font>
    <font>
      <sz val="11"/>
      <color theme="3"/>
      <name val="Calibri"/>
      <family val="2"/>
      <scheme val="minor"/>
    </font>
    <font>
      <sz val="11"/>
      <color theme="3"/>
      <name val="Calibri"/>
      <family val="1"/>
      <charset val="136"/>
      <scheme val="minor"/>
    </font>
    <font>
      <sz val="10"/>
      <color theme="3"/>
      <name val="Calibri"/>
      <family val="1"/>
      <charset val="136"/>
    </font>
    <font>
      <b/>
      <sz val="10"/>
      <color theme="3"/>
      <name val="Calibri"/>
      <family val="1"/>
      <charset val="136"/>
    </font>
    <font>
      <u/>
      <sz val="11"/>
      <color theme="10"/>
      <name val="Calibri"/>
      <family val="1"/>
      <charset val="136"/>
      <scheme val="minor"/>
    </font>
    <font>
      <sz val="11"/>
      <color theme="0"/>
      <name val="Calibri"/>
      <family val="1"/>
      <charset val="136"/>
    </font>
    <font>
      <b/>
      <sz val="10"/>
      <color rgb="FF00B050"/>
      <name val="Calibri"/>
      <family val="2"/>
    </font>
    <font>
      <sz val="11"/>
      <color theme="1"/>
      <name val="Calibri"/>
      <family val="2"/>
    </font>
    <font>
      <sz val="11"/>
      <color theme="3"/>
      <name val="Calibri"/>
      <family val="2"/>
    </font>
    <font>
      <sz val="10"/>
      <color rgb="FFFF0000"/>
      <name val="Calibri"/>
      <family val="1"/>
      <charset val="136"/>
    </font>
    <font>
      <sz val="9"/>
      <name val="Calibri"/>
      <family val="2"/>
      <charset val="136"/>
      <scheme val="minor"/>
    </font>
    <font>
      <b/>
      <sz val="9"/>
      <color theme="1"/>
      <name val="Calibri"/>
      <family val="2"/>
    </font>
    <font>
      <sz val="9"/>
      <name val="Calibri"/>
      <family val="3"/>
      <charset val="136"/>
      <scheme val="minor"/>
    </font>
    <font>
      <b/>
      <sz val="9"/>
      <color rgb="FFFFFFFF"/>
      <name val="Calibri"/>
      <family val="2"/>
    </font>
    <font>
      <sz val="11"/>
      <color rgb="FFFF0000"/>
      <name val="Calibri"/>
      <family val="2"/>
    </font>
    <font>
      <sz val="8"/>
      <color theme="1"/>
      <name val="Calibri"/>
      <family val="2"/>
    </font>
    <font>
      <b/>
      <sz val="9"/>
      <name val="Calibri"/>
      <family val="2"/>
    </font>
    <font>
      <b/>
      <sz val="8"/>
      <name val="Calibri"/>
      <family val="2"/>
    </font>
    <font>
      <b/>
      <sz val="8"/>
      <name val="細明體"/>
      <family val="3"/>
      <charset val="136"/>
    </font>
    <font>
      <sz val="16"/>
      <color rgb="FFFF0000"/>
      <name val="Calibri"/>
      <family val="2"/>
    </font>
    <font>
      <sz val="12"/>
      <color theme="0"/>
      <name val="Calibri"/>
      <family val="2"/>
    </font>
    <font>
      <b/>
      <sz val="10"/>
      <color theme="1"/>
      <name val="Calibri"/>
      <family val="2"/>
      <scheme val="minor"/>
    </font>
    <font>
      <u/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color rgb="FFFFFFFF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9"/>
      <color indexed="81"/>
      <name val="細明體"/>
      <family val="3"/>
      <charset val="136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gradientFill degree="90">
        <stop position="0">
          <color theme="7" tint="0.40000610370189521"/>
        </stop>
        <stop position="1">
          <color theme="7" tint="-0.25098422193060094"/>
        </stop>
      </gradientFill>
    </fill>
    <fill>
      <patternFill patternType="solid">
        <fgColor rgb="FFFF5050"/>
        <bgColor indexed="64"/>
      </patternFill>
    </fill>
    <fill>
      <patternFill patternType="lightUp">
        <fgColor rgb="FF7030A0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3B92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25407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D9D9D9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D1D1D1"/>
      </left>
      <right/>
      <top style="medium">
        <color rgb="FFD1D1D1"/>
      </top>
      <bottom style="medium">
        <color rgb="FFD1D1D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4">
    <xf numFmtId="0" fontId="0" fillId="0" borderId="0"/>
    <xf numFmtId="0" fontId="29" fillId="0" borderId="0">
      <alignment vertical="center"/>
    </xf>
    <xf numFmtId="0" fontId="28" fillId="0" borderId="0"/>
    <xf numFmtId="164" fontId="5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0" fontId="85" fillId="0" borderId="0" applyNumberFormat="0" applyFill="0" applyBorder="0" applyAlignment="0" applyProtection="0"/>
    <xf numFmtId="0" fontId="4" fillId="0" borderId="0">
      <alignment vertical="center"/>
    </xf>
    <xf numFmtId="0" fontId="3" fillId="0" borderId="0">
      <alignment vertical="center"/>
    </xf>
    <xf numFmtId="164" fontId="28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164" fontId="106" fillId="0" borderId="0" applyFont="0" applyFill="0" applyBorder="0" applyAlignment="0" applyProtection="0">
      <alignment vertical="center"/>
    </xf>
  </cellStyleXfs>
  <cellXfs count="536">
    <xf numFmtId="0" fontId="0" fillId="0" borderId="0" xfId="0"/>
    <xf numFmtId="3" fontId="30" fillId="0" borderId="0" xfId="0" applyNumberFormat="1" applyFont="1" applyFill="1" applyAlignment="1">
      <alignment horizontal="center" vertical="center"/>
    </xf>
    <xf numFmtId="3" fontId="30" fillId="0" borderId="0" xfId="0" applyNumberFormat="1" applyFont="1" applyAlignment="1">
      <alignment horizontal="center"/>
    </xf>
    <xf numFmtId="3" fontId="30" fillId="0" borderId="0" xfId="0" applyNumberFormat="1" applyFont="1" applyFill="1" applyAlignment="1">
      <alignment horizontal="center"/>
    </xf>
    <xf numFmtId="3" fontId="30" fillId="0" borderId="0" xfId="0" applyNumberFormat="1" applyFont="1" applyFill="1" applyBorder="1" applyAlignment="1">
      <alignment horizontal="center"/>
    </xf>
    <xf numFmtId="3" fontId="7" fillId="0" borderId="0" xfId="0" applyNumberFormat="1" applyFont="1" applyFill="1" applyAlignment="1">
      <alignment horizontal="center" vertical="center"/>
    </xf>
    <xf numFmtId="3" fontId="30" fillId="2" borderId="1" xfId="0" applyNumberFormat="1" applyFont="1" applyFill="1" applyBorder="1" applyAlignment="1">
      <alignment horizontal="center" vertical="center"/>
    </xf>
    <xf numFmtId="3" fontId="7" fillId="0" borderId="1" xfId="0" applyNumberFormat="1" applyFont="1" applyFill="1" applyBorder="1" applyAlignment="1">
      <alignment horizontal="center" vertical="center"/>
    </xf>
    <xf numFmtId="3" fontId="30" fillId="0" borderId="1" xfId="0" applyNumberFormat="1" applyFont="1" applyBorder="1" applyAlignment="1">
      <alignment horizontal="center"/>
    </xf>
    <xf numFmtId="3" fontId="30" fillId="0" borderId="0" xfId="0" applyNumberFormat="1" applyFont="1" applyAlignment="1">
      <alignment horizontal="left"/>
    </xf>
    <xf numFmtId="3" fontId="31" fillId="0" borderId="0" xfId="0" applyNumberFormat="1" applyFont="1" applyFill="1" applyBorder="1" applyAlignment="1">
      <alignment horizontal="center"/>
    </xf>
    <xf numFmtId="0" fontId="0" fillId="0" borderId="0" xfId="0"/>
    <xf numFmtId="3" fontId="30" fillId="0" borderId="0" xfId="0" applyNumberFormat="1" applyFont="1" applyFill="1" applyBorder="1" applyAlignment="1">
      <alignment horizontal="center" vertical="center"/>
    </xf>
    <xf numFmtId="3" fontId="31" fillId="0" borderId="0" xfId="0" applyNumberFormat="1" applyFont="1" applyAlignment="1">
      <alignment horizontal="center"/>
    </xf>
    <xf numFmtId="0" fontId="0" fillId="0" borderId="0" xfId="0" applyFont="1"/>
    <xf numFmtId="0" fontId="33" fillId="0" borderId="0" xfId="0" applyFont="1" applyAlignment="1">
      <alignment horizontal="center" vertical="center"/>
    </xf>
    <xf numFmtId="3" fontId="30" fillId="0" borderId="0" xfId="0" applyNumberFormat="1" applyFont="1" applyAlignment="1">
      <alignment horizontal="center" vertical="center"/>
    </xf>
    <xf numFmtId="3" fontId="30" fillId="0" borderId="0" xfId="0" applyNumberFormat="1" applyFont="1" applyAlignment="1">
      <alignment horizontal="center"/>
    </xf>
    <xf numFmtId="3" fontId="30" fillId="0" borderId="1" xfId="0" applyNumberFormat="1" applyFont="1" applyFill="1" applyBorder="1" applyAlignment="1">
      <alignment horizontal="center" vertical="center"/>
    </xf>
    <xf numFmtId="3" fontId="30" fillId="0" borderId="1" xfId="0" applyNumberFormat="1" applyFont="1" applyFill="1" applyBorder="1" applyAlignment="1">
      <alignment horizontal="center"/>
    </xf>
    <xf numFmtId="3" fontId="30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3" fontId="7" fillId="0" borderId="0" xfId="0" applyNumberFormat="1" applyFont="1" applyFill="1" applyAlignment="1">
      <alignment horizontal="center"/>
    </xf>
    <xf numFmtId="0" fontId="0" fillId="0" borderId="1" xfId="0" applyBorder="1"/>
    <xf numFmtId="3" fontId="8" fillId="0" borderId="1" xfId="0" applyNumberFormat="1" applyFont="1" applyFill="1" applyBorder="1" applyAlignment="1">
      <alignment horizontal="left" vertical="center"/>
    </xf>
    <xf numFmtId="3" fontId="31" fillId="0" borderId="2" xfId="0" applyNumberFormat="1" applyFont="1" applyFill="1" applyBorder="1" applyAlignment="1">
      <alignment horizontal="left" vertical="center"/>
    </xf>
    <xf numFmtId="3" fontId="8" fillId="0" borderId="2" xfId="0" applyNumberFormat="1" applyFont="1" applyFill="1" applyBorder="1" applyAlignment="1">
      <alignment horizontal="left" vertical="center"/>
    </xf>
    <xf numFmtId="0" fontId="33" fillId="0" borderId="0" xfId="0" applyFont="1" applyAlignment="1">
      <alignment horizontal="right" vertical="center"/>
    </xf>
    <xf numFmtId="3" fontId="35" fillId="0" borderId="2" xfId="0" applyNumberFormat="1" applyFont="1" applyFill="1" applyBorder="1" applyAlignment="1">
      <alignment horizontal="left" vertical="center"/>
    </xf>
    <xf numFmtId="3" fontId="0" fillId="0" borderId="1" xfId="0" applyNumberFormat="1" applyBorder="1"/>
    <xf numFmtId="3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 wrapText="1"/>
    </xf>
    <xf numFmtId="9" fontId="30" fillId="0" borderId="0" xfId="4" applyFont="1" applyFill="1" applyBorder="1" applyAlignment="1">
      <alignment horizontal="center" vertical="center"/>
    </xf>
    <xf numFmtId="10" fontId="30" fillId="0" borderId="0" xfId="4" applyNumberFormat="1" applyFont="1" applyFill="1" applyBorder="1" applyAlignment="1">
      <alignment horizontal="center" vertical="center"/>
    </xf>
    <xf numFmtId="3" fontId="30" fillId="0" borderId="0" xfId="0" applyNumberFormat="1" applyFont="1" applyAlignment="1">
      <alignment horizontal="right" vertical="center"/>
    </xf>
    <xf numFmtId="3" fontId="3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3" fontId="37" fillId="0" borderId="2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38" fillId="0" borderId="0" xfId="0" applyFont="1" applyAlignment="1">
      <alignment horizontal="center"/>
    </xf>
    <xf numFmtId="3" fontId="39" fillId="3" borderId="1" xfId="0" applyNumberFormat="1" applyFont="1" applyFill="1" applyBorder="1" applyAlignment="1">
      <alignment horizontal="left" vertical="center"/>
    </xf>
    <xf numFmtId="3" fontId="36" fillId="3" borderId="1" xfId="0" applyNumberFormat="1" applyFont="1" applyFill="1" applyBorder="1" applyAlignment="1">
      <alignment horizontal="center"/>
    </xf>
    <xf numFmtId="3" fontId="36" fillId="3" borderId="1" xfId="0" applyNumberFormat="1" applyFont="1" applyFill="1" applyBorder="1" applyAlignment="1">
      <alignment horizontal="center" vertical="center"/>
    </xf>
    <xf numFmtId="10" fontId="33" fillId="0" borderId="0" xfId="4" applyNumberFormat="1" applyFont="1" applyFill="1" applyBorder="1" applyAlignment="1">
      <alignment horizontal="center" vertical="center"/>
    </xf>
    <xf numFmtId="10" fontId="30" fillId="0" borderId="0" xfId="0" applyNumberFormat="1" applyFont="1" applyFill="1" applyBorder="1" applyAlignment="1">
      <alignment horizontal="center" vertical="center"/>
    </xf>
    <xf numFmtId="3" fontId="31" fillId="0" borderId="0" xfId="0" applyNumberFormat="1" applyFont="1" applyFill="1" applyBorder="1" applyAlignment="1">
      <alignment vertical="center"/>
    </xf>
    <xf numFmtId="3" fontId="30" fillId="0" borderId="0" xfId="0" applyNumberFormat="1" applyFont="1" applyFill="1" applyBorder="1" applyAlignment="1">
      <alignment vertical="center"/>
    </xf>
    <xf numFmtId="3" fontId="40" fillId="0" borderId="1" xfId="0" applyNumberFormat="1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left" vertical="center"/>
    </xf>
    <xf numFmtId="0" fontId="17" fillId="4" borderId="1" xfId="0" applyFont="1" applyFill="1" applyBorder="1" applyAlignment="1">
      <alignment horizontal="center" vertical="center"/>
    </xf>
    <xf numFmtId="4" fontId="30" fillId="0" borderId="0" xfId="0" applyNumberFormat="1" applyFont="1" applyFill="1" applyBorder="1" applyAlignment="1">
      <alignment horizontal="center" vertical="center"/>
    </xf>
    <xf numFmtId="0" fontId="40" fillId="4" borderId="1" xfId="0" applyFont="1" applyFill="1" applyBorder="1" applyAlignment="1">
      <alignment horizontal="left" vertical="center"/>
    </xf>
    <xf numFmtId="3" fontId="42" fillId="0" borderId="0" xfId="0" applyNumberFormat="1" applyFont="1" applyFill="1" applyBorder="1" applyAlignment="1">
      <alignment horizontal="center" vertical="center"/>
    </xf>
    <xf numFmtId="9" fontId="42" fillId="0" borderId="0" xfId="4" applyFont="1" applyFill="1" applyBorder="1" applyAlignment="1">
      <alignment horizontal="center" vertical="center"/>
    </xf>
    <xf numFmtId="10" fontId="42" fillId="0" borderId="0" xfId="4" applyNumberFormat="1" applyFont="1" applyFill="1" applyBorder="1" applyAlignment="1">
      <alignment horizontal="center" vertical="center"/>
    </xf>
    <xf numFmtId="3" fontId="31" fillId="0" borderId="0" xfId="0" applyNumberFormat="1" applyFont="1" applyFill="1" applyBorder="1" applyAlignment="1"/>
    <xf numFmtId="10" fontId="30" fillId="0" borderId="1" xfId="4" applyNumberFormat="1" applyFont="1" applyFill="1" applyBorder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44" fillId="0" borderId="0" xfId="0" applyFont="1" applyFill="1" applyBorder="1"/>
    <xf numFmtId="0" fontId="0" fillId="0" borderId="0" xfId="0" applyBorder="1" applyAlignment="1">
      <alignment horizontal="center"/>
    </xf>
    <xf numFmtId="0" fontId="45" fillId="0" borderId="0" xfId="0" applyFont="1" applyFill="1" applyBorder="1" applyAlignment="1">
      <alignment horizontal="center" wrapText="1"/>
    </xf>
    <xf numFmtId="0" fontId="45" fillId="0" borderId="0" xfId="0" applyFont="1" applyFill="1" applyBorder="1" applyAlignment="1">
      <alignment vertical="center" wrapText="1"/>
    </xf>
    <xf numFmtId="0" fontId="46" fillId="0" borderId="0" xfId="0" applyFont="1" applyBorder="1" applyAlignment="1">
      <alignment horizontal="center" vertical="center"/>
    </xf>
    <xf numFmtId="0" fontId="47" fillId="2" borderId="1" xfId="0" applyFont="1" applyFill="1" applyBorder="1" applyAlignment="1">
      <alignment horizontal="center" vertical="center"/>
    </xf>
    <xf numFmtId="0" fontId="47" fillId="2" borderId="1" xfId="0" applyFont="1" applyFill="1" applyBorder="1" applyAlignment="1">
      <alignment horizontal="center" vertical="center" wrapText="1"/>
    </xf>
    <xf numFmtId="0" fontId="48" fillId="2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48" fillId="2" borderId="1" xfId="0" applyFont="1" applyFill="1" applyBorder="1" applyAlignment="1">
      <alignment vertical="center"/>
    </xf>
    <xf numFmtId="0" fontId="49" fillId="0" borderId="0" xfId="0" applyFont="1" applyAlignment="1">
      <alignment vertical="center"/>
    </xf>
    <xf numFmtId="0" fontId="18" fillId="2" borderId="1" xfId="0" applyFont="1" applyFill="1" applyBorder="1" applyAlignment="1">
      <alignment vertical="center" wrapText="1"/>
    </xf>
    <xf numFmtId="10" fontId="18" fillId="5" borderId="5" xfId="0" applyNumberFormat="1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/>
    </xf>
    <xf numFmtId="10" fontId="18" fillId="5" borderId="6" xfId="0" applyNumberFormat="1" applyFont="1" applyFill="1" applyBorder="1" applyAlignment="1">
      <alignment horizontal="center" vertical="center"/>
    </xf>
    <xf numFmtId="0" fontId="18" fillId="5" borderId="4" xfId="0" applyFont="1" applyFill="1" applyBorder="1" applyAlignment="1">
      <alignment horizontal="center" vertical="center"/>
    </xf>
    <xf numFmtId="0" fontId="50" fillId="0" borderId="1" xfId="0" applyFont="1" applyBorder="1"/>
    <xf numFmtId="0" fontId="48" fillId="0" borderId="1" xfId="0" applyFont="1" applyFill="1" applyBorder="1" applyAlignment="1">
      <alignment horizontal="center" vertical="center"/>
    </xf>
    <xf numFmtId="0" fontId="48" fillId="0" borderId="1" xfId="0" applyFont="1" applyFill="1" applyBorder="1" applyAlignment="1">
      <alignment vertical="center"/>
    </xf>
    <xf numFmtId="0" fontId="48" fillId="0" borderId="1" xfId="0" applyFont="1" applyFill="1" applyBorder="1" applyAlignment="1">
      <alignment vertical="center" wrapText="1"/>
    </xf>
    <xf numFmtId="0" fontId="33" fillId="0" borderId="1" xfId="0" applyFont="1" applyFill="1" applyBorder="1" applyAlignment="1">
      <alignment vertical="center" wrapText="1"/>
    </xf>
    <xf numFmtId="0" fontId="33" fillId="0" borderId="1" xfId="0" applyFont="1" applyFill="1" applyBorder="1" applyAlignment="1">
      <alignment vertical="center"/>
    </xf>
    <xf numFmtId="3" fontId="18" fillId="0" borderId="1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66" fontId="51" fillId="5" borderId="2" xfId="0" applyNumberFormat="1" applyFont="1" applyFill="1" applyBorder="1" applyAlignment="1">
      <alignment horizontal="center"/>
    </xf>
    <xf numFmtId="166" fontId="52" fillId="0" borderId="1" xfId="0" applyNumberFormat="1" applyFont="1" applyBorder="1" applyAlignment="1">
      <alignment horizontal="center"/>
    </xf>
    <xf numFmtId="10" fontId="30" fillId="0" borderId="0" xfId="4" applyNumberFormat="1" applyFont="1" applyFill="1" applyAlignment="1">
      <alignment horizontal="center"/>
    </xf>
    <xf numFmtId="165" fontId="30" fillId="0" borderId="0" xfId="0" applyNumberFormat="1" applyFont="1" applyFill="1" applyAlignment="1">
      <alignment horizontal="center"/>
    </xf>
    <xf numFmtId="165" fontId="30" fillId="0" borderId="1" xfId="0" applyNumberFormat="1" applyFont="1" applyFill="1" applyBorder="1" applyAlignment="1">
      <alignment horizontal="center" vertical="center"/>
    </xf>
    <xf numFmtId="3" fontId="53" fillId="0" borderId="0" xfId="0" applyNumberFormat="1" applyFont="1" applyAlignment="1">
      <alignment horizontal="center"/>
    </xf>
    <xf numFmtId="3" fontId="34" fillId="0" borderId="0" xfId="0" applyNumberFormat="1" applyFont="1" applyFill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2" xfId="0" applyNumberFormat="1" applyFont="1" applyFill="1" applyBorder="1" applyAlignment="1">
      <alignment horizontal="left" vertical="center" wrapText="1"/>
    </xf>
    <xf numFmtId="4" fontId="30" fillId="0" borderId="0" xfId="0" applyNumberFormat="1" applyFont="1" applyFill="1" applyAlignment="1">
      <alignment horizontal="center" vertical="center"/>
    </xf>
    <xf numFmtId="3" fontId="35" fillId="0" borderId="1" xfId="0" applyNumberFormat="1" applyFont="1" applyFill="1" applyBorder="1" applyAlignment="1">
      <alignment horizontal="left" vertical="center"/>
    </xf>
    <xf numFmtId="3" fontId="39" fillId="0" borderId="0" xfId="0" applyNumberFormat="1" applyFont="1" applyAlignment="1">
      <alignment horizontal="center" vertical="center"/>
    </xf>
    <xf numFmtId="0" fontId="47" fillId="5" borderId="1" xfId="0" applyFont="1" applyFill="1" applyBorder="1" applyAlignment="1">
      <alignment horizontal="center" vertical="center" wrapText="1"/>
    </xf>
    <xf numFmtId="0" fontId="38" fillId="0" borderId="1" xfId="0" applyFont="1" applyBorder="1" applyAlignment="1">
      <alignment horizontal="center"/>
    </xf>
    <xf numFmtId="3" fontId="30" fillId="0" borderId="1" xfId="0" applyNumberFormat="1" applyFont="1" applyBorder="1" applyAlignment="1">
      <alignment horizontal="left" vertical="center"/>
    </xf>
    <xf numFmtId="3" fontId="18" fillId="4" borderId="1" xfId="0" applyNumberFormat="1" applyFont="1" applyFill="1" applyBorder="1" applyAlignment="1">
      <alignment horizontal="center" vertical="center"/>
    </xf>
    <xf numFmtId="0" fontId="17" fillId="0" borderId="7" xfId="0" applyFont="1" applyFill="1" applyBorder="1" applyAlignment="1">
      <alignment horizontal="center" vertical="center" wrapText="1"/>
    </xf>
    <xf numFmtId="9" fontId="28" fillId="0" borderId="0" xfId="4" applyFont="1" applyAlignment="1">
      <alignment horizontal="center"/>
    </xf>
    <xf numFmtId="167" fontId="0" fillId="0" borderId="0" xfId="0" applyNumberFormat="1"/>
    <xf numFmtId="0" fontId="50" fillId="0" borderId="1" xfId="0" applyFont="1" applyBorder="1" applyAlignment="1">
      <alignment vertical="center"/>
    </xf>
    <xf numFmtId="0" fontId="47" fillId="0" borderId="1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/>
    </xf>
    <xf numFmtId="3" fontId="17" fillId="0" borderId="1" xfId="0" applyNumberFormat="1" applyFont="1" applyFill="1" applyBorder="1" applyAlignment="1">
      <alignment horizontal="center" vertical="center"/>
    </xf>
    <xf numFmtId="0" fontId="54" fillId="2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0" fillId="0" borderId="1" xfId="0" applyBorder="1" applyAlignment="1"/>
    <xf numFmtId="0" fontId="0" fillId="0" borderId="0" xfId="0" applyAlignment="1"/>
    <xf numFmtId="167" fontId="28" fillId="0" borderId="1" xfId="4" applyNumberFormat="1" applyFont="1" applyBorder="1" applyAlignment="1"/>
    <xf numFmtId="167" fontId="0" fillId="0" borderId="1" xfId="0" applyNumberFormat="1" applyBorder="1" applyAlignment="1"/>
    <xf numFmtId="166" fontId="0" fillId="0" borderId="1" xfId="0" applyNumberFormat="1" applyBorder="1" applyAlignment="1"/>
    <xf numFmtId="168" fontId="0" fillId="0" borderId="1" xfId="0" applyNumberFormat="1" applyBorder="1" applyAlignment="1"/>
    <xf numFmtId="3" fontId="56" fillId="0" borderId="1" xfId="0" applyNumberFormat="1" applyFont="1" applyFill="1" applyBorder="1" applyAlignment="1">
      <alignment horizontal="left" vertical="center"/>
    </xf>
    <xf numFmtId="3" fontId="36" fillId="3" borderId="1" xfId="0" applyNumberFormat="1" applyFont="1" applyFill="1" applyBorder="1" applyAlignment="1">
      <alignment horizontal="left" vertical="center"/>
    </xf>
    <xf numFmtId="0" fontId="57" fillId="0" borderId="0" xfId="0" applyFont="1" applyBorder="1" applyAlignment="1">
      <alignment horizontal="center" vertical="center"/>
    </xf>
    <xf numFmtId="4" fontId="30" fillId="0" borderId="0" xfId="0" applyNumberFormat="1" applyFont="1" applyFill="1" applyAlignment="1">
      <alignment horizontal="center"/>
    </xf>
    <xf numFmtId="10" fontId="30" fillId="0" borderId="0" xfId="4" applyNumberFormat="1" applyFont="1" applyFill="1" applyAlignment="1">
      <alignment horizontal="center" vertical="center"/>
    </xf>
    <xf numFmtId="9" fontId="28" fillId="0" borderId="0" xfId="4" applyFont="1" applyAlignment="1"/>
    <xf numFmtId="167" fontId="28" fillId="0" borderId="0" xfId="4" applyNumberFormat="1" applyFont="1" applyAlignment="1"/>
    <xf numFmtId="10" fontId="17" fillId="4" borderId="7" xfId="0" applyNumberFormat="1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center"/>
    </xf>
    <xf numFmtId="0" fontId="46" fillId="0" borderId="0" xfId="0" applyFont="1" applyFill="1" applyBorder="1" applyAlignment="1">
      <alignment vertical="center"/>
    </xf>
    <xf numFmtId="3" fontId="59" fillId="6" borderId="1" xfId="0" applyNumberFormat="1" applyFont="1" applyFill="1" applyBorder="1" applyAlignment="1">
      <alignment horizontal="center"/>
    </xf>
    <xf numFmtId="3" fontId="60" fillId="0" borderId="0" xfId="0" applyNumberFormat="1" applyFont="1" applyAlignment="1">
      <alignment horizontal="center"/>
    </xf>
    <xf numFmtId="0" fontId="0" fillId="0" borderId="0" xfId="0" quotePrefix="1"/>
    <xf numFmtId="3" fontId="36" fillId="0" borderId="1" xfId="0" applyNumberFormat="1" applyFont="1" applyFill="1" applyBorder="1" applyAlignment="1">
      <alignment horizontal="center"/>
    </xf>
    <xf numFmtId="3" fontId="36" fillId="9" borderId="1" xfId="0" applyNumberFormat="1" applyFont="1" applyFill="1" applyBorder="1" applyAlignment="1">
      <alignment horizontal="left" vertical="center"/>
    </xf>
    <xf numFmtId="3" fontId="36" fillId="9" borderId="3" xfId="0" applyNumberFormat="1" applyFont="1" applyFill="1" applyBorder="1" applyAlignment="1">
      <alignment horizontal="left" vertical="center"/>
    </xf>
    <xf numFmtId="0" fontId="55" fillId="0" borderId="0" xfId="0" applyFont="1" applyAlignment="1">
      <alignment horizontal="left" wrapText="1"/>
    </xf>
    <xf numFmtId="0" fontId="55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10" xfId="0" applyBorder="1"/>
    <xf numFmtId="0" fontId="0" fillId="0" borderId="11" xfId="0" applyBorder="1" applyAlignment="1">
      <alignment horizontal="left"/>
    </xf>
    <xf numFmtId="0" fontId="0" fillId="0" borderId="6" xfId="0" applyBorder="1" applyAlignment="1">
      <alignment horizontal="left"/>
    </xf>
    <xf numFmtId="0" fontId="64" fillId="0" borderId="12" xfId="0" applyFont="1" applyBorder="1"/>
    <xf numFmtId="0" fontId="64" fillId="0" borderId="9" xfId="0" applyFont="1" applyBorder="1"/>
    <xf numFmtId="0" fontId="66" fillId="0" borderId="11" xfId="0" applyFont="1" applyBorder="1" applyAlignment="1">
      <alignment horizontal="left"/>
    </xf>
    <xf numFmtId="0" fontId="67" fillId="0" borderId="10" xfId="0" applyFont="1" applyBorder="1"/>
    <xf numFmtId="3" fontId="36" fillId="0" borderId="0" xfId="0" applyNumberFormat="1" applyFont="1" applyFill="1" applyBorder="1" applyAlignment="1">
      <alignment horizontal="left" vertical="center"/>
    </xf>
    <xf numFmtId="3" fontId="30" fillId="0" borderId="0" xfId="0" applyNumberFormat="1" applyFont="1" applyFill="1" applyAlignment="1" applyProtection="1">
      <alignment horizontal="center"/>
      <protection locked="0"/>
    </xf>
    <xf numFmtId="3" fontId="30" fillId="0" borderId="0" xfId="0" applyNumberFormat="1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3" fontId="36" fillId="0" borderId="1" xfId="0" applyNumberFormat="1" applyFont="1" applyFill="1" applyBorder="1" applyAlignment="1" applyProtection="1">
      <alignment horizontal="center" vertical="center"/>
      <protection locked="0"/>
    </xf>
    <xf numFmtId="3" fontId="36" fillId="3" borderId="1" xfId="0" applyNumberFormat="1" applyFont="1" applyFill="1" applyBorder="1" applyAlignment="1" applyProtection="1">
      <alignment horizontal="center" vertical="center"/>
      <protection locked="0"/>
    </xf>
    <xf numFmtId="3" fontId="30" fillId="0" borderId="0" xfId="0" applyNumberFormat="1" applyFont="1" applyFill="1" applyAlignment="1" applyProtection="1">
      <alignment horizontal="center" vertical="center"/>
      <protection locked="0"/>
    </xf>
    <xf numFmtId="3" fontId="30" fillId="0" borderId="1" xfId="0" applyNumberFormat="1" applyFont="1" applyBorder="1" applyAlignment="1" applyProtection="1">
      <alignment horizontal="left" vertical="center"/>
      <protection locked="0"/>
    </xf>
    <xf numFmtId="3" fontId="36" fillId="0" borderId="1" xfId="0" applyNumberFormat="1" applyFont="1" applyFill="1" applyBorder="1" applyAlignment="1" applyProtection="1">
      <alignment horizontal="left" vertical="center"/>
      <protection locked="0"/>
    </xf>
    <xf numFmtId="0" fontId="0" fillId="0" borderId="1" xfId="0" applyFill="1" applyBorder="1" applyProtection="1">
      <protection locked="0"/>
    </xf>
    <xf numFmtId="3" fontId="30" fillId="0" borderId="0" xfId="0" applyNumberFormat="1" applyFont="1" applyAlignment="1" applyProtection="1">
      <alignment horizontal="center" vertical="center"/>
      <protection locked="0"/>
    </xf>
    <xf numFmtId="0" fontId="40" fillId="4" borderId="1" xfId="0" applyFont="1" applyFill="1" applyBorder="1" applyAlignment="1" applyProtection="1">
      <alignment horizontal="left" vertical="center"/>
      <protection locked="0"/>
    </xf>
    <xf numFmtId="0" fontId="17" fillId="4" borderId="1" xfId="0" applyFont="1" applyFill="1" applyBorder="1" applyAlignment="1" applyProtection="1">
      <alignment horizontal="center" vertical="center"/>
      <protection locked="0"/>
    </xf>
    <xf numFmtId="0" fontId="41" fillId="0" borderId="1" xfId="0" applyFont="1" applyFill="1" applyBorder="1" applyAlignment="1" applyProtection="1">
      <alignment horizontal="left" vertical="center"/>
      <protection locked="0"/>
    </xf>
    <xf numFmtId="3" fontId="40" fillId="0" borderId="1" xfId="0" applyNumberFormat="1" applyFont="1" applyFill="1" applyBorder="1" applyAlignment="1" applyProtection="1">
      <alignment horizontal="center" vertical="center"/>
      <protection locked="0"/>
    </xf>
    <xf numFmtId="165" fontId="30" fillId="0" borderId="0" xfId="0" applyNumberFormat="1" applyFont="1" applyFill="1" applyAlignment="1" applyProtection="1">
      <alignment horizontal="center"/>
      <protection locked="0"/>
    </xf>
    <xf numFmtId="3" fontId="8" fillId="0" borderId="1" xfId="0" applyNumberFormat="1" applyFont="1" applyFill="1" applyBorder="1" applyAlignment="1" applyProtection="1">
      <alignment horizontal="left" vertical="center"/>
      <protection locked="0"/>
    </xf>
    <xf numFmtId="3" fontId="30" fillId="0" borderId="1" xfId="0" applyNumberFormat="1" applyFont="1" applyFill="1" applyBorder="1" applyAlignment="1" applyProtection="1">
      <alignment horizontal="center"/>
      <protection locked="0"/>
    </xf>
    <xf numFmtId="3" fontId="7" fillId="0" borderId="1" xfId="0" applyNumberFormat="1" applyFont="1" applyFill="1" applyBorder="1" applyAlignment="1" applyProtection="1">
      <alignment horizontal="center"/>
      <protection locked="0"/>
    </xf>
    <xf numFmtId="3" fontId="53" fillId="0" borderId="0" xfId="0" applyNumberFormat="1" applyFont="1" applyAlignment="1" applyProtection="1">
      <alignment horizontal="center"/>
      <protection locked="0"/>
    </xf>
    <xf numFmtId="10" fontId="30" fillId="0" borderId="1" xfId="4" applyNumberFormat="1" applyFont="1" applyFill="1" applyBorder="1" applyAlignment="1" applyProtection="1">
      <alignment horizontal="center" vertical="center"/>
      <protection locked="0"/>
    </xf>
    <xf numFmtId="3" fontId="30" fillId="0" borderId="0" xfId="0" applyNumberFormat="1" applyFont="1" applyFill="1" applyBorder="1" applyAlignment="1" applyProtection="1">
      <alignment horizontal="center" vertical="center"/>
      <protection locked="0"/>
    </xf>
    <xf numFmtId="165" fontId="30" fillId="0" borderId="1" xfId="0" applyNumberFormat="1" applyFont="1" applyFill="1" applyBorder="1" applyAlignment="1" applyProtection="1">
      <alignment horizontal="center" vertical="center"/>
      <protection locked="0"/>
    </xf>
    <xf numFmtId="3" fontId="35" fillId="0" borderId="1" xfId="0" applyNumberFormat="1" applyFont="1" applyFill="1" applyBorder="1" applyAlignment="1" applyProtection="1">
      <alignment horizontal="left" vertical="center"/>
      <protection locked="0"/>
    </xf>
    <xf numFmtId="3" fontId="37" fillId="0" borderId="1" xfId="0" applyNumberFormat="1" applyFont="1" applyFill="1" applyBorder="1" applyAlignment="1" applyProtection="1">
      <alignment horizontal="center" vertical="center" wrapText="1"/>
      <protection locked="0"/>
    </xf>
    <xf numFmtId="3" fontId="8" fillId="0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3" fontId="31" fillId="0" borderId="1" xfId="0" applyNumberFormat="1" applyFont="1" applyFill="1" applyBorder="1" applyAlignment="1" applyProtection="1">
      <alignment horizontal="left" vertical="center"/>
      <protection locked="0"/>
    </xf>
    <xf numFmtId="3" fontId="31" fillId="0" borderId="2" xfId="0" applyNumberFormat="1" applyFont="1" applyFill="1" applyBorder="1" applyAlignment="1" applyProtection="1">
      <alignment horizontal="left" vertical="center"/>
      <protection locked="0"/>
    </xf>
    <xf numFmtId="3" fontId="8" fillId="0" borderId="2" xfId="0" applyNumberFormat="1" applyFont="1" applyFill="1" applyBorder="1" applyAlignment="1" applyProtection="1">
      <alignment horizontal="left" vertical="center"/>
      <protection locked="0"/>
    </xf>
    <xf numFmtId="3" fontId="39" fillId="3" borderId="1" xfId="0" applyNumberFormat="1" applyFont="1" applyFill="1" applyBorder="1" applyAlignment="1" applyProtection="1">
      <alignment horizontal="left" vertical="center"/>
      <protection locked="0"/>
    </xf>
    <xf numFmtId="3" fontId="36" fillId="3" borderId="1" xfId="0" applyNumberFormat="1" applyFont="1" applyFill="1" applyBorder="1" applyAlignment="1" applyProtection="1">
      <alignment horizontal="left" vertical="center"/>
      <protection locked="0"/>
    </xf>
    <xf numFmtId="3" fontId="36" fillId="3" borderId="1" xfId="0" applyNumberFormat="1" applyFont="1" applyFill="1" applyBorder="1" applyAlignment="1" applyProtection="1">
      <alignment horizontal="center"/>
      <protection locked="0"/>
    </xf>
    <xf numFmtId="3" fontId="31" fillId="0" borderId="1" xfId="0" applyNumberFormat="1" applyFont="1" applyFill="1" applyBorder="1" applyAlignment="1" applyProtection="1">
      <alignment horizontal="center" vertical="center"/>
      <protection locked="0"/>
    </xf>
    <xf numFmtId="3" fontId="56" fillId="0" borderId="1" xfId="0" applyNumberFormat="1" applyFont="1" applyFill="1" applyBorder="1" applyAlignment="1" applyProtection="1">
      <alignment horizontal="left" vertical="center"/>
      <protection locked="0"/>
    </xf>
    <xf numFmtId="3" fontId="32" fillId="0" borderId="1" xfId="0" applyNumberFormat="1" applyFont="1" applyFill="1" applyBorder="1" applyAlignment="1" applyProtection="1">
      <alignment horizontal="center" vertical="center"/>
      <protection locked="0"/>
    </xf>
    <xf numFmtId="3" fontId="8" fillId="0" borderId="1" xfId="0" applyNumberFormat="1" applyFont="1" applyFill="1" applyBorder="1" applyAlignment="1" applyProtection="1">
      <alignment horizontal="center"/>
      <protection locked="0"/>
    </xf>
    <xf numFmtId="3" fontId="36" fillId="3" borderId="3" xfId="0" applyNumberFormat="1" applyFont="1" applyFill="1" applyBorder="1" applyAlignment="1" applyProtection="1">
      <alignment horizontal="center" vertical="center"/>
      <protection locked="0"/>
    </xf>
    <xf numFmtId="3" fontId="36" fillId="3" borderId="3" xfId="0" applyNumberFormat="1" applyFont="1" applyFill="1" applyBorder="1" applyAlignment="1" applyProtection="1">
      <alignment horizontal="center"/>
      <protection locked="0"/>
    </xf>
    <xf numFmtId="3" fontId="36" fillId="3" borderId="3" xfId="0" applyNumberFormat="1" applyFont="1" applyFill="1" applyBorder="1" applyAlignment="1" applyProtection="1">
      <alignment horizontal="left" vertical="center"/>
      <protection locked="0"/>
    </xf>
    <xf numFmtId="3" fontId="31" fillId="0" borderId="0" xfId="0" applyNumberFormat="1" applyFont="1" applyAlignment="1" applyProtection="1">
      <alignment horizontal="center"/>
      <protection locked="0"/>
    </xf>
    <xf numFmtId="3" fontId="58" fillId="0" borderId="0" xfId="0" applyNumberFormat="1" applyFont="1" applyAlignment="1" applyProtection="1">
      <alignment horizontal="left"/>
      <protection locked="0"/>
    </xf>
    <xf numFmtId="3" fontId="58" fillId="0" borderId="0" xfId="0" applyNumberFormat="1" applyFont="1" applyAlignment="1" applyProtection="1">
      <alignment horizontal="right"/>
      <protection locked="0"/>
    </xf>
    <xf numFmtId="3" fontId="36" fillId="7" borderId="1" xfId="0" applyNumberFormat="1" applyFont="1" applyFill="1" applyBorder="1" applyAlignment="1" applyProtection="1">
      <alignment horizontal="center"/>
      <protection locked="0"/>
    </xf>
    <xf numFmtId="3" fontId="36" fillId="7" borderId="1" xfId="0" applyNumberFormat="1" applyFont="1" applyFill="1" applyBorder="1" applyAlignment="1" applyProtection="1">
      <alignment horizontal="center" vertical="center"/>
      <protection locked="0"/>
    </xf>
    <xf numFmtId="3" fontId="36" fillId="7" borderId="1" xfId="0" applyNumberFormat="1" applyFont="1" applyFill="1" applyBorder="1" applyAlignment="1" applyProtection="1">
      <alignment horizontal="left" vertical="center"/>
      <protection locked="0"/>
    </xf>
    <xf numFmtId="3" fontId="36" fillId="7" borderId="3" xfId="0" applyNumberFormat="1" applyFont="1" applyFill="1" applyBorder="1" applyAlignment="1" applyProtection="1">
      <alignment horizontal="left" vertical="center"/>
      <protection locked="0"/>
    </xf>
    <xf numFmtId="3" fontId="0" fillId="0" borderId="0" xfId="0" applyNumberFormat="1"/>
    <xf numFmtId="3" fontId="62" fillId="6" borderId="1" xfId="0" applyNumberFormat="1" applyFont="1" applyFill="1" applyBorder="1" applyAlignment="1" applyProtection="1">
      <alignment horizontal="left" vertical="center"/>
      <protection locked="0"/>
    </xf>
    <xf numFmtId="3" fontId="62" fillId="6" borderId="1" xfId="0" applyNumberFormat="1" applyFont="1" applyFill="1" applyBorder="1" applyAlignment="1" applyProtection="1">
      <alignment horizontal="center" vertical="center"/>
      <protection locked="0"/>
    </xf>
    <xf numFmtId="3" fontId="62" fillId="8" borderId="1" xfId="0" applyNumberFormat="1" applyFont="1" applyFill="1" applyBorder="1" applyAlignment="1" applyProtection="1">
      <alignment horizontal="center" vertical="center"/>
      <protection locked="0"/>
    </xf>
    <xf numFmtId="3" fontId="39" fillId="0" borderId="1" xfId="0" applyNumberFormat="1" applyFont="1" applyFill="1" applyBorder="1" applyAlignment="1" applyProtection="1">
      <alignment horizontal="left" vertical="center"/>
      <protection locked="0"/>
    </xf>
    <xf numFmtId="3" fontId="36" fillId="0" borderId="1" xfId="0" applyNumberFormat="1" applyFont="1" applyFill="1" applyBorder="1" applyAlignment="1" applyProtection="1">
      <alignment horizontal="center"/>
      <protection locked="0"/>
    </xf>
    <xf numFmtId="3" fontId="36" fillId="0" borderId="3" xfId="0" applyNumberFormat="1" applyFont="1" applyFill="1" applyBorder="1" applyAlignment="1" applyProtection="1">
      <alignment horizontal="center" vertical="center"/>
      <protection locked="0"/>
    </xf>
    <xf numFmtId="3" fontId="36" fillId="0" borderId="3" xfId="0" applyNumberFormat="1" applyFont="1" applyFill="1" applyBorder="1" applyAlignment="1" applyProtection="1">
      <alignment horizontal="center"/>
      <protection locked="0"/>
    </xf>
    <xf numFmtId="3" fontId="36" fillId="0" borderId="3" xfId="0" applyNumberFormat="1" applyFont="1" applyFill="1" applyBorder="1" applyAlignment="1" applyProtection="1">
      <alignment horizontal="left" vertical="center"/>
      <protection locked="0"/>
    </xf>
    <xf numFmtId="3" fontId="30" fillId="0" borderId="0" xfId="0" applyNumberFormat="1" applyFont="1" applyFill="1" applyAlignment="1" applyProtection="1">
      <protection locked="0"/>
    </xf>
    <xf numFmtId="3" fontId="36" fillId="0" borderId="1" xfId="0" applyNumberFormat="1" applyFont="1" applyFill="1" applyBorder="1" applyAlignment="1" applyProtection="1">
      <protection locked="0"/>
    </xf>
    <xf numFmtId="3" fontId="36" fillId="0" borderId="3" xfId="0" applyNumberFormat="1" applyFont="1" applyFill="1" applyBorder="1" applyAlignment="1" applyProtection="1">
      <protection locked="0"/>
    </xf>
    <xf numFmtId="3" fontId="36" fillId="0" borderId="1" xfId="0" applyNumberFormat="1" applyFont="1" applyFill="1" applyBorder="1" applyAlignment="1" applyProtection="1">
      <alignment vertical="center"/>
      <protection locked="0"/>
    </xf>
    <xf numFmtId="3" fontId="36" fillId="0" borderId="3" xfId="0" applyNumberFormat="1" applyFont="1" applyFill="1" applyBorder="1" applyAlignment="1" applyProtection="1">
      <alignment vertical="center"/>
      <protection locked="0"/>
    </xf>
    <xf numFmtId="9" fontId="30" fillId="0" borderId="0" xfId="4" applyFont="1" applyFill="1" applyAlignment="1">
      <alignment horizontal="center"/>
    </xf>
    <xf numFmtId="166" fontId="17" fillId="0" borderId="1" xfId="0" applyNumberFormat="1" applyFont="1" applyFill="1" applyBorder="1" applyAlignment="1">
      <alignment horizontal="center" vertical="center"/>
    </xf>
    <xf numFmtId="3" fontId="62" fillId="0" borderId="0" xfId="0" applyNumberFormat="1" applyFont="1" applyFill="1" applyBorder="1" applyAlignment="1" applyProtection="1">
      <alignment horizontal="center" vertical="center"/>
      <protection locked="0"/>
    </xf>
    <xf numFmtId="3" fontId="30" fillId="0" borderId="0" xfId="0" applyNumberFormat="1" applyFont="1" applyFill="1" applyBorder="1" applyAlignment="1" applyProtection="1">
      <alignment horizontal="center"/>
      <protection locked="0"/>
    </xf>
    <xf numFmtId="3" fontId="56" fillId="0" borderId="1" xfId="0" applyNumberFormat="1" applyFont="1" applyFill="1" applyBorder="1" applyAlignment="1" applyProtection="1">
      <alignment horizontal="center"/>
      <protection locked="0"/>
    </xf>
    <xf numFmtId="3" fontId="62" fillId="12" borderId="1" xfId="0" applyNumberFormat="1" applyFont="1" applyFill="1" applyBorder="1" applyAlignment="1" applyProtection="1">
      <alignment vertical="center"/>
      <protection locked="0"/>
    </xf>
    <xf numFmtId="3" fontId="62" fillId="12" borderId="1" xfId="0" applyNumberFormat="1" applyFont="1" applyFill="1" applyBorder="1" applyAlignment="1" applyProtection="1">
      <alignment horizontal="center" vertical="center" wrapText="1"/>
      <protection locked="0"/>
    </xf>
    <xf numFmtId="3" fontId="73" fillId="12" borderId="1" xfId="0" applyNumberFormat="1" applyFont="1" applyFill="1" applyBorder="1" applyAlignment="1" applyProtection="1">
      <alignment horizontal="left" vertical="center" wrapText="1"/>
      <protection locked="0"/>
    </xf>
    <xf numFmtId="3" fontId="62" fillId="12" borderId="1" xfId="0" applyNumberFormat="1" applyFont="1" applyFill="1" applyBorder="1" applyAlignment="1" applyProtection="1">
      <alignment horizontal="center" vertical="center"/>
      <protection locked="0"/>
    </xf>
    <xf numFmtId="3" fontId="62" fillId="12" borderId="8" xfId="0" applyNumberFormat="1" applyFont="1" applyFill="1" applyBorder="1" applyAlignment="1" applyProtection="1">
      <alignment horizontal="center" vertical="center"/>
      <protection locked="0"/>
    </xf>
    <xf numFmtId="3" fontId="31" fillId="0" borderId="0" xfId="0" applyNumberFormat="1" applyFont="1" applyFill="1" applyBorder="1" applyAlignment="1" applyProtection="1">
      <alignment horizontal="right" vertical="center"/>
      <protection locked="0"/>
    </xf>
    <xf numFmtId="3" fontId="56" fillId="13" borderId="1" xfId="0" applyNumberFormat="1" applyFont="1" applyFill="1" applyBorder="1" applyAlignment="1" applyProtection="1">
      <alignment horizontal="center"/>
      <protection locked="0"/>
    </xf>
    <xf numFmtId="3" fontId="56" fillId="0" borderId="1" xfId="0" applyNumberFormat="1" applyFont="1" applyFill="1" applyBorder="1" applyAlignment="1" applyProtection="1">
      <protection locked="0"/>
    </xf>
    <xf numFmtId="3" fontId="30" fillId="0" borderId="0" xfId="0" applyNumberFormat="1" applyFont="1" applyFill="1" applyBorder="1" applyAlignment="1" applyProtection="1">
      <alignment horizontal="right"/>
      <protection locked="0"/>
    </xf>
    <xf numFmtId="3" fontId="56" fillId="10" borderId="1" xfId="0" applyNumberFormat="1" applyFont="1" applyFill="1" applyBorder="1" applyAlignment="1" applyProtection="1">
      <protection locked="0"/>
    </xf>
    <xf numFmtId="3" fontId="30" fillId="0" borderId="0" xfId="0" applyNumberFormat="1" applyFont="1" applyFill="1" applyAlignment="1" applyProtection="1">
      <alignment horizontal="left"/>
      <protection locked="0"/>
    </xf>
    <xf numFmtId="0" fontId="74" fillId="0" borderId="0" xfId="0" applyFont="1"/>
    <xf numFmtId="3" fontId="75" fillId="0" borderId="0" xfId="0" applyNumberFormat="1" applyFont="1" applyAlignment="1" applyProtection="1">
      <protection locked="0"/>
    </xf>
    <xf numFmtId="3" fontId="56" fillId="10" borderId="1" xfId="0" applyNumberFormat="1" applyFont="1" applyFill="1" applyBorder="1" applyAlignment="1" applyProtection="1">
      <alignment horizontal="center"/>
      <protection locked="0"/>
    </xf>
    <xf numFmtId="3" fontId="34" fillId="10" borderId="1" xfId="0" applyNumberFormat="1" applyFont="1" applyFill="1" applyBorder="1" applyAlignment="1" applyProtection="1">
      <alignment horizontal="center"/>
      <protection locked="0"/>
    </xf>
    <xf numFmtId="169" fontId="34" fillId="0" borderId="0" xfId="0" applyNumberFormat="1" applyFont="1" applyFill="1" applyBorder="1" applyAlignment="1" applyProtection="1">
      <alignment horizontal="right"/>
      <protection locked="0"/>
    </xf>
    <xf numFmtId="3" fontId="30" fillId="10" borderId="1" xfId="0" applyNumberFormat="1" applyFont="1" applyFill="1" applyBorder="1" applyAlignment="1" applyProtection="1">
      <alignment horizontal="center"/>
      <protection locked="0"/>
    </xf>
    <xf numFmtId="3" fontId="76" fillId="0" borderId="0" xfId="0" applyNumberFormat="1" applyFont="1" applyFill="1" applyAlignment="1" applyProtection="1">
      <alignment horizontal="center"/>
      <protection locked="0"/>
    </xf>
    <xf numFmtId="3" fontId="76" fillId="0" borderId="0" xfId="0" applyNumberFormat="1" applyFont="1" applyAlignment="1" applyProtection="1">
      <alignment horizontal="center"/>
      <protection locked="0"/>
    </xf>
    <xf numFmtId="3" fontId="72" fillId="0" borderId="0" xfId="0" applyNumberFormat="1" applyFont="1"/>
    <xf numFmtId="3" fontId="30" fillId="0" borderId="0" xfId="0" applyNumberFormat="1" applyFont="1" applyFill="1" applyAlignment="1" applyProtection="1">
      <alignment horizontal="right"/>
      <protection locked="0"/>
    </xf>
    <xf numFmtId="3" fontId="77" fillId="0" borderId="1" xfId="0" applyNumberFormat="1" applyFont="1" applyBorder="1" applyAlignment="1">
      <alignment vertical="center" wrapText="1"/>
    </xf>
    <xf numFmtId="3" fontId="75" fillId="0" borderId="1" xfId="0" applyNumberFormat="1" applyFont="1" applyBorder="1" applyAlignment="1" applyProtection="1">
      <alignment horizontal="left" vertical="center"/>
      <protection locked="0"/>
    </xf>
    <xf numFmtId="3" fontId="78" fillId="0" borderId="1" xfId="0" applyNumberFormat="1" applyFont="1" applyFill="1" applyBorder="1" applyAlignment="1" applyProtection="1">
      <alignment horizontal="left" vertical="center"/>
      <protection locked="0"/>
    </xf>
    <xf numFmtId="3" fontId="79" fillId="0" borderId="1" xfId="0" applyNumberFormat="1" applyFont="1" applyFill="1" applyBorder="1" applyAlignment="1" applyProtection="1">
      <alignment horizontal="center" vertical="center" wrapText="1"/>
      <protection locked="0"/>
    </xf>
    <xf numFmtId="3" fontId="79" fillId="0" borderId="1" xfId="0" applyNumberFormat="1" applyFont="1" applyFill="1" applyBorder="1" applyAlignment="1" applyProtection="1">
      <alignment horizontal="left" vertical="center"/>
      <protection locked="0"/>
    </xf>
    <xf numFmtId="3" fontId="79" fillId="0" borderId="1" xfId="0" applyNumberFormat="1" applyFont="1" applyFill="1" applyBorder="1" applyAlignment="1" applyProtection="1">
      <alignment horizontal="center" vertical="center"/>
      <protection locked="0"/>
    </xf>
    <xf numFmtId="0" fontId="79" fillId="0" borderId="1" xfId="0" applyFont="1" applyFill="1" applyBorder="1" applyAlignment="1" applyProtection="1">
      <alignment horizontal="center" vertical="center"/>
      <protection locked="0"/>
    </xf>
    <xf numFmtId="0" fontId="79" fillId="0" borderId="1" xfId="0" applyFont="1" applyFill="1" applyBorder="1" applyAlignment="1" applyProtection="1">
      <alignment vertical="center" wrapText="1"/>
      <protection locked="0"/>
    </xf>
    <xf numFmtId="0" fontId="80" fillId="0" borderId="1" xfId="0" applyFont="1" applyFill="1" applyBorder="1" applyAlignment="1" applyProtection="1">
      <alignment horizontal="center" vertical="center" wrapText="1"/>
      <protection locked="0"/>
    </xf>
    <xf numFmtId="3" fontId="79" fillId="0" borderId="1" xfId="0" applyNumberFormat="1" applyFont="1" applyFill="1" applyBorder="1" applyAlignment="1" applyProtection="1">
      <alignment vertical="center"/>
      <protection locked="0"/>
    </xf>
    <xf numFmtId="3" fontId="79" fillId="0" borderId="2" xfId="0" applyNumberFormat="1" applyFont="1" applyFill="1" applyBorder="1" applyAlignment="1" applyProtection="1">
      <alignment horizontal="left" vertical="center"/>
      <protection locked="0"/>
    </xf>
    <xf numFmtId="3" fontId="75" fillId="0" borderId="0" xfId="0" applyNumberFormat="1" applyFont="1" applyFill="1" applyAlignment="1" applyProtection="1">
      <alignment horizontal="right" vertical="center"/>
      <protection locked="0"/>
    </xf>
    <xf numFmtId="3" fontId="75" fillId="0" borderId="0" xfId="0" applyNumberFormat="1" applyFont="1" applyFill="1" applyAlignment="1" applyProtection="1">
      <alignment horizontal="center" vertical="center"/>
      <protection locked="0"/>
    </xf>
    <xf numFmtId="3" fontId="62" fillId="12" borderId="1" xfId="0" applyNumberFormat="1" applyFont="1" applyFill="1" applyBorder="1" applyAlignment="1">
      <alignment horizontal="center"/>
    </xf>
    <xf numFmtId="3" fontId="75" fillId="0" borderId="1" xfId="0" applyNumberFormat="1" applyFont="1" applyFill="1" applyBorder="1" applyAlignment="1" applyProtection="1">
      <alignment vertical="center"/>
      <protection locked="0"/>
    </xf>
    <xf numFmtId="0" fontId="0" fillId="10" borderId="1" xfId="0" applyFill="1" applyBorder="1" applyProtection="1">
      <protection locked="0"/>
    </xf>
    <xf numFmtId="3" fontId="39" fillId="10" borderId="1" xfId="0" applyNumberFormat="1" applyFont="1" applyFill="1" applyBorder="1" applyAlignment="1" applyProtection="1">
      <alignment horizontal="left" vertical="center"/>
      <protection locked="0"/>
    </xf>
    <xf numFmtId="3" fontId="36" fillId="10" borderId="1" xfId="0" applyNumberFormat="1" applyFont="1" applyFill="1" applyBorder="1" applyAlignment="1" applyProtection="1">
      <alignment horizontal="center" vertical="center"/>
      <protection locked="0"/>
    </xf>
    <xf numFmtId="3" fontId="36" fillId="10" borderId="1" xfId="0" applyNumberFormat="1" applyFont="1" applyFill="1" applyBorder="1" applyAlignment="1" applyProtection="1">
      <alignment horizontal="left" vertical="center"/>
      <protection locked="0"/>
    </xf>
    <xf numFmtId="3" fontId="36" fillId="10" borderId="1" xfId="0" applyNumberFormat="1" applyFont="1" applyFill="1" applyBorder="1" applyAlignment="1" applyProtection="1">
      <alignment horizontal="center"/>
      <protection locked="0"/>
    </xf>
    <xf numFmtId="3" fontId="36" fillId="10" borderId="1" xfId="0" applyNumberFormat="1" applyFont="1" applyFill="1" applyBorder="1" applyAlignment="1" applyProtection="1">
      <protection locked="0"/>
    </xf>
    <xf numFmtId="3" fontId="36" fillId="10" borderId="1" xfId="0" applyNumberFormat="1" applyFont="1" applyFill="1" applyBorder="1" applyAlignment="1" applyProtection="1">
      <alignment vertical="center"/>
      <protection locked="0"/>
    </xf>
    <xf numFmtId="3" fontId="36" fillId="14" borderId="1" xfId="0" applyNumberFormat="1" applyFont="1" applyFill="1" applyBorder="1" applyAlignment="1">
      <alignment horizontal="center"/>
    </xf>
    <xf numFmtId="3" fontId="36" fillId="10" borderId="1" xfId="0" applyNumberFormat="1" applyFont="1" applyFill="1" applyBorder="1" applyAlignment="1">
      <alignment horizontal="center"/>
    </xf>
    <xf numFmtId="3" fontId="36" fillId="10" borderId="3" xfId="0" applyNumberFormat="1" applyFont="1" applyFill="1" applyBorder="1" applyAlignment="1" applyProtection="1">
      <protection locked="0"/>
    </xf>
    <xf numFmtId="3" fontId="56" fillId="0" borderId="1" xfId="0" applyNumberFormat="1" applyFont="1" applyFill="1" applyBorder="1" applyAlignment="1" applyProtection="1">
      <alignment vertical="center"/>
      <protection locked="0"/>
    </xf>
    <xf numFmtId="0" fontId="81" fillId="0" borderId="1" xfId="0" applyFont="1" applyFill="1" applyBorder="1" applyProtection="1">
      <protection locked="0"/>
    </xf>
    <xf numFmtId="3" fontId="56" fillId="0" borderId="0" xfId="0" applyNumberFormat="1" applyFont="1" applyFill="1" applyAlignment="1" applyProtection="1">
      <alignment horizontal="right"/>
      <protection locked="0"/>
    </xf>
    <xf numFmtId="3" fontId="56" fillId="0" borderId="0" xfId="0" applyNumberFormat="1" applyFont="1" applyFill="1" applyAlignment="1" applyProtection="1">
      <alignment horizontal="center"/>
      <protection locked="0"/>
    </xf>
    <xf numFmtId="3" fontId="36" fillId="7" borderId="3" xfId="0" applyNumberFormat="1" applyFont="1" applyFill="1" applyBorder="1" applyAlignment="1" applyProtection="1">
      <alignment vertical="center"/>
      <protection locked="0"/>
    </xf>
    <xf numFmtId="3" fontId="36" fillId="10" borderId="3" xfId="0" applyNumberFormat="1" applyFont="1" applyFill="1" applyBorder="1" applyAlignment="1" applyProtection="1">
      <alignment horizontal="center" vertical="center"/>
      <protection locked="0"/>
    </xf>
    <xf numFmtId="3" fontId="36" fillId="10" borderId="3" xfId="0" applyNumberFormat="1" applyFont="1" applyFill="1" applyBorder="1" applyAlignment="1" applyProtection="1">
      <alignment horizontal="center"/>
      <protection locked="0"/>
    </xf>
    <xf numFmtId="3" fontId="36" fillId="10" borderId="3" xfId="0" applyNumberFormat="1" applyFont="1" applyFill="1" applyBorder="1" applyAlignment="1" applyProtection="1">
      <alignment vertical="center"/>
      <protection locked="0"/>
    </xf>
    <xf numFmtId="0" fontId="0" fillId="0" borderId="0" xfId="0" applyFill="1" applyProtection="1">
      <protection locked="0"/>
    </xf>
    <xf numFmtId="3" fontId="30" fillId="10" borderId="3" xfId="0" applyNumberFormat="1" applyFont="1" applyFill="1" applyBorder="1" applyAlignment="1" applyProtection="1">
      <alignment horizontal="center"/>
      <protection locked="0"/>
    </xf>
    <xf numFmtId="3" fontId="36" fillId="10" borderId="3" xfId="0" applyNumberFormat="1" applyFont="1" applyFill="1" applyBorder="1" applyAlignment="1" applyProtection="1">
      <alignment horizontal="left" vertical="center"/>
      <protection locked="0"/>
    </xf>
    <xf numFmtId="3" fontId="30" fillId="0" borderId="3" xfId="0" applyNumberFormat="1" applyFont="1" applyFill="1" applyBorder="1" applyAlignment="1" applyProtection="1">
      <alignment horizontal="center"/>
      <protection locked="0"/>
    </xf>
    <xf numFmtId="3" fontId="32" fillId="14" borderId="1" xfId="0" applyNumberFormat="1" applyFont="1" applyFill="1" applyBorder="1" applyAlignment="1">
      <alignment horizontal="center"/>
    </xf>
    <xf numFmtId="3" fontId="32" fillId="10" borderId="3" xfId="0" applyNumberFormat="1" applyFont="1" applyFill="1" applyBorder="1" applyAlignment="1" applyProtection="1">
      <alignment vertical="center"/>
      <protection locked="0"/>
    </xf>
    <xf numFmtId="3" fontId="32" fillId="0" borderId="3" xfId="0" applyNumberFormat="1" applyFont="1" applyFill="1" applyBorder="1" applyAlignment="1" applyProtection="1">
      <alignment vertical="center"/>
      <protection locked="0"/>
    </xf>
    <xf numFmtId="3" fontId="75" fillId="0" borderId="0" xfId="0" applyNumberFormat="1" applyFont="1" applyFill="1" applyAlignment="1" applyProtection="1">
      <protection locked="0"/>
    </xf>
    <xf numFmtId="3" fontId="62" fillId="12" borderId="1" xfId="0" applyNumberFormat="1" applyFont="1" applyFill="1" applyBorder="1" applyAlignment="1">
      <alignment horizontal="left"/>
    </xf>
    <xf numFmtId="3" fontId="32" fillId="7" borderId="1" xfId="0" applyNumberFormat="1" applyFont="1" applyFill="1" applyBorder="1" applyAlignment="1" applyProtection="1">
      <alignment vertical="center"/>
      <protection locked="0"/>
    </xf>
    <xf numFmtId="3" fontId="32" fillId="7" borderId="3" xfId="0" applyNumberFormat="1" applyFont="1" applyFill="1" applyBorder="1" applyAlignment="1" applyProtection="1">
      <alignment vertical="center"/>
      <protection locked="0"/>
    </xf>
    <xf numFmtId="3" fontId="32" fillId="12" borderId="1" xfId="0" applyNumberFormat="1" applyFont="1" applyFill="1" applyBorder="1" applyAlignment="1" applyProtection="1">
      <alignment vertical="center"/>
      <protection locked="0"/>
    </xf>
    <xf numFmtId="0" fontId="0" fillId="15" borderId="1" xfId="0" applyFill="1" applyBorder="1"/>
    <xf numFmtId="3" fontId="0" fillId="15" borderId="1" xfId="0" applyNumberFormat="1" applyFill="1" applyBorder="1"/>
    <xf numFmtId="3" fontId="32" fillId="16" borderId="1" xfId="0" applyNumberFormat="1" applyFont="1" applyFill="1" applyBorder="1" applyAlignment="1">
      <alignment horizontal="center"/>
    </xf>
    <xf numFmtId="3" fontId="34" fillId="0" borderId="0" xfId="0" applyNumberFormat="1" applyFont="1" applyFill="1" applyBorder="1" applyAlignment="1" applyProtection="1">
      <alignment horizontal="center"/>
      <protection locked="0"/>
    </xf>
    <xf numFmtId="3" fontId="32" fillId="15" borderId="1" xfId="0" applyNumberFormat="1" applyFont="1" applyFill="1" applyBorder="1" applyAlignment="1">
      <alignment horizontal="center"/>
    </xf>
    <xf numFmtId="3" fontId="7" fillId="10" borderId="1" xfId="0" applyNumberFormat="1" applyFont="1" applyFill="1" applyBorder="1" applyAlignment="1" applyProtection="1">
      <alignment horizontal="center"/>
      <protection locked="0"/>
    </xf>
    <xf numFmtId="4" fontId="7" fillId="0" borderId="0" xfId="0" applyNumberFormat="1" applyFont="1" applyFill="1" applyAlignment="1">
      <alignment horizontal="center" vertical="center"/>
    </xf>
    <xf numFmtId="0" fontId="82" fillId="0" borderId="1" xfId="0" applyFont="1" applyFill="1" applyBorder="1" applyProtection="1">
      <protection locked="0"/>
    </xf>
    <xf numFmtId="3" fontId="83" fillId="0" borderId="1" xfId="0" applyNumberFormat="1" applyFont="1" applyFill="1" applyBorder="1" applyAlignment="1" applyProtection="1">
      <alignment horizontal="center" vertical="center"/>
      <protection locked="0"/>
    </xf>
    <xf numFmtId="3" fontId="84" fillId="0" borderId="1" xfId="0" applyNumberFormat="1" applyFont="1" applyFill="1" applyBorder="1" applyAlignment="1" applyProtection="1">
      <alignment horizontal="center" vertical="center"/>
      <protection locked="0"/>
    </xf>
    <xf numFmtId="3" fontId="83" fillId="0" borderId="1" xfId="0" applyNumberFormat="1" applyFont="1" applyFill="1" applyBorder="1" applyAlignment="1" applyProtection="1">
      <alignment horizontal="left" vertical="center"/>
      <protection locked="0"/>
    </xf>
    <xf numFmtId="3" fontId="83" fillId="0" borderId="1" xfId="0" applyNumberFormat="1" applyFont="1" applyFill="1" applyBorder="1" applyAlignment="1" applyProtection="1">
      <alignment horizontal="center"/>
      <protection locked="0"/>
    </xf>
    <xf numFmtId="3" fontId="32" fillId="3" borderId="3" xfId="0" applyNumberFormat="1" applyFont="1" applyFill="1" applyBorder="1" applyAlignment="1" applyProtection="1">
      <alignment horizontal="center" vertical="center"/>
      <protection locked="0"/>
    </xf>
    <xf numFmtId="3" fontId="32" fillId="3" borderId="1" xfId="0" applyNumberFormat="1" applyFont="1" applyFill="1" applyBorder="1" applyAlignment="1" applyProtection="1">
      <alignment horizontal="center" vertical="center"/>
      <protection locked="0"/>
    </xf>
    <xf numFmtId="3" fontId="34" fillId="0" borderId="0" xfId="0" applyNumberFormat="1" applyFont="1" applyAlignment="1" applyProtection="1">
      <alignment horizontal="center"/>
      <protection locked="0"/>
    </xf>
    <xf numFmtId="3" fontId="56" fillId="0" borderId="1" xfId="0" applyNumberFormat="1" applyFont="1" applyFill="1" applyBorder="1" applyAlignment="1" applyProtection="1">
      <alignment horizontal="center" vertical="center"/>
      <protection locked="0"/>
    </xf>
    <xf numFmtId="9" fontId="30" fillId="0" borderId="0" xfId="4" applyFont="1" applyAlignment="1">
      <alignment horizontal="center"/>
    </xf>
    <xf numFmtId="0" fontId="8" fillId="15" borderId="2" xfId="0" applyFont="1" applyFill="1" applyBorder="1" applyAlignment="1">
      <alignment horizontal="center" vertical="center" wrapText="1"/>
    </xf>
    <xf numFmtId="3" fontId="30" fillId="7" borderId="1" xfId="0" applyNumberFormat="1" applyFont="1" applyFill="1" applyBorder="1" applyAlignment="1" applyProtection="1">
      <alignment horizontal="center"/>
      <protection locked="0"/>
    </xf>
    <xf numFmtId="3" fontId="85" fillId="0" borderId="0" xfId="5" applyNumberFormat="1" applyFill="1" applyAlignment="1">
      <alignment horizontal="center"/>
    </xf>
    <xf numFmtId="3" fontId="31" fillId="0" borderId="1" xfId="0" applyNumberFormat="1" applyFont="1" applyFill="1" applyBorder="1" applyAlignment="1">
      <alignment vertical="center"/>
    </xf>
    <xf numFmtId="3" fontId="86" fillId="17" borderId="1" xfId="0" applyNumberFormat="1" applyFont="1" applyFill="1" applyBorder="1" applyAlignment="1" applyProtection="1">
      <alignment horizontal="left" vertical="center"/>
      <protection locked="0"/>
    </xf>
    <xf numFmtId="3" fontId="31" fillId="0" borderId="0" xfId="0" applyNumberFormat="1" applyFont="1" applyFill="1" applyAlignment="1">
      <alignment horizontal="center" vertical="center"/>
    </xf>
    <xf numFmtId="3" fontId="8" fillId="0" borderId="1" xfId="0" applyNumberFormat="1" applyFont="1" applyFill="1" applyBorder="1" applyAlignment="1">
      <alignment horizontal="center"/>
    </xf>
    <xf numFmtId="167" fontId="30" fillId="0" borderId="0" xfId="4" applyNumberFormat="1" applyFont="1" applyAlignment="1">
      <alignment horizontal="center"/>
    </xf>
    <xf numFmtId="3" fontId="87" fillId="0" borderId="1" xfId="0" applyNumberFormat="1" applyFont="1" applyFill="1" applyBorder="1" applyAlignment="1" applyProtection="1">
      <alignment horizontal="center" vertical="center"/>
      <protection locked="0"/>
    </xf>
    <xf numFmtId="3" fontId="83" fillId="0" borderId="3" xfId="0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Fill="1" applyBorder="1" applyAlignment="1" applyProtection="1">
      <alignment horizontal="center" vertical="center"/>
      <protection locked="0"/>
    </xf>
    <xf numFmtId="3" fontId="56" fillId="0" borderId="3" xfId="0" applyNumberFormat="1" applyFont="1" applyFill="1" applyBorder="1" applyAlignment="1" applyProtection="1">
      <alignment horizontal="center"/>
      <protection locked="0"/>
    </xf>
    <xf numFmtId="3" fontId="30" fillId="0" borderId="0" xfId="0" applyNumberFormat="1" applyFont="1" applyFill="1" applyAlignment="1">
      <alignment horizontal="left"/>
    </xf>
    <xf numFmtId="3" fontId="8" fillId="3" borderId="3" xfId="0" applyNumberFormat="1" applyFont="1" applyFill="1" applyBorder="1" applyAlignment="1" applyProtection="1">
      <alignment horizontal="center"/>
      <protection locked="0"/>
    </xf>
    <xf numFmtId="3" fontId="8" fillId="3" borderId="1" xfId="0" applyNumberFormat="1" applyFont="1" applyFill="1" applyBorder="1" applyAlignment="1" applyProtection="1">
      <alignment horizontal="center"/>
      <protection locked="0"/>
    </xf>
    <xf numFmtId="3" fontId="8" fillId="3" borderId="1" xfId="0" applyNumberFormat="1" applyFont="1" applyFill="1" applyBorder="1" applyAlignment="1">
      <alignment horizontal="center" vertical="center"/>
    </xf>
    <xf numFmtId="3" fontId="83" fillId="3" borderId="1" xfId="0" applyNumberFormat="1" applyFont="1" applyFill="1" applyBorder="1" applyAlignment="1" applyProtection="1">
      <alignment horizontal="center" vertical="center"/>
      <protection locked="0"/>
    </xf>
    <xf numFmtId="3" fontId="30" fillId="18" borderId="1" xfId="0" applyNumberFormat="1" applyFont="1" applyFill="1" applyBorder="1" applyAlignment="1" applyProtection="1">
      <alignment horizontal="center"/>
      <protection locked="0"/>
    </xf>
    <xf numFmtId="3" fontId="8" fillId="3" borderId="1" xfId="0" applyNumberFormat="1" applyFont="1" applyFill="1" applyBorder="1" applyAlignment="1">
      <alignment horizontal="center"/>
    </xf>
    <xf numFmtId="0" fontId="88" fillId="0" borderId="1" xfId="0" applyFont="1" applyFill="1" applyBorder="1" applyProtection="1">
      <protection locked="0"/>
    </xf>
    <xf numFmtId="0" fontId="89" fillId="0" borderId="1" xfId="0" applyFont="1" applyFill="1" applyBorder="1" applyProtection="1">
      <protection locked="0"/>
    </xf>
    <xf numFmtId="0" fontId="88" fillId="3" borderId="1" xfId="0" applyFont="1" applyFill="1" applyBorder="1" applyProtection="1">
      <protection locked="0"/>
    </xf>
    <xf numFmtId="3" fontId="30" fillId="3" borderId="1" xfId="0" applyNumberFormat="1" applyFont="1" applyFill="1" applyBorder="1" applyAlignment="1">
      <alignment horizontal="center" vertical="center"/>
    </xf>
    <xf numFmtId="3" fontId="90" fillId="0" borderId="1" xfId="0" applyNumberFormat="1" applyFont="1" applyFill="1" applyBorder="1" applyAlignment="1" applyProtection="1">
      <alignment horizontal="center"/>
      <protection locked="0"/>
    </xf>
    <xf numFmtId="3" fontId="34" fillId="0" borderId="1" xfId="0" applyNumberFormat="1" applyFont="1" applyFill="1" applyBorder="1" applyAlignment="1" applyProtection="1">
      <alignment horizontal="center"/>
      <protection locked="0"/>
    </xf>
    <xf numFmtId="0" fontId="4" fillId="0" borderId="0" xfId="6">
      <alignment vertical="center"/>
    </xf>
    <xf numFmtId="3" fontId="0" fillId="0" borderId="0" xfId="0" applyNumberFormat="1" applyFont="1"/>
    <xf numFmtId="3" fontId="30" fillId="3" borderId="1" xfId="0" applyNumberFormat="1" applyFont="1" applyFill="1" applyBorder="1" applyAlignment="1">
      <alignment horizontal="center"/>
    </xf>
    <xf numFmtId="3" fontId="7" fillId="0" borderId="0" xfId="0" applyNumberFormat="1" applyFont="1" applyAlignment="1">
      <alignment horizontal="center" vertical="center"/>
    </xf>
    <xf numFmtId="3" fontId="53" fillId="7" borderId="1" xfId="0" applyNumberFormat="1" applyFont="1" applyFill="1" applyBorder="1" applyAlignment="1" applyProtection="1">
      <alignment horizontal="center"/>
      <protection locked="0"/>
    </xf>
    <xf numFmtId="0" fontId="96" fillId="0" borderId="0" xfId="0" applyFont="1"/>
    <xf numFmtId="0" fontId="28" fillId="0" borderId="0" xfId="2" applyFill="1" applyAlignment="1">
      <alignment vertical="center"/>
    </xf>
    <xf numFmtId="0" fontId="0" fillId="0" borderId="0" xfId="0" applyFont="1" applyAlignment="1">
      <alignment horizontal="right"/>
    </xf>
    <xf numFmtId="0" fontId="0" fillId="30" borderId="0" xfId="0" applyFont="1" applyFill="1"/>
    <xf numFmtId="3" fontId="30" fillId="30" borderId="0" xfId="0" applyNumberFormat="1" applyFont="1" applyFill="1" applyAlignment="1">
      <alignment horizontal="center"/>
    </xf>
    <xf numFmtId="3" fontId="30" fillId="30" borderId="0" xfId="0" applyNumberFormat="1" applyFont="1" applyFill="1" applyBorder="1" applyAlignment="1">
      <alignment horizontal="center" vertical="center"/>
    </xf>
    <xf numFmtId="3" fontId="34" fillId="0" borderId="0" xfId="0" applyNumberFormat="1" applyFont="1" applyAlignment="1">
      <alignment horizontal="center"/>
    </xf>
    <xf numFmtId="3" fontId="34" fillId="0" borderId="0" xfId="0" applyNumberFormat="1" applyFont="1" applyAlignment="1">
      <alignment horizontal="center" vertical="center"/>
    </xf>
    <xf numFmtId="3" fontId="55" fillId="0" borderId="0" xfId="0" applyNumberFormat="1" applyFont="1"/>
    <xf numFmtId="3" fontId="83" fillId="2" borderId="1" xfId="0" applyNumberFormat="1" applyFont="1" applyFill="1" applyBorder="1" applyAlignment="1" applyProtection="1">
      <alignment horizontal="left" vertical="center"/>
      <protection locked="0"/>
    </xf>
    <xf numFmtId="3" fontId="83" fillId="2" borderId="1" xfId="0" applyNumberFormat="1" applyFont="1" applyFill="1" applyBorder="1" applyAlignment="1" applyProtection="1">
      <alignment horizontal="center" vertical="center"/>
      <protection locked="0"/>
    </xf>
    <xf numFmtId="3" fontId="83" fillId="2" borderId="1" xfId="0" applyNumberFormat="1" applyFont="1" applyFill="1" applyBorder="1" applyAlignment="1" applyProtection="1">
      <alignment horizontal="center"/>
      <protection locked="0"/>
    </xf>
    <xf numFmtId="3" fontId="30" fillId="2" borderId="1" xfId="0" applyNumberFormat="1" applyFont="1" applyFill="1" applyBorder="1" applyAlignment="1" applyProtection="1">
      <alignment horizontal="center"/>
      <protection locked="0"/>
    </xf>
    <xf numFmtId="3" fontId="32" fillId="2" borderId="1" xfId="0" applyNumberFormat="1" applyFont="1" applyFill="1" applyBorder="1" applyAlignment="1" applyProtection="1">
      <alignment horizontal="center" vertical="center"/>
      <protection locked="0"/>
    </xf>
    <xf numFmtId="3" fontId="56" fillId="2" borderId="1" xfId="0" applyNumberFormat="1" applyFont="1" applyFill="1" applyBorder="1" applyAlignment="1" applyProtection="1">
      <alignment horizontal="center" vertical="center"/>
      <protection locked="0"/>
    </xf>
    <xf numFmtId="3" fontId="56" fillId="0" borderId="1" xfId="0" applyNumberFormat="1" applyFont="1" applyFill="1" applyBorder="1" applyAlignment="1">
      <alignment horizontal="center" vertical="center"/>
    </xf>
    <xf numFmtId="0" fontId="95" fillId="3" borderId="1" xfId="0" applyFont="1" applyFill="1" applyBorder="1" applyProtection="1">
      <protection locked="0"/>
    </xf>
    <xf numFmtId="3" fontId="34" fillId="0" borderId="1" xfId="0" applyNumberFormat="1" applyFont="1" applyFill="1" applyBorder="1" applyAlignment="1" applyProtection="1">
      <alignment horizontal="center" vertical="center"/>
      <protection locked="0"/>
    </xf>
    <xf numFmtId="3" fontId="7" fillId="31" borderId="1" xfId="0" applyNumberFormat="1" applyFont="1" applyFill="1" applyBorder="1" applyAlignment="1">
      <alignment horizontal="center"/>
    </xf>
    <xf numFmtId="0" fontId="40" fillId="0" borderId="0" xfId="2" applyFont="1" applyAlignment="1">
      <alignment vertical="center"/>
    </xf>
    <xf numFmtId="0" fontId="40" fillId="0" borderId="0" xfId="2" applyFont="1" applyAlignment="1">
      <alignment horizontal="center" vertical="center"/>
    </xf>
    <xf numFmtId="170" fontId="92" fillId="0" borderId="0" xfId="2" applyNumberFormat="1" applyFont="1" applyAlignment="1">
      <alignment vertical="center" wrapText="1"/>
    </xf>
    <xf numFmtId="0" fontId="30" fillId="0" borderId="0" xfId="2" applyFont="1" applyAlignment="1"/>
    <xf numFmtId="0" fontId="30" fillId="0" borderId="0" xfId="2" applyFont="1" applyAlignment="1">
      <alignment horizontal="center"/>
    </xf>
    <xf numFmtId="0" fontId="48" fillId="0" borderId="15" xfId="0" applyFont="1" applyFill="1" applyBorder="1" applyAlignment="1">
      <alignment horizontal="center" vertical="center"/>
    </xf>
    <xf numFmtId="3" fontId="83" fillId="34" borderId="1" xfId="0" applyNumberFormat="1" applyFont="1" applyFill="1" applyBorder="1" applyAlignment="1" applyProtection="1">
      <alignment horizontal="center" vertical="center"/>
      <protection locked="0"/>
    </xf>
    <xf numFmtId="3" fontId="83" fillId="34" borderId="1" xfId="0" applyNumberFormat="1" applyFont="1" applyFill="1" applyBorder="1" applyAlignment="1" applyProtection="1">
      <alignment horizontal="center"/>
      <protection locked="0"/>
    </xf>
    <xf numFmtId="3" fontId="8" fillId="34" borderId="1" xfId="0" applyNumberFormat="1" applyFont="1" applyFill="1" applyBorder="1" applyAlignment="1" applyProtection="1">
      <alignment horizontal="center"/>
      <protection locked="0"/>
    </xf>
    <xf numFmtId="3" fontId="8" fillId="34" borderId="1" xfId="0" applyNumberFormat="1" applyFont="1" applyFill="1" applyBorder="1" applyAlignment="1">
      <alignment horizontal="center"/>
    </xf>
    <xf numFmtId="3" fontId="32" fillId="7" borderId="1" xfId="0" applyNumberFormat="1" applyFont="1" applyFill="1" applyBorder="1" applyAlignment="1" applyProtection="1">
      <alignment horizontal="center"/>
      <protection locked="0"/>
    </xf>
    <xf numFmtId="3" fontId="97" fillId="3" borderId="3" xfId="0" applyNumberFormat="1" applyFont="1" applyFill="1" applyBorder="1" applyAlignment="1" applyProtection="1">
      <alignment horizontal="center" vertical="center"/>
      <protection locked="0"/>
    </xf>
    <xf numFmtId="3" fontId="97" fillId="0" borderId="1" xfId="0" applyNumberFormat="1" applyFont="1" applyFill="1" applyBorder="1" applyAlignment="1" applyProtection="1">
      <alignment horizontal="center" vertical="center" wrapText="1"/>
      <protection locked="0"/>
    </xf>
    <xf numFmtId="3" fontId="97" fillId="0" borderId="1" xfId="0" applyNumberFormat="1" applyFont="1" applyFill="1" applyBorder="1" applyAlignment="1" applyProtection="1">
      <alignment horizontal="center" vertical="center"/>
      <protection locked="0"/>
    </xf>
    <xf numFmtId="3" fontId="97" fillId="3" borderId="1" xfId="0" applyNumberFormat="1" applyFont="1" applyFill="1" applyBorder="1" applyAlignment="1" applyProtection="1">
      <alignment horizontal="center" vertical="center"/>
      <protection locked="0"/>
    </xf>
    <xf numFmtId="3" fontId="97" fillId="0" borderId="1" xfId="0" applyNumberFormat="1" applyFont="1" applyFill="1" applyBorder="1" applyAlignment="1">
      <alignment horizontal="center" vertical="center"/>
    </xf>
    <xf numFmtId="3" fontId="98" fillId="3" borderId="3" xfId="0" applyNumberFormat="1" applyFont="1" applyFill="1" applyBorder="1" applyAlignment="1" applyProtection="1">
      <alignment horizontal="center" vertical="center"/>
      <protection locked="0"/>
    </xf>
    <xf numFmtId="3" fontId="98" fillId="0" borderId="1" xfId="0" applyNumberFormat="1" applyFont="1" applyFill="1" applyBorder="1" applyAlignment="1" applyProtection="1">
      <alignment horizontal="center" vertical="center" wrapText="1"/>
      <protection locked="0"/>
    </xf>
    <xf numFmtId="3" fontId="98" fillId="0" borderId="1" xfId="0" applyNumberFormat="1" applyFont="1" applyFill="1" applyBorder="1" applyAlignment="1">
      <alignment horizontal="center" vertical="center"/>
    </xf>
    <xf numFmtId="3" fontId="98" fillId="34" borderId="1" xfId="0" applyNumberFormat="1" applyFont="1" applyFill="1" applyBorder="1" applyAlignment="1" applyProtection="1">
      <alignment horizontal="center" vertical="center"/>
      <protection locked="0"/>
    </xf>
    <xf numFmtId="3" fontId="98" fillId="0" borderId="1" xfId="0" applyNumberFormat="1" applyFont="1" applyFill="1" applyBorder="1" applyAlignment="1" applyProtection="1">
      <alignment horizontal="center" vertical="center"/>
      <protection locked="0"/>
    </xf>
    <xf numFmtId="3" fontId="98" fillId="3" borderId="1" xfId="0" applyNumberFormat="1" applyFont="1" applyFill="1" applyBorder="1" applyAlignment="1" applyProtection="1">
      <alignment horizontal="center" vertical="center"/>
      <protection locked="0"/>
    </xf>
    <xf numFmtId="3" fontId="98" fillId="0" borderId="3" xfId="0" applyNumberFormat="1" applyFont="1" applyFill="1" applyBorder="1" applyAlignment="1" applyProtection="1">
      <alignment horizontal="center" vertical="center" wrapText="1"/>
      <protection locked="0"/>
    </xf>
    <xf numFmtId="3" fontId="98" fillId="0" borderId="3" xfId="0" applyNumberFormat="1" applyFont="1" applyFill="1" applyBorder="1" applyAlignment="1" applyProtection="1">
      <alignment horizontal="center" vertical="center"/>
      <protection locked="0"/>
    </xf>
    <xf numFmtId="3" fontId="98" fillId="3" borderId="1" xfId="0" applyNumberFormat="1" applyFont="1" applyFill="1" applyBorder="1" applyAlignment="1">
      <alignment horizontal="center" vertical="center"/>
    </xf>
    <xf numFmtId="3" fontId="98" fillId="0" borderId="3" xfId="0" applyNumberFormat="1" applyFont="1" applyFill="1" applyBorder="1" applyAlignment="1">
      <alignment horizontal="center" vertical="center"/>
    </xf>
    <xf numFmtId="3" fontId="98" fillId="3" borderId="3" xfId="0" applyNumberFormat="1" applyFont="1" applyFill="1" applyBorder="1" applyAlignment="1" applyProtection="1">
      <alignment horizontal="left" vertical="center"/>
      <protection locked="0"/>
    </xf>
    <xf numFmtId="0" fontId="100" fillId="7" borderId="0" xfId="0" applyFont="1" applyFill="1" applyBorder="1" applyAlignment="1">
      <alignment horizontal="center" vertical="center"/>
    </xf>
    <xf numFmtId="3" fontId="59" fillId="11" borderId="1" xfId="0" applyNumberFormat="1" applyFont="1" applyFill="1" applyBorder="1" applyAlignment="1">
      <alignment horizontal="center" vertical="center"/>
    </xf>
    <xf numFmtId="3" fontId="101" fillId="11" borderId="1" xfId="0" applyNumberFormat="1" applyFont="1" applyFill="1" applyBorder="1" applyAlignment="1" applyProtection="1">
      <alignment horizontal="center" vertical="center"/>
      <protection locked="0"/>
    </xf>
    <xf numFmtId="3" fontId="101" fillId="11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3" fontId="72" fillId="0" borderId="0" xfId="0" applyNumberFormat="1" applyFont="1" applyAlignment="1">
      <alignment horizontal="center" vertical="center"/>
    </xf>
    <xf numFmtId="3" fontId="102" fillId="0" borderId="0" xfId="0" applyNumberFormat="1" applyFont="1" applyAlignment="1">
      <alignment horizontal="center" vertical="center"/>
    </xf>
    <xf numFmtId="0" fontId="0" fillId="3" borderId="1" xfId="0" applyFill="1" applyBorder="1"/>
    <xf numFmtId="0" fontId="38" fillId="3" borderId="1" xfId="0" applyFont="1" applyFill="1" applyBorder="1" applyAlignment="1">
      <alignment horizontal="center"/>
    </xf>
    <xf numFmtId="3" fontId="35" fillId="3" borderId="1" xfId="0" applyNumberFormat="1" applyFont="1" applyFill="1" applyBorder="1" applyAlignment="1">
      <alignment horizontal="left" vertical="center"/>
    </xf>
    <xf numFmtId="3" fontId="37" fillId="3" borderId="1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3" fontId="31" fillId="3" borderId="1" xfId="0" applyNumberFormat="1" applyFont="1" applyFill="1" applyBorder="1" applyAlignment="1">
      <alignment horizontal="center" vertical="center"/>
    </xf>
    <xf numFmtId="3" fontId="31" fillId="35" borderId="1" xfId="0" applyNumberFormat="1" applyFont="1" applyFill="1" applyBorder="1" applyAlignment="1">
      <alignment vertical="center"/>
    </xf>
    <xf numFmtId="3" fontId="8" fillId="3" borderId="1" xfId="0" applyNumberFormat="1" applyFont="1" applyFill="1" applyBorder="1" applyAlignment="1">
      <alignment horizontal="center" vertical="center" wrapText="1"/>
    </xf>
    <xf numFmtId="3" fontId="31" fillId="3" borderId="1" xfId="0" applyNumberFormat="1" applyFont="1" applyFill="1" applyBorder="1" applyAlignment="1">
      <alignment horizontal="center" vertical="center" wrapText="1"/>
    </xf>
    <xf numFmtId="3" fontId="7" fillId="7" borderId="1" xfId="0" applyNumberFormat="1" applyFont="1" applyFill="1" applyBorder="1" applyAlignment="1" applyProtection="1">
      <alignment horizontal="center"/>
      <protection locked="0"/>
    </xf>
    <xf numFmtId="3" fontId="34" fillId="7" borderId="1" xfId="0" applyNumberFormat="1" applyFont="1" applyFill="1" applyBorder="1" applyAlignment="1" applyProtection="1">
      <alignment horizontal="center"/>
      <protection locked="0"/>
    </xf>
    <xf numFmtId="171" fontId="88" fillId="0" borderId="15" xfId="8" applyNumberFormat="1" applyFont="1" applyFill="1" applyBorder="1" applyAlignment="1">
      <alignment horizontal="center" vertical="center"/>
    </xf>
    <xf numFmtId="0" fontId="88" fillId="0" borderId="0" xfId="0" applyFont="1"/>
    <xf numFmtId="0" fontId="88" fillId="36" borderId="14" xfId="0" applyFont="1" applyFill="1" applyBorder="1" applyAlignment="1">
      <alignment horizontal="center"/>
    </xf>
    <xf numFmtId="171" fontId="88" fillId="0" borderId="14" xfId="8" applyNumberFormat="1" applyFont="1" applyBorder="1" applyAlignment="1"/>
    <xf numFmtId="0" fontId="40" fillId="36" borderId="14" xfId="2" applyFont="1" applyFill="1" applyBorder="1" applyAlignment="1">
      <alignment horizontal="center" vertical="center" wrapText="1"/>
    </xf>
    <xf numFmtId="0" fontId="96" fillId="0" borderId="0" xfId="0" applyNumberFormat="1" applyFont="1"/>
    <xf numFmtId="171" fontId="88" fillId="0" borderId="14" xfId="8" applyNumberFormat="1" applyFont="1" applyFill="1" applyBorder="1" applyAlignment="1">
      <alignment horizontal="center" vertical="center"/>
    </xf>
    <xf numFmtId="17" fontId="103" fillId="0" borderId="0" xfId="0" applyNumberFormat="1" applyFont="1" applyBorder="1" applyAlignment="1">
      <alignment horizontal="center" vertical="center"/>
    </xf>
    <xf numFmtId="3" fontId="30" fillId="34" borderId="1" xfId="0" applyNumberFormat="1" applyFont="1" applyFill="1" applyBorder="1" applyAlignment="1" applyProtection="1">
      <alignment horizontal="center"/>
      <protection locked="0"/>
    </xf>
    <xf numFmtId="171" fontId="88" fillId="0" borderId="18" xfId="8" applyNumberFormat="1" applyFont="1" applyFill="1" applyBorder="1" applyAlignment="1">
      <alignment horizontal="center" vertical="center"/>
    </xf>
    <xf numFmtId="0" fontId="40" fillId="0" borderId="14" xfId="2" applyFont="1" applyFill="1" applyBorder="1" applyAlignment="1">
      <alignment vertical="center"/>
    </xf>
    <xf numFmtId="171" fontId="95" fillId="7" borderId="15" xfId="8" applyNumberFormat="1" applyFont="1" applyFill="1" applyBorder="1" applyAlignment="1">
      <alignment horizontal="center" vertical="center"/>
    </xf>
    <xf numFmtId="0" fontId="40" fillId="2" borderId="14" xfId="2" applyFont="1" applyFill="1" applyBorder="1" applyAlignment="1">
      <alignment vertical="center"/>
    </xf>
    <xf numFmtId="171" fontId="95" fillId="2" borderId="14" xfId="8" applyNumberFormat="1" applyFont="1" applyFill="1" applyBorder="1" applyAlignment="1">
      <alignment horizontal="center" vertical="center"/>
    </xf>
    <xf numFmtId="171" fontId="88" fillId="2" borderId="14" xfId="8" applyNumberFormat="1" applyFont="1" applyFill="1" applyBorder="1" applyAlignment="1">
      <alignment horizontal="center" vertical="center"/>
    </xf>
    <xf numFmtId="3" fontId="36" fillId="34" borderId="1" xfId="0" applyNumberFormat="1" applyFont="1" applyFill="1" applyBorder="1" applyAlignment="1" applyProtection="1">
      <alignment horizontal="left" vertical="center"/>
      <protection locked="0"/>
    </xf>
    <xf numFmtId="3" fontId="36" fillId="34" borderId="3" xfId="0" applyNumberFormat="1" applyFont="1" applyFill="1" applyBorder="1" applyAlignment="1" applyProtection="1">
      <alignment horizontal="left" vertical="center"/>
      <protection locked="0"/>
    </xf>
    <xf numFmtId="3" fontId="98" fillId="0" borderId="1" xfId="0" applyNumberFormat="1" applyFont="1" applyFill="1" applyBorder="1" applyAlignment="1">
      <alignment horizontal="center" vertical="center" wrapText="1"/>
    </xf>
    <xf numFmtId="0" fontId="88" fillId="0" borderId="13" xfId="0" applyFont="1" applyFill="1" applyBorder="1" applyAlignment="1">
      <alignment horizontal="center" vertical="center"/>
    </xf>
    <xf numFmtId="0" fontId="88" fillId="0" borderId="15" xfId="0" applyFont="1" applyFill="1" applyBorder="1" applyAlignment="1">
      <alignment horizontal="center" vertical="center"/>
    </xf>
    <xf numFmtId="0" fontId="94" fillId="20" borderId="13" xfId="0" applyFont="1" applyFill="1" applyBorder="1" applyAlignment="1">
      <alignment horizontal="center" vertical="center"/>
    </xf>
    <xf numFmtId="3" fontId="30" fillId="0" borderId="0" xfId="0" applyNumberFormat="1" applyFont="1" applyAlignment="1">
      <alignment horizontal="left" vertical="center"/>
    </xf>
    <xf numFmtId="3" fontId="83" fillId="0" borderId="1" xfId="0" applyNumberFormat="1" applyFont="1" applyFill="1" applyBorder="1" applyAlignment="1" applyProtection="1">
      <alignment horizontal="center" wrapText="1"/>
      <protection locked="0"/>
    </xf>
    <xf numFmtId="0" fontId="105" fillId="21" borderId="14" xfId="0" applyFont="1" applyFill="1" applyBorder="1" applyAlignment="1">
      <alignment horizontal="center" vertical="center"/>
    </xf>
    <xf numFmtId="0" fontId="104" fillId="0" borderId="14" xfId="0" applyFont="1" applyFill="1" applyBorder="1" applyAlignment="1">
      <alignment horizontal="center" vertical="center"/>
    </xf>
    <xf numFmtId="0" fontId="104" fillId="0" borderId="16" xfId="0" applyFont="1" applyFill="1" applyBorder="1" applyAlignment="1">
      <alignment horizontal="center" vertical="center"/>
    </xf>
    <xf numFmtId="0" fontId="104" fillId="31" borderId="14" xfId="0" applyFont="1" applyFill="1" applyBorder="1" applyAlignment="1">
      <alignment horizontal="center" vertical="center"/>
    </xf>
    <xf numFmtId="0" fontId="104" fillId="0" borderId="16" xfId="0" applyFont="1" applyBorder="1" applyAlignment="1">
      <alignment horizontal="center" vertical="center"/>
    </xf>
    <xf numFmtId="0" fontId="104" fillId="7" borderId="16" xfId="0" applyFont="1" applyFill="1" applyBorder="1" applyAlignment="1">
      <alignment horizontal="center" vertical="center"/>
    </xf>
    <xf numFmtId="0" fontId="104" fillId="7" borderId="15" xfId="0" applyFont="1" applyFill="1" applyBorder="1" applyAlignment="1">
      <alignment horizontal="center" vertical="center"/>
    </xf>
    <xf numFmtId="0" fontId="104" fillId="0" borderId="15" xfId="0" applyFont="1" applyFill="1" applyBorder="1" applyAlignment="1">
      <alignment horizontal="center" vertical="center"/>
    </xf>
    <xf numFmtId="0" fontId="104" fillId="0" borderId="15" xfId="0" applyFont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31" borderId="14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0" fontId="104" fillId="15" borderId="14" xfId="0" applyFont="1" applyFill="1" applyBorder="1" applyAlignment="1">
      <alignment horizontal="center" vertical="center"/>
    </xf>
    <xf numFmtId="0" fontId="105" fillId="21" borderId="15" xfId="0" applyFont="1" applyFill="1" applyBorder="1" applyAlignment="1">
      <alignment horizontal="center" vertical="center"/>
    </xf>
    <xf numFmtId="0" fontId="104" fillId="15" borderId="15" xfId="0" applyFont="1" applyFill="1" applyBorder="1" applyAlignment="1">
      <alignment horizontal="center" vertical="center"/>
    </xf>
    <xf numFmtId="0" fontId="104" fillId="31" borderId="15" xfId="0" applyFont="1" applyFill="1" applyBorder="1" applyAlignment="1">
      <alignment horizontal="center" vertical="center"/>
    </xf>
    <xf numFmtId="0" fontId="105" fillId="27" borderId="14" xfId="0" applyFont="1" applyFill="1" applyBorder="1" applyAlignment="1">
      <alignment horizontal="center" vertical="center"/>
    </xf>
    <xf numFmtId="0" fontId="104" fillId="26" borderId="14" xfId="0" applyFont="1" applyFill="1" applyBorder="1" applyAlignment="1">
      <alignment horizontal="center" vertical="center"/>
    </xf>
    <xf numFmtId="0" fontId="7" fillId="0" borderId="14" xfId="9" applyFont="1" applyFill="1" applyBorder="1" applyAlignment="1">
      <alignment horizontal="center" vertical="center"/>
    </xf>
    <xf numFmtId="0" fontId="104" fillId="26" borderId="15" xfId="0" applyFont="1" applyFill="1" applyBorder="1" applyAlignment="1">
      <alignment horizontal="center" vertical="center"/>
    </xf>
    <xf numFmtId="0" fontId="104" fillId="33" borderId="14" xfId="0" applyFont="1" applyFill="1" applyBorder="1" applyAlignment="1">
      <alignment horizontal="center" vertical="center"/>
    </xf>
    <xf numFmtId="0" fontId="30" fillId="39" borderId="15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  <xf numFmtId="0" fontId="104" fillId="28" borderId="15" xfId="0" applyFont="1" applyFill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 wrapText="1"/>
    </xf>
    <xf numFmtId="0" fontId="105" fillId="37" borderId="15" xfId="0" applyFont="1" applyFill="1" applyBorder="1" applyAlignment="1">
      <alignment horizontal="center" vertical="center"/>
    </xf>
    <xf numFmtId="0" fontId="105" fillId="22" borderId="15" xfId="0" applyFont="1" applyFill="1" applyBorder="1" applyAlignment="1">
      <alignment horizontal="center" vertical="center"/>
    </xf>
    <xf numFmtId="0" fontId="104" fillId="38" borderId="15" xfId="0" applyFont="1" applyFill="1" applyBorder="1" applyAlignment="1">
      <alignment horizontal="center" vertical="center"/>
    </xf>
    <xf numFmtId="0" fontId="7" fillId="0" borderId="14" xfId="11" applyFont="1" applyFill="1" applyBorder="1" applyAlignment="1">
      <alignment horizontal="center" vertical="center"/>
    </xf>
    <xf numFmtId="0" fontId="88" fillId="0" borderId="15" xfId="0" applyFont="1" applyBorder="1" applyAlignment="1">
      <alignment horizontal="center" vertical="center"/>
    </xf>
    <xf numFmtId="0" fontId="96" fillId="0" borderId="0" xfId="0" pivotButton="1" applyFont="1"/>
    <xf numFmtId="3" fontId="30" fillId="7" borderId="0" xfId="0" applyNumberFormat="1" applyFont="1" applyFill="1" applyAlignment="1">
      <alignment horizontal="center" vertical="center"/>
    </xf>
    <xf numFmtId="3" fontId="56" fillId="34" borderId="1" xfId="0" applyNumberFormat="1" applyFont="1" applyFill="1" applyBorder="1" applyAlignment="1">
      <alignment horizontal="center" vertical="center"/>
    </xf>
    <xf numFmtId="0" fontId="94" fillId="20" borderId="15" xfId="0" applyFont="1" applyFill="1" applyBorder="1" applyAlignment="1">
      <alignment horizontal="center" vertical="center"/>
    </xf>
    <xf numFmtId="0" fontId="88" fillId="0" borderId="14" xfId="0" applyFont="1" applyFill="1" applyBorder="1" applyAlignment="1">
      <alignment horizontal="center" vertical="center"/>
    </xf>
    <xf numFmtId="3" fontId="34" fillId="0" borderId="3" xfId="0" applyNumberFormat="1" applyFont="1" applyFill="1" applyBorder="1" applyAlignment="1" applyProtection="1">
      <alignment horizontal="center" vertical="center"/>
      <protection locked="0"/>
    </xf>
    <xf numFmtId="0" fontId="88" fillId="15" borderId="15" xfId="0" applyFont="1" applyFill="1" applyBorder="1" applyAlignment="1">
      <alignment horizontal="center" vertical="center"/>
    </xf>
    <xf numFmtId="17" fontId="4" fillId="0" borderId="0" xfId="6" applyNumberFormat="1">
      <alignment vertical="center"/>
    </xf>
    <xf numFmtId="0" fontId="31" fillId="19" borderId="14" xfId="2" applyFont="1" applyFill="1" applyBorder="1" applyAlignment="1">
      <alignment horizontal="center" vertical="center" wrapText="1"/>
    </xf>
    <xf numFmtId="0" fontId="31" fillId="7" borderId="14" xfId="2" applyFont="1" applyFill="1" applyBorder="1" applyAlignment="1">
      <alignment horizontal="center" vertical="center" wrapText="1"/>
    </xf>
    <xf numFmtId="0" fontId="30" fillId="0" borderId="14" xfId="2" applyFont="1" applyFill="1" applyBorder="1" applyAlignment="1">
      <alignment horizontal="center" vertical="center"/>
    </xf>
    <xf numFmtId="0" fontId="104" fillId="0" borderId="14" xfId="2" applyFont="1" applyFill="1" applyBorder="1" applyAlignment="1">
      <alignment vertical="center"/>
    </xf>
    <xf numFmtId="0" fontId="7" fillId="0" borderId="14" xfId="2" applyFont="1" applyFill="1" applyBorder="1" applyAlignment="1">
      <alignment horizontal="center" vertical="center"/>
    </xf>
    <xf numFmtId="0" fontId="7" fillId="0" borderId="18" xfId="2" applyFont="1" applyFill="1" applyBorder="1" applyAlignment="1">
      <alignment horizontal="center" vertical="center"/>
    </xf>
    <xf numFmtId="0" fontId="105" fillId="21" borderId="14" xfId="2" applyFont="1" applyFill="1" applyBorder="1" applyAlignment="1">
      <alignment horizontal="center" vertical="center"/>
    </xf>
    <xf numFmtId="0" fontId="104" fillId="0" borderId="14" xfId="2" applyFont="1" applyFill="1" applyBorder="1" applyAlignment="1">
      <alignment horizontal="center" vertical="center"/>
    </xf>
    <xf numFmtId="0" fontId="104" fillId="9" borderId="14" xfId="2" applyFont="1" applyFill="1" applyBorder="1" applyAlignment="1">
      <alignment horizontal="center" vertical="center"/>
    </xf>
    <xf numFmtId="0" fontId="104" fillId="0" borderId="18" xfId="2" applyFont="1" applyFill="1" applyBorder="1" applyAlignment="1">
      <alignment horizontal="center" vertical="center"/>
    </xf>
    <xf numFmtId="0" fontId="104" fillId="0" borderId="18" xfId="2" applyFont="1" applyFill="1" applyBorder="1" applyAlignment="1">
      <alignment vertical="center"/>
    </xf>
    <xf numFmtId="0" fontId="104" fillId="0" borderId="16" xfId="2" applyFont="1" applyFill="1" applyBorder="1" applyAlignment="1">
      <alignment horizontal="center" vertical="center"/>
    </xf>
    <xf numFmtId="0" fontId="104" fillId="0" borderId="16" xfId="2" applyFont="1" applyFill="1" applyBorder="1" applyAlignment="1">
      <alignment vertical="center"/>
    </xf>
    <xf numFmtId="0" fontId="7" fillId="0" borderId="16" xfId="2" applyFont="1" applyFill="1" applyBorder="1" applyAlignment="1">
      <alignment horizontal="center" vertical="center"/>
    </xf>
    <xf numFmtId="0" fontId="7" fillId="0" borderId="16" xfId="7" applyFont="1" applyFill="1" applyBorder="1" applyAlignment="1">
      <alignment horizontal="center" vertical="center"/>
    </xf>
    <xf numFmtId="0" fontId="7" fillId="0" borderId="14" xfId="7" applyFont="1" applyFill="1" applyBorder="1" applyAlignment="1">
      <alignment horizontal="center" vertical="center"/>
    </xf>
    <xf numFmtId="0" fontId="105" fillId="22" borderId="14" xfId="2" applyFont="1" applyFill="1" applyBorder="1" applyAlignment="1">
      <alignment horizontal="center" vertical="center"/>
    </xf>
    <xf numFmtId="0" fontId="105" fillId="23" borderId="14" xfId="2" applyFont="1" applyFill="1" applyBorder="1" applyAlignment="1">
      <alignment horizontal="center" vertical="center"/>
    </xf>
    <xf numFmtId="0" fontId="105" fillId="24" borderId="14" xfId="2" applyFont="1" applyFill="1" applyBorder="1" applyAlignment="1">
      <alignment horizontal="center" vertical="center"/>
    </xf>
    <xf numFmtId="0" fontId="30" fillId="25" borderId="14" xfId="2" applyFont="1" applyFill="1" applyBorder="1" applyAlignment="1">
      <alignment horizontal="center" vertical="center"/>
    </xf>
    <xf numFmtId="0" fontId="7" fillId="0" borderId="14" xfId="2" applyFont="1" applyFill="1" applyBorder="1" applyAlignment="1">
      <alignment vertical="center"/>
    </xf>
    <xf numFmtId="0" fontId="104" fillId="15" borderId="14" xfId="2" applyFont="1" applyFill="1" applyBorder="1" applyAlignment="1">
      <alignment horizontal="center" vertical="center"/>
    </xf>
    <xf numFmtId="0" fontId="104" fillId="26" borderId="14" xfId="2" applyFont="1" applyFill="1" applyBorder="1" applyAlignment="1">
      <alignment horizontal="center" vertical="center"/>
    </xf>
    <xf numFmtId="0" fontId="105" fillId="27" borderId="14" xfId="2" applyFont="1" applyFill="1" applyBorder="1" applyAlignment="1">
      <alignment horizontal="center" vertical="center"/>
    </xf>
    <xf numFmtId="0" fontId="105" fillId="5" borderId="14" xfId="2" applyFont="1" applyFill="1" applyBorder="1" applyAlignment="1">
      <alignment horizontal="center" vertical="center"/>
    </xf>
    <xf numFmtId="0" fontId="104" fillId="33" borderId="14" xfId="2" applyFont="1" applyFill="1" applyBorder="1" applyAlignment="1">
      <alignment horizontal="center" vertical="center"/>
    </xf>
    <xf numFmtId="0" fontId="7" fillId="0" borderId="15" xfId="2" applyFont="1" applyFill="1" applyBorder="1" applyAlignment="1">
      <alignment horizontal="center" vertical="center"/>
    </xf>
    <xf numFmtId="0" fontId="7" fillId="0" borderId="14" xfId="10" applyFont="1" applyFill="1" applyBorder="1" applyAlignment="1">
      <alignment horizontal="center" vertical="center"/>
    </xf>
    <xf numFmtId="0" fontId="104" fillId="28" borderId="14" xfId="2" applyFont="1" applyFill="1" applyBorder="1" applyAlignment="1">
      <alignment horizontal="center" vertical="center"/>
    </xf>
    <xf numFmtId="0" fontId="104" fillId="32" borderId="14" xfId="2" applyFont="1" applyFill="1" applyBorder="1" applyAlignment="1">
      <alignment horizontal="center" vertical="center"/>
    </xf>
    <xf numFmtId="0" fontId="7" fillId="0" borderId="14" xfId="2" applyFont="1" applyFill="1" applyBorder="1" applyAlignment="1">
      <alignment horizontal="left" vertical="center"/>
    </xf>
    <xf numFmtId="0" fontId="30" fillId="0" borderId="16" xfId="0" applyFont="1" applyBorder="1" applyAlignment="1">
      <alignment horizontal="center" vertical="center"/>
    </xf>
    <xf numFmtId="0" fontId="30" fillId="0" borderId="15" xfId="0" applyFont="1" applyBorder="1" applyAlignment="1">
      <alignment vertical="center"/>
    </xf>
    <xf numFmtId="0" fontId="30" fillId="7" borderId="15" xfId="0" applyFont="1" applyFill="1" applyBorder="1" applyAlignment="1">
      <alignment horizontal="center" vertical="center"/>
    </xf>
    <xf numFmtId="0" fontId="105" fillId="19" borderId="15" xfId="0" applyFont="1" applyFill="1" applyBorder="1" applyAlignment="1">
      <alignment horizontal="center" vertical="center"/>
    </xf>
    <xf numFmtId="0" fontId="30" fillId="0" borderId="15" xfId="0" applyFont="1" applyBorder="1" applyAlignment="1">
      <alignment horizontal="center" vertical="center"/>
    </xf>
    <xf numFmtId="0" fontId="30" fillId="31" borderId="17" xfId="0" applyFont="1" applyFill="1" applyBorder="1" applyAlignment="1">
      <alignment horizontal="center" vertical="center"/>
    </xf>
    <xf numFmtId="0" fontId="30" fillId="5" borderId="14" xfId="2" applyFont="1" applyFill="1" applyBorder="1" applyAlignment="1">
      <alignment horizontal="center" vertical="center"/>
    </xf>
    <xf numFmtId="0" fontId="30" fillId="29" borderId="14" xfId="2" applyFont="1" applyFill="1" applyBorder="1" applyAlignment="1">
      <alignment horizontal="center" vertical="center"/>
    </xf>
    <xf numFmtId="0" fontId="7" fillId="32" borderId="14" xfId="2" applyFont="1" applyFill="1" applyBorder="1" applyAlignment="1">
      <alignment horizontal="center" vertical="center"/>
    </xf>
    <xf numFmtId="0" fontId="95" fillId="7" borderId="15" xfId="0" applyFont="1" applyFill="1" applyBorder="1" applyAlignment="1">
      <alignment horizontal="center" vertical="center"/>
    </xf>
    <xf numFmtId="0" fontId="107" fillId="0" borderId="0" xfId="0" applyFont="1"/>
    <xf numFmtId="171" fontId="18" fillId="0" borderId="13" xfId="13" applyNumberFormat="1" applyFont="1" applyFill="1" applyBorder="1" applyAlignment="1">
      <alignment horizontal="center" vertical="center"/>
    </xf>
    <xf numFmtId="0" fontId="30" fillId="0" borderId="18" xfId="2" applyFont="1" applyFill="1" applyBorder="1" applyAlignment="1">
      <alignment horizontal="center" vertical="center"/>
    </xf>
    <xf numFmtId="0" fontId="7" fillId="0" borderId="22" xfId="0" applyFont="1" applyFill="1" applyBorder="1" applyAlignment="1">
      <alignment horizontal="center"/>
    </xf>
    <xf numFmtId="0" fontId="105" fillId="21" borderId="13" xfId="2" applyFont="1" applyFill="1" applyBorder="1" applyAlignment="1">
      <alignment horizontal="center" vertical="center"/>
    </xf>
    <xf numFmtId="0" fontId="104" fillId="0" borderId="23" xfId="2" applyFont="1" applyFill="1" applyBorder="1" applyAlignment="1">
      <alignment horizontal="center" vertical="center"/>
    </xf>
    <xf numFmtId="0" fontId="104" fillId="0" borderId="24" xfId="2" applyFont="1" applyFill="1" applyBorder="1" applyAlignment="1">
      <alignment horizontal="center" vertical="center"/>
    </xf>
    <xf numFmtId="0" fontId="7" fillId="0" borderId="24" xfId="2" applyFont="1" applyFill="1" applyBorder="1" applyAlignment="1">
      <alignment horizontal="center" vertical="center"/>
    </xf>
    <xf numFmtId="0" fontId="7" fillId="0" borderId="25" xfId="2" applyFont="1" applyFill="1" applyBorder="1" applyAlignment="1">
      <alignment horizontal="center" vertical="center"/>
    </xf>
    <xf numFmtId="0" fontId="7" fillId="0" borderId="26" xfId="2" applyFont="1" applyFill="1" applyBorder="1" applyAlignment="1">
      <alignment horizontal="center" vertical="center"/>
    </xf>
    <xf numFmtId="0" fontId="7" fillId="15" borderId="15" xfId="2" applyFont="1" applyFill="1" applyBorder="1" applyAlignment="1">
      <alignment horizontal="center" vertical="center"/>
    </xf>
    <xf numFmtId="0" fontId="7" fillId="15" borderId="14" xfId="10" applyFont="1" applyFill="1" applyBorder="1" applyAlignment="1">
      <alignment horizontal="center" vertical="center"/>
    </xf>
    <xf numFmtId="0" fontId="7" fillId="15" borderId="14" xfId="2" applyFont="1" applyFill="1" applyBorder="1" applyAlignment="1">
      <alignment horizontal="center" vertical="center"/>
    </xf>
    <xf numFmtId="0" fontId="7" fillId="15" borderId="14" xfId="7" applyFont="1" applyFill="1" applyBorder="1" applyAlignment="1">
      <alignment horizontal="center" vertical="center"/>
    </xf>
    <xf numFmtId="0" fontId="7" fillId="7" borderId="14" xfId="7" applyFont="1" applyFill="1" applyBorder="1" applyAlignment="1">
      <alignment horizontal="center" vertical="center"/>
    </xf>
    <xf numFmtId="0" fontId="30" fillId="15" borderId="15" xfId="0" applyFont="1" applyFill="1" applyBorder="1" applyAlignment="1">
      <alignment horizontal="center" vertical="center" wrapText="1"/>
    </xf>
    <xf numFmtId="0" fontId="30" fillId="15" borderId="15" xfId="0" applyFont="1" applyFill="1" applyBorder="1" applyAlignment="1">
      <alignment horizontal="center" vertical="center"/>
    </xf>
    <xf numFmtId="0" fontId="94" fillId="20" borderId="21" xfId="0" applyFont="1" applyFill="1" applyBorder="1" applyAlignment="1">
      <alignment horizontal="center" vertical="center"/>
    </xf>
    <xf numFmtId="17" fontId="18" fillId="0" borderId="14" xfId="0" applyNumberFormat="1" applyFont="1" applyFill="1" applyBorder="1" applyAlignment="1">
      <alignment horizontal="right"/>
    </xf>
    <xf numFmtId="0" fontId="18" fillId="0" borderId="14" xfId="0" applyFont="1" applyFill="1" applyBorder="1" applyAlignment="1">
      <alignment horizontal="right"/>
    </xf>
    <xf numFmtId="0" fontId="18" fillId="0" borderId="18" xfId="0" applyFont="1" applyFill="1" applyBorder="1" applyAlignment="1">
      <alignment horizontal="right"/>
    </xf>
    <xf numFmtId="0" fontId="88" fillId="0" borderId="17" xfId="0" applyFont="1" applyFill="1" applyBorder="1" applyAlignment="1">
      <alignment horizontal="center" vertical="center"/>
    </xf>
    <xf numFmtId="172" fontId="88" fillId="0" borderId="15" xfId="0" applyNumberFormat="1" applyFont="1" applyFill="1" applyBorder="1" applyAlignment="1">
      <alignment horizontal="center" vertical="center"/>
    </xf>
    <xf numFmtId="3" fontId="36" fillId="7" borderId="3" xfId="0" applyNumberFormat="1" applyFont="1" applyFill="1" applyBorder="1" applyAlignment="1" applyProtection="1">
      <alignment horizontal="center" vertical="center"/>
      <protection locked="0"/>
    </xf>
    <xf numFmtId="0" fontId="104" fillId="0" borderId="28" xfId="2" applyFont="1" applyFill="1" applyBorder="1" applyAlignment="1">
      <alignment horizontal="center" vertical="center"/>
    </xf>
    <xf numFmtId="0" fontId="7" fillId="3" borderId="15" xfId="2" applyFont="1" applyFill="1" applyBorder="1" applyAlignment="1">
      <alignment horizontal="center" vertical="center"/>
    </xf>
    <xf numFmtId="0" fontId="104" fillId="0" borderId="15" xfId="2" applyFont="1" applyFill="1" applyBorder="1" applyAlignment="1">
      <alignment horizontal="center" vertical="center"/>
    </xf>
    <xf numFmtId="0" fontId="88" fillId="15" borderId="14" xfId="0" applyFont="1" applyFill="1" applyBorder="1" applyAlignment="1">
      <alignment horizontal="center" vertical="center"/>
    </xf>
    <xf numFmtId="0" fontId="88" fillId="0" borderId="27" xfId="0" applyFont="1" applyFill="1" applyBorder="1" applyAlignment="1">
      <alignment horizontal="center" vertical="center"/>
    </xf>
    <xf numFmtId="0" fontId="88" fillId="0" borderId="26" xfId="0" applyFont="1" applyFill="1" applyBorder="1" applyAlignment="1">
      <alignment horizontal="center" vertical="center"/>
    </xf>
    <xf numFmtId="0" fontId="95" fillId="0" borderId="15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10" fontId="18" fillId="5" borderId="5" xfId="0" applyNumberFormat="1" applyFont="1" applyFill="1" applyBorder="1" applyAlignment="1">
      <alignment horizontal="center" vertical="center"/>
    </xf>
    <xf numFmtId="10" fontId="18" fillId="5" borderId="6" xfId="0" applyNumberFormat="1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10" fontId="18" fillId="5" borderId="7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1" fillId="5" borderId="2" xfId="0" applyFont="1" applyFill="1" applyBorder="1" applyAlignment="1">
      <alignment horizontal="center" vertical="center" wrapText="1"/>
    </xf>
    <xf numFmtId="0" fontId="61" fillId="5" borderId="3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left" vertical="center" wrapText="1"/>
    </xf>
    <xf numFmtId="3" fontId="30" fillId="7" borderId="0" xfId="0" applyNumberFormat="1" applyFont="1" applyFill="1" applyAlignment="1" applyProtection="1">
      <alignment horizontal="center" wrapText="1"/>
      <protection locked="0"/>
    </xf>
    <xf numFmtId="3" fontId="30" fillId="7" borderId="0" xfId="0" applyNumberFormat="1" applyFont="1" applyFill="1" applyAlignment="1" applyProtection="1">
      <alignment horizontal="center"/>
      <protection locked="0"/>
    </xf>
    <xf numFmtId="3" fontId="75" fillId="0" borderId="1" xfId="0" applyNumberFormat="1" applyFont="1" applyBorder="1" applyAlignment="1" applyProtection="1">
      <alignment horizontal="center"/>
      <protection locked="0"/>
    </xf>
    <xf numFmtId="0" fontId="48" fillId="15" borderId="20" xfId="0" applyFont="1" applyFill="1" applyBorder="1" applyAlignment="1">
      <alignment horizontal="center" vertical="center"/>
    </xf>
    <xf numFmtId="0" fontId="48" fillId="15" borderId="0" xfId="0" applyFont="1" applyFill="1" applyBorder="1" applyAlignment="1">
      <alignment horizontal="center" vertical="center"/>
    </xf>
  </cellXfs>
  <cellStyles count="14">
    <cellStyle name="Comma" xfId="8" builtinId="3"/>
    <cellStyle name="Hyperlink" xfId="5" builtinId="8"/>
    <cellStyle name="Normal" xfId="0" builtinId="0"/>
    <cellStyle name="Percent" xfId="4" builtinId="5"/>
    <cellStyle name="一般 2" xfId="1"/>
    <cellStyle name="一般 3" xfId="2"/>
    <cellStyle name="一般 3 2" xfId="7"/>
    <cellStyle name="一般 3 2 2" xfId="10"/>
    <cellStyle name="一般 3 2 2 2" xfId="12"/>
    <cellStyle name="一般 3 5" xfId="11"/>
    <cellStyle name="一般 3 6" xfId="9"/>
    <cellStyle name="一般 4" xfId="6"/>
    <cellStyle name="千分位 2" xfId="3"/>
    <cellStyle name="千分位 3" xfId="13"/>
  </cellStyles>
  <dxfs count="134"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67</xdr:row>
      <xdr:rowOff>0</xdr:rowOff>
    </xdr:from>
    <xdr:to>
      <xdr:col>22</xdr:col>
      <xdr:colOff>304800</xdr:colOff>
      <xdr:row>68</xdr:row>
      <xdr:rowOff>84124</xdr:rowOff>
    </xdr:to>
    <xdr:sp macro="" textlink="">
      <xdr:nvSpPr>
        <xdr:cNvPr id="2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3692513" y="14336973"/>
          <a:ext cx="304800" cy="28884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22</xdr:col>
      <xdr:colOff>0</xdr:colOff>
      <xdr:row>64</xdr:row>
      <xdr:rowOff>0</xdr:rowOff>
    </xdr:from>
    <xdr:to>
      <xdr:col>22</xdr:col>
      <xdr:colOff>304800</xdr:colOff>
      <xdr:row>65</xdr:row>
      <xdr:rowOff>84128</xdr:rowOff>
    </xdr:to>
    <xdr:sp macro="" textlink="">
      <xdr:nvSpPr>
        <xdr:cNvPr id="3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3692513" y="13313391"/>
          <a:ext cx="304800" cy="28884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22</xdr:col>
      <xdr:colOff>0</xdr:colOff>
      <xdr:row>65</xdr:row>
      <xdr:rowOff>0</xdr:rowOff>
    </xdr:from>
    <xdr:ext cx="304800" cy="290951"/>
    <xdr:sp macro="" textlink="">
      <xdr:nvSpPr>
        <xdr:cNvPr id="4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3692513" y="13518107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22</xdr:col>
      <xdr:colOff>0</xdr:colOff>
      <xdr:row>67</xdr:row>
      <xdr:rowOff>0</xdr:rowOff>
    </xdr:from>
    <xdr:ext cx="304800" cy="290951"/>
    <xdr:sp macro="" textlink="">
      <xdr:nvSpPr>
        <xdr:cNvPr id="5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3692513" y="14541690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22</xdr:col>
      <xdr:colOff>0</xdr:colOff>
      <xdr:row>67</xdr:row>
      <xdr:rowOff>0</xdr:rowOff>
    </xdr:from>
    <xdr:ext cx="304800" cy="290951"/>
    <xdr:sp macro="" textlink="">
      <xdr:nvSpPr>
        <xdr:cNvPr id="6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3692513" y="14951122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22</xdr:col>
      <xdr:colOff>0</xdr:colOff>
      <xdr:row>67</xdr:row>
      <xdr:rowOff>0</xdr:rowOff>
    </xdr:from>
    <xdr:ext cx="304800" cy="290951"/>
    <xdr:sp macro="" textlink="">
      <xdr:nvSpPr>
        <xdr:cNvPr id="7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3692513" y="14336973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22</xdr:col>
      <xdr:colOff>0</xdr:colOff>
      <xdr:row>67</xdr:row>
      <xdr:rowOff>0</xdr:rowOff>
    </xdr:from>
    <xdr:ext cx="304800" cy="290951"/>
    <xdr:sp macro="" textlink="">
      <xdr:nvSpPr>
        <xdr:cNvPr id="8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3692513" y="14746406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22</xdr:col>
      <xdr:colOff>0</xdr:colOff>
      <xdr:row>67</xdr:row>
      <xdr:rowOff>0</xdr:rowOff>
    </xdr:from>
    <xdr:ext cx="304800" cy="290951"/>
    <xdr:sp macro="" textlink="">
      <xdr:nvSpPr>
        <xdr:cNvPr id="9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3692513" y="13927540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22</xdr:col>
      <xdr:colOff>0</xdr:colOff>
      <xdr:row>66</xdr:row>
      <xdr:rowOff>0</xdr:rowOff>
    </xdr:from>
    <xdr:ext cx="304800" cy="290951"/>
    <xdr:sp macro="" textlink="">
      <xdr:nvSpPr>
        <xdr:cNvPr id="10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3692513" y="13722824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29</xdr:col>
      <xdr:colOff>0</xdr:colOff>
      <xdr:row>106</xdr:row>
      <xdr:rowOff>0</xdr:rowOff>
    </xdr:from>
    <xdr:to>
      <xdr:col>29</xdr:col>
      <xdr:colOff>304800</xdr:colOff>
      <xdr:row>107</xdr:row>
      <xdr:rowOff>88505</xdr:rowOff>
    </xdr:to>
    <xdr:sp macro="" textlink="">
      <xdr:nvSpPr>
        <xdr:cNvPr id="11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1795475"/>
          <a:ext cx="304800" cy="288844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29</xdr:col>
      <xdr:colOff>0</xdr:colOff>
      <xdr:row>99</xdr:row>
      <xdr:rowOff>0</xdr:rowOff>
    </xdr:from>
    <xdr:to>
      <xdr:col>29</xdr:col>
      <xdr:colOff>304800</xdr:colOff>
      <xdr:row>100</xdr:row>
      <xdr:rowOff>88506</xdr:rowOff>
    </xdr:to>
    <xdr:sp macro="" textlink="">
      <xdr:nvSpPr>
        <xdr:cNvPr id="12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362460"/>
          <a:ext cx="304800" cy="28884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29</xdr:col>
      <xdr:colOff>0</xdr:colOff>
      <xdr:row>108</xdr:row>
      <xdr:rowOff>0</xdr:rowOff>
    </xdr:from>
    <xdr:ext cx="304800" cy="289216"/>
    <xdr:sp macro="" textlink="">
      <xdr:nvSpPr>
        <xdr:cNvPr id="13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2204907"/>
          <a:ext cx="304800" cy="28921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108</xdr:row>
      <xdr:rowOff>0</xdr:rowOff>
    </xdr:from>
    <xdr:ext cx="304800" cy="289216"/>
    <xdr:sp macro="" textlink="">
      <xdr:nvSpPr>
        <xdr:cNvPr id="14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2204907"/>
          <a:ext cx="304800" cy="28921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100</xdr:row>
      <xdr:rowOff>0</xdr:rowOff>
    </xdr:from>
    <xdr:ext cx="304800" cy="290951"/>
    <xdr:sp macro="" textlink="">
      <xdr:nvSpPr>
        <xdr:cNvPr id="15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567176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107</xdr:row>
      <xdr:rowOff>0</xdr:rowOff>
    </xdr:from>
    <xdr:ext cx="304800" cy="290951"/>
    <xdr:sp macro="" textlink="">
      <xdr:nvSpPr>
        <xdr:cNvPr id="16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2000191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106</xdr:row>
      <xdr:rowOff>0</xdr:rowOff>
    </xdr:from>
    <xdr:ext cx="304800" cy="290951"/>
    <xdr:sp macro="" textlink="">
      <xdr:nvSpPr>
        <xdr:cNvPr id="17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1795475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108</xdr:row>
      <xdr:rowOff>0</xdr:rowOff>
    </xdr:from>
    <xdr:ext cx="304800" cy="290951"/>
    <xdr:sp macro="" textlink="">
      <xdr:nvSpPr>
        <xdr:cNvPr id="18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2204907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102</xdr:row>
      <xdr:rowOff>0</xdr:rowOff>
    </xdr:from>
    <xdr:ext cx="304800" cy="290951"/>
    <xdr:sp macro="" textlink="">
      <xdr:nvSpPr>
        <xdr:cNvPr id="19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976609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101</xdr:row>
      <xdr:rowOff>0</xdr:rowOff>
    </xdr:from>
    <xdr:ext cx="304800" cy="290951"/>
    <xdr:sp macro="" textlink="">
      <xdr:nvSpPr>
        <xdr:cNvPr id="20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771893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29</xdr:col>
      <xdr:colOff>0</xdr:colOff>
      <xdr:row>106</xdr:row>
      <xdr:rowOff>0</xdr:rowOff>
    </xdr:from>
    <xdr:to>
      <xdr:col>29</xdr:col>
      <xdr:colOff>304800</xdr:colOff>
      <xdr:row>107</xdr:row>
      <xdr:rowOff>88501</xdr:rowOff>
    </xdr:to>
    <xdr:sp macro="" textlink="">
      <xdr:nvSpPr>
        <xdr:cNvPr id="21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1795475"/>
          <a:ext cx="304800" cy="28884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29</xdr:col>
      <xdr:colOff>0</xdr:colOff>
      <xdr:row>99</xdr:row>
      <xdr:rowOff>0</xdr:rowOff>
    </xdr:from>
    <xdr:to>
      <xdr:col>29</xdr:col>
      <xdr:colOff>304800</xdr:colOff>
      <xdr:row>100</xdr:row>
      <xdr:rowOff>88504</xdr:rowOff>
    </xdr:to>
    <xdr:sp macro="" textlink="">
      <xdr:nvSpPr>
        <xdr:cNvPr id="22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362460"/>
          <a:ext cx="304800" cy="28884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29</xdr:col>
      <xdr:colOff>0</xdr:colOff>
      <xdr:row>108</xdr:row>
      <xdr:rowOff>0</xdr:rowOff>
    </xdr:from>
    <xdr:ext cx="304800" cy="289216"/>
    <xdr:sp macro="" textlink="">
      <xdr:nvSpPr>
        <xdr:cNvPr id="23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2204907"/>
          <a:ext cx="304800" cy="28921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108</xdr:row>
      <xdr:rowOff>0</xdr:rowOff>
    </xdr:from>
    <xdr:ext cx="304800" cy="289216"/>
    <xdr:sp macro="" textlink="">
      <xdr:nvSpPr>
        <xdr:cNvPr id="24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2204907"/>
          <a:ext cx="304800" cy="28921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100</xdr:row>
      <xdr:rowOff>0</xdr:rowOff>
    </xdr:from>
    <xdr:ext cx="304800" cy="290951"/>
    <xdr:sp macro="" textlink="">
      <xdr:nvSpPr>
        <xdr:cNvPr id="25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567176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107</xdr:row>
      <xdr:rowOff>0</xdr:rowOff>
    </xdr:from>
    <xdr:ext cx="304800" cy="290951"/>
    <xdr:sp macro="" textlink="">
      <xdr:nvSpPr>
        <xdr:cNvPr id="26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2000191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106</xdr:row>
      <xdr:rowOff>0</xdr:rowOff>
    </xdr:from>
    <xdr:ext cx="304800" cy="290951"/>
    <xdr:sp macro="" textlink="">
      <xdr:nvSpPr>
        <xdr:cNvPr id="27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1795475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102</xdr:row>
      <xdr:rowOff>0</xdr:rowOff>
    </xdr:from>
    <xdr:ext cx="304800" cy="290951"/>
    <xdr:sp macro="" textlink="">
      <xdr:nvSpPr>
        <xdr:cNvPr id="28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976609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100</xdr:row>
      <xdr:rowOff>0</xdr:rowOff>
    </xdr:from>
    <xdr:ext cx="304800" cy="291946"/>
    <xdr:sp macro="" textlink="">
      <xdr:nvSpPr>
        <xdr:cNvPr id="29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567176"/>
          <a:ext cx="304800" cy="29194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101</xdr:row>
      <xdr:rowOff>0</xdr:rowOff>
    </xdr:from>
    <xdr:ext cx="304800" cy="290951"/>
    <xdr:sp macro="" textlink="">
      <xdr:nvSpPr>
        <xdr:cNvPr id="30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771893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100</xdr:row>
      <xdr:rowOff>0</xdr:rowOff>
    </xdr:from>
    <xdr:ext cx="304800" cy="283701"/>
    <xdr:sp macro="" textlink="">
      <xdr:nvSpPr>
        <xdr:cNvPr id="31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567176"/>
          <a:ext cx="304800" cy="28370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101</xdr:row>
      <xdr:rowOff>0</xdr:rowOff>
    </xdr:from>
    <xdr:ext cx="304800" cy="290951"/>
    <xdr:sp macro="" textlink="">
      <xdr:nvSpPr>
        <xdr:cNvPr id="32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771893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100</xdr:row>
      <xdr:rowOff>0</xdr:rowOff>
    </xdr:from>
    <xdr:ext cx="304800" cy="283699"/>
    <xdr:sp macro="" textlink="">
      <xdr:nvSpPr>
        <xdr:cNvPr id="33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567176"/>
          <a:ext cx="304800" cy="283699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101</xdr:row>
      <xdr:rowOff>0</xdr:rowOff>
    </xdr:from>
    <xdr:ext cx="304800" cy="290951"/>
    <xdr:sp macro="" textlink="">
      <xdr:nvSpPr>
        <xdr:cNvPr id="34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771893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101</xdr:row>
      <xdr:rowOff>0</xdr:rowOff>
    </xdr:from>
    <xdr:ext cx="304800" cy="291946"/>
    <xdr:sp macro="" textlink="">
      <xdr:nvSpPr>
        <xdr:cNvPr id="35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444346" y="20771893"/>
          <a:ext cx="304800" cy="29194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29</xdr:col>
      <xdr:colOff>0</xdr:colOff>
      <xdr:row>110</xdr:row>
      <xdr:rowOff>0</xdr:rowOff>
    </xdr:from>
    <xdr:to>
      <xdr:col>29</xdr:col>
      <xdr:colOff>304800</xdr:colOff>
      <xdr:row>111</xdr:row>
      <xdr:rowOff>91187</xdr:rowOff>
    </xdr:to>
    <xdr:sp macro="" textlink="">
      <xdr:nvSpPr>
        <xdr:cNvPr id="36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573397"/>
          <a:ext cx="304800" cy="29590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29</xdr:col>
      <xdr:colOff>0</xdr:colOff>
      <xdr:row>103</xdr:row>
      <xdr:rowOff>0</xdr:rowOff>
    </xdr:from>
    <xdr:to>
      <xdr:col>29</xdr:col>
      <xdr:colOff>304800</xdr:colOff>
      <xdr:row>104</xdr:row>
      <xdr:rowOff>91187</xdr:rowOff>
    </xdr:to>
    <xdr:sp macro="" textlink="">
      <xdr:nvSpPr>
        <xdr:cNvPr id="37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140382"/>
          <a:ext cx="304800" cy="29590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29</xdr:col>
      <xdr:colOff>0</xdr:colOff>
      <xdr:row>112</xdr:row>
      <xdr:rowOff>0</xdr:rowOff>
    </xdr:from>
    <xdr:ext cx="304800" cy="289216"/>
    <xdr:sp macro="" textlink="">
      <xdr:nvSpPr>
        <xdr:cNvPr id="38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982830"/>
          <a:ext cx="304800" cy="28921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112</xdr:row>
      <xdr:rowOff>0</xdr:rowOff>
    </xdr:from>
    <xdr:ext cx="304800" cy="289216"/>
    <xdr:sp macro="" textlink="">
      <xdr:nvSpPr>
        <xdr:cNvPr id="39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982830"/>
          <a:ext cx="304800" cy="28921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104</xdr:row>
      <xdr:rowOff>0</xdr:rowOff>
    </xdr:from>
    <xdr:ext cx="304800" cy="290951"/>
    <xdr:sp macro="" textlink="">
      <xdr:nvSpPr>
        <xdr:cNvPr id="40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345099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111</xdr:row>
      <xdr:rowOff>0</xdr:rowOff>
    </xdr:from>
    <xdr:ext cx="304800" cy="290951"/>
    <xdr:sp macro="" textlink="">
      <xdr:nvSpPr>
        <xdr:cNvPr id="41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778113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114</xdr:row>
      <xdr:rowOff>0</xdr:rowOff>
    </xdr:from>
    <xdr:ext cx="304800" cy="290951"/>
    <xdr:sp macro="" textlink="">
      <xdr:nvSpPr>
        <xdr:cNvPr id="42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3392263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110</xdr:row>
      <xdr:rowOff>0</xdr:rowOff>
    </xdr:from>
    <xdr:ext cx="304800" cy="290951"/>
    <xdr:sp macro="" textlink="">
      <xdr:nvSpPr>
        <xdr:cNvPr id="43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573397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112</xdr:row>
      <xdr:rowOff>0</xdr:rowOff>
    </xdr:from>
    <xdr:ext cx="304800" cy="290951"/>
    <xdr:sp macro="" textlink="">
      <xdr:nvSpPr>
        <xdr:cNvPr id="44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982830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106</xdr:row>
      <xdr:rowOff>0</xdr:rowOff>
    </xdr:from>
    <xdr:ext cx="304800" cy="290951"/>
    <xdr:sp macro="" textlink="">
      <xdr:nvSpPr>
        <xdr:cNvPr id="45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754531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105</xdr:row>
      <xdr:rowOff>0</xdr:rowOff>
    </xdr:from>
    <xdr:ext cx="304800" cy="290951"/>
    <xdr:sp macro="" textlink="">
      <xdr:nvSpPr>
        <xdr:cNvPr id="46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549815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29</xdr:col>
      <xdr:colOff>0</xdr:colOff>
      <xdr:row>110</xdr:row>
      <xdr:rowOff>0</xdr:rowOff>
    </xdr:from>
    <xdr:to>
      <xdr:col>29</xdr:col>
      <xdr:colOff>304800</xdr:colOff>
      <xdr:row>111</xdr:row>
      <xdr:rowOff>91183</xdr:rowOff>
    </xdr:to>
    <xdr:sp macro="" textlink="">
      <xdr:nvSpPr>
        <xdr:cNvPr id="47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573397"/>
          <a:ext cx="304800" cy="295899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29</xdr:col>
      <xdr:colOff>0</xdr:colOff>
      <xdr:row>103</xdr:row>
      <xdr:rowOff>0</xdr:rowOff>
    </xdr:from>
    <xdr:to>
      <xdr:col>29</xdr:col>
      <xdr:colOff>304800</xdr:colOff>
      <xdr:row>104</xdr:row>
      <xdr:rowOff>91185</xdr:rowOff>
    </xdr:to>
    <xdr:sp macro="" textlink="">
      <xdr:nvSpPr>
        <xdr:cNvPr id="48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140382"/>
          <a:ext cx="304800" cy="29590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29</xdr:col>
      <xdr:colOff>0</xdr:colOff>
      <xdr:row>112</xdr:row>
      <xdr:rowOff>0</xdr:rowOff>
    </xdr:from>
    <xdr:ext cx="304800" cy="289216"/>
    <xdr:sp macro="" textlink="">
      <xdr:nvSpPr>
        <xdr:cNvPr id="49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982830"/>
          <a:ext cx="304800" cy="28921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112</xdr:row>
      <xdr:rowOff>0</xdr:rowOff>
    </xdr:from>
    <xdr:ext cx="304800" cy="289216"/>
    <xdr:sp macro="" textlink="">
      <xdr:nvSpPr>
        <xdr:cNvPr id="50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982830"/>
          <a:ext cx="304800" cy="28921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104</xdr:row>
      <xdr:rowOff>0</xdr:rowOff>
    </xdr:from>
    <xdr:ext cx="304800" cy="290951"/>
    <xdr:sp macro="" textlink="">
      <xdr:nvSpPr>
        <xdr:cNvPr id="51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345099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111</xdr:row>
      <xdr:rowOff>0</xdr:rowOff>
    </xdr:from>
    <xdr:ext cx="304800" cy="290951"/>
    <xdr:sp macro="" textlink="">
      <xdr:nvSpPr>
        <xdr:cNvPr id="52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778113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114</xdr:row>
      <xdr:rowOff>0</xdr:rowOff>
    </xdr:from>
    <xdr:ext cx="304800" cy="290951"/>
    <xdr:sp macro="" textlink="">
      <xdr:nvSpPr>
        <xdr:cNvPr id="53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3392263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110</xdr:row>
      <xdr:rowOff>0</xdr:rowOff>
    </xdr:from>
    <xdr:ext cx="304800" cy="290951"/>
    <xdr:sp macro="" textlink="">
      <xdr:nvSpPr>
        <xdr:cNvPr id="54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573397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106</xdr:row>
      <xdr:rowOff>0</xdr:rowOff>
    </xdr:from>
    <xdr:ext cx="304800" cy="290951"/>
    <xdr:sp macro="" textlink="">
      <xdr:nvSpPr>
        <xdr:cNvPr id="55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754531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104</xdr:row>
      <xdr:rowOff>0</xdr:rowOff>
    </xdr:from>
    <xdr:ext cx="304800" cy="291946"/>
    <xdr:sp macro="" textlink="">
      <xdr:nvSpPr>
        <xdr:cNvPr id="56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345099"/>
          <a:ext cx="304800" cy="29194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105</xdr:row>
      <xdr:rowOff>0</xdr:rowOff>
    </xdr:from>
    <xdr:ext cx="304800" cy="290951"/>
    <xdr:sp macro="" textlink="">
      <xdr:nvSpPr>
        <xdr:cNvPr id="57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549815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104</xdr:row>
      <xdr:rowOff>0</xdr:rowOff>
    </xdr:from>
    <xdr:ext cx="304800" cy="283701"/>
    <xdr:sp macro="" textlink="">
      <xdr:nvSpPr>
        <xdr:cNvPr id="58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345099"/>
          <a:ext cx="304800" cy="28370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105</xdr:row>
      <xdr:rowOff>0</xdr:rowOff>
    </xdr:from>
    <xdr:ext cx="304800" cy="290951"/>
    <xdr:sp macro="" textlink="">
      <xdr:nvSpPr>
        <xdr:cNvPr id="59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549815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104</xdr:row>
      <xdr:rowOff>0</xdr:rowOff>
    </xdr:from>
    <xdr:ext cx="304800" cy="283699"/>
    <xdr:sp macro="" textlink="">
      <xdr:nvSpPr>
        <xdr:cNvPr id="60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345099"/>
          <a:ext cx="304800" cy="283699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105</xdr:row>
      <xdr:rowOff>0</xdr:rowOff>
    </xdr:from>
    <xdr:ext cx="304800" cy="290951"/>
    <xdr:sp macro="" textlink="">
      <xdr:nvSpPr>
        <xdr:cNvPr id="61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549815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105</xdr:row>
      <xdr:rowOff>0</xdr:rowOff>
    </xdr:from>
    <xdr:ext cx="304800" cy="291946"/>
    <xdr:sp macro="" textlink="">
      <xdr:nvSpPr>
        <xdr:cNvPr id="62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1549815"/>
          <a:ext cx="304800" cy="29194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113</xdr:row>
      <xdr:rowOff>0</xdr:rowOff>
    </xdr:from>
    <xdr:ext cx="304800" cy="289216"/>
    <xdr:sp macro="" textlink="">
      <xdr:nvSpPr>
        <xdr:cNvPr id="63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3187546"/>
          <a:ext cx="304800" cy="28921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113</xdr:row>
      <xdr:rowOff>0</xdr:rowOff>
    </xdr:from>
    <xdr:ext cx="304800" cy="289216"/>
    <xdr:sp macro="" textlink="">
      <xdr:nvSpPr>
        <xdr:cNvPr id="64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3187546"/>
          <a:ext cx="304800" cy="28921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112</xdr:row>
      <xdr:rowOff>0</xdr:rowOff>
    </xdr:from>
    <xdr:ext cx="304800" cy="290951"/>
    <xdr:sp macro="" textlink="">
      <xdr:nvSpPr>
        <xdr:cNvPr id="65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982830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113</xdr:row>
      <xdr:rowOff>0</xdr:rowOff>
    </xdr:from>
    <xdr:ext cx="304800" cy="290951"/>
    <xdr:sp macro="" textlink="">
      <xdr:nvSpPr>
        <xdr:cNvPr id="66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3187546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113</xdr:row>
      <xdr:rowOff>0</xdr:rowOff>
    </xdr:from>
    <xdr:ext cx="304800" cy="289216"/>
    <xdr:sp macro="" textlink="">
      <xdr:nvSpPr>
        <xdr:cNvPr id="67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3187546"/>
          <a:ext cx="304800" cy="28921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113</xdr:row>
      <xdr:rowOff>0</xdr:rowOff>
    </xdr:from>
    <xdr:ext cx="304800" cy="289216"/>
    <xdr:sp macro="" textlink="">
      <xdr:nvSpPr>
        <xdr:cNvPr id="68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3187546"/>
          <a:ext cx="304800" cy="28921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29</xdr:col>
      <xdr:colOff>0</xdr:colOff>
      <xdr:row>112</xdr:row>
      <xdr:rowOff>0</xdr:rowOff>
    </xdr:from>
    <xdr:ext cx="304800" cy="290951"/>
    <xdr:sp macro="" textlink="">
      <xdr:nvSpPr>
        <xdr:cNvPr id="69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tr9s79tHw/8Asu+Hre91Cz1TVtZ1PVr3QfCnhHQr/T9Iv9ev9N0nStY128vde1HS9Yh0rRNHh17SoJJotFv7qS7vofMgkDqg/LGb/gtX4shxt+BviJiQDKf+GhNHUCTlMKT+zc5lXYqfvCkBLZHkjb5kkv8AwWpuPJ8UfBEFEDDxF8fIyw3EuG0j9nmd9w37W3NJGpwBhLeAAAiVpPwzubkEcAdj0I7npzX99fR/+j94b8b+GmWcR8S4HG47NsZi8xoylSzHE4HCLDYLEPDU/wB3hnCo588W7Xe7bdmkv4t8YfGHjzhfjfMMhyXMMLg8Dg6GCUKccHSrybrU1XTftk4v3Jat6q21z9r5f+C33i+JSD8CfEsgAzg/tF6L9QR/xjCOe47d+ucYF1/wXZ8W2wP/ABj/AOI2Izg/8NHaIB78f8MwYz2/x4x+I99MqZA6EcZ/D6f56+tcFqc6tuPf/P8An+eK/UcV9F3wfw8XGnkeMSve39uZs022ruzrWvsn10vY+Fwvjp4lVZRnUzmjKWy/4Ssvv001h08vzP3SvP8Agvv4ytsmP9nLXCOoB/aU0kendv2XpB3/ALvXv6ctd/8ABwr45tw3/GN+u7s8Y/aX0b7v1/4ZXwOQRjB/rX4L6nICDj6jj2H+frXnGqud5GB91j+Iz659f8MV85i/o5+E0HeGT4uLitJf2xmjttZNOr/w+i2PoMH4x+IVW0ZZvQtdNv8As7CU7Ws171GMZ99L27n9AV7/AMHGPj6AOR+zXrRyB1/aW0RxuJViSJP2VihwM4MiyAdQjEDH7Af8E0f+CmWnft1aZ4kJ8K6v4Q8QeENX0LSfGHhjWNWt/FJ0ufxRZ67deGtV0rxXp2ieGI9VsdRHhfWbSSO/8N6bd21zp7TwRiLaK/g51Tof8/wrX9Gv/BuESfFf7UiDBDeI/wBl4lCFKMTaftKwqSCP4FnlZf4dwUkEAg/i3iv4R8E8M8HZpmmT5ficLi8LPCThW+vV669nPERoa+2cp3Tnts+61Z+r+HviLxXnXEmBy7M8ZTxOHxMZX5aaprlp25vd3vs1rr6o+q/+C4Ewh8X/AALwcNJ4k/aFdegBRdE/ZpjYkkEffz2PTNfhLPqDKvPPsPmP5Kuf0PGa/bj/AILrXJg8Y/ANVZd51/8AaHJyThYxo37Nc0z9h+6iWSQBmAYJs3KW3L8d/sX/ALGGgfGfwZ8RPj7+0Bf+M/Av7N/w80/VFuPE3h6TQNJ1bVdV0lGuNYuLG58S+fDPpGgRR/Y737BpeoXur65dW+haHHcX9tfJB+y+BfG+S8B+AuSZvneKnTw6zHPKGHoUaDxGKxNSWaVPZUqVNTg5SqSuuZP3VdtWuz8d8WOGcw4n8XM6wuW04zqzpZY5TqT9nTpU45fT5qs5PRRhdNxdr7eZ+dl3eKAQHTpjG5c5x6Ehjz7dPTgDiNRu1w3J/BHf9UVwPxYn25zX9KfiX/gk1+zH4Z8QXF5rMP7Z114QXRdPMOkeFfDXhnxr4mTWJrjU/td9dz+EPDuvyJpElrHp8On2seii4N7b6y1zqDxQpBD88/ED9j//AIJkeAdK1bUPGF7/AMFEPDEOn2V3dy3+v/Aj4gWWk2oghlKy3+pyfAZLC2sop0j+13Nxe21rDCxea5gUrKPYr/Sb4GxHs6eGwWfYipOClOEcslzQk3rD/edWrJtpNa6N6nHQ8FuJ6Mv39fKqUVpCpLHRgqkXy2lGHspvld9Hza7n8/OozkZ5UHBBBeMEHjAKswOfoO3p08+1Sc/Mdy8Dn5hnJJ4AOSzD0Xecducj9V/+Cpn7IXw4/Yw+I3w28H/DiT4ita+MvA134k1f/hYuteFdavf7Ri1p9ORNHvfCttp0f9nQQDNzNc2UsvnAyI6ofKT6D+FX/BNX9mjx58Mf2aviP4ug/bOjh8dfCyTx58SrL4a/De6+Ija9qd3p/heTTF+GT+G/But3dp4bs7vVdSudav76y8QaikK6JpUNvFdapFfKZr4wcL4bh/JeI6qzFYHPZ4qOFjHBe0qr6qtpxjVSV3Fx5k7bO1tt8t8Ps5q5vmGTweEjistlFV28SnD3rcrTt53fkj+eLUrlXyOen91hkjHqPb296/o5/wCDcA7vFX7UoXBJ8Rfsur1HDCD9pJsEjIHCn9PWrHiX9gD/AIJVeHvMPiGL/gqroxiiklla8/Zk+LVvCI0RmKtLJ+zOYxv24C7ss3HAG5fQ/wDghJa/CbT/ANoj9ubTfgPrXibxH8HLH4kfs1W/w41zxpaT2HivUvDK2X7R5tLjXrC40fw9cWWoF2lWe3m0TS5VZcm0iBAr8P8AEfxFyfjLgTifC5Xh8xhVw1DL6rli8G8PQ5f7Sw9k6jqTak7tpO10mz9b4H4PzLhvizJK+OrYeUas6lGnToP2kveScpOV0tultPnp6T/wW5Xwle/Gj9l3SvHuv3XhXwXe+NPj7F4r1+x0qfXL/StCGkfsz/2ndaZpVu6G71ZbdimjrM32OPU2tbi/V7KG4Q/Hf/BQP9vj4U/E34WfCj9lX9knT7/wz+zd4C0jSbnWrPU9Ik0+71/WdGvVbw9pRjv3lvH0vw+YW16bUHk+06p4juLLVOLrRoTJ7d/wcI3QtfiH+z4gJH/E8/aN+bP/AFBv2X8HI64565z3yK/nYfVCCMtnOCcn+mcAHrgALk5Ar6XwV4MybiPgHg7M83niq9PIqmeRwWVe1UctVXE5hWSxjoWu8TSUpOnKUnGD1UU7nzXiXnmY5XxhxHhMCqFGOaQyueIxbpXx3Jh8NCnKkqzf8KdSKU4296Nuj0/rI+KP/BR//gnH8UvGGi/EO8+Mn7XHw68X6X4OsPBc158JLvxh4Et9S0XTtRvtXtrXVrLTbmW31ZotT1bUJ4pdR+2PEDtRwHJMWh/8FY/2G/hdBrGv6X8bf2xPjPcW3hvXbSz+HPxOjsdb8Oa/eXtosNpBeyapothNbszI1t9tl1XyLa3ubx7ix1Lctq38lU1+oJO4HjukfHHXhBz9D6Y9sK61Ac/MCOpXahU9cBl2lTjp0z+XHrT+j5wXyxp1Mxz6rBXtCWNw0LKU3Lli1gJSUVzaWmmn0ODC+KPEKcZRwmWKuowi60KEo35IxjFzi5SUpOMU29b3P6TvjN+3J/wSx/bx0/4cePP2w9B+PPw9+LHhTwf/AMI1qvh/4dNfT+FLK4kma8vl0rVLYTy61p0l7LP/AGZqeo2On6pBaFLe5sYSpkM2uf8ABRj/AIJp+I7r4J/Cy08T/ta/Cf4Tfsp/Dm40D4QfE/wFrut+DfiXreta6mmaHqekT3HhSd9QuvD1l4X8P2X2+41iayXXL7UpYpNGaGwWSX+Ya6v15O8pgEBUOxVHHRU2g+uDnOecnpyl9d43NG5GfvYwM885IAI7A7SOnasMV4LcMeyw+E/tniWeEwKqLLsFWzCjPD4JVLqr7GMsPVUZTU2vhaad99TtoeIGcynUxLy7KI4nEyi8XiqeFcauKlFpwcm30a8tNT+v3wl/wVc/4J3/AA91jRtbtf2vf+Ch/imLQ9RtdSk8NeOXn8U6Fr8dpKsraVrEWt+GUurqyu9ojnt4dXsJpYsxxXtpIRPHzX/BGT42eGv2i/21P+Ci/wAcfCPh688J+Gvih8ZvgD4t0XQdRW3TUbSx1GP9pEpcarHayTWses6q8b6xrS29zeIdYv75/wC0NQdnvbj+Pi7u92SAEJGCU4ypPKnOTgj8emCBg1/TN/wbPsr+Nv2osk4PiH9mIYUIu0Cy/aVIUbUGeuMsS3YkhQo/M+PPD7I+D+EOJ8dluIzGvicRgcLh5e3xFNxSeYYeSS9nRoR+ytZRbi1GztdH3/B/FGZ55xFk1DFUqFOnQxVSr+6XJeU8LUpK6fN9uUetrelj0X/g4uu/I+JX7O2eFk1X9oyRT03qdG/Zd+YeoB+Unjaw2nDYr+bxtS3HIIxjHUep/wBmv7vP+Cm//BM2y/bmh8N3I8R6t4V8QeF9U1jVvCvi7SNBs/FM+kt4l0/w/p3iXR9R8M3viPwpHf6LrKeFdB1Bri112yu7S90m1WUtH5gk/HRf+DcTxq27/jJvXAA7KpX9m/S2DAHhg0n7SsAO4Y/1Ykj44lLbkTt8JPFfhDhrgrL8nzbNI4LGYXEYxVaMqNarpWre3vajCUrqb3V7K621OHxF8PuJM64pxOZZdgY4nD16cIRlz8itCzVnrrrbbXSyP5wZNQ+U/MPzH/xI/wA/mMafUTz8w6/y9eP8iv6U3/4NvvGjKQP2nNePGef2bNLIx9Iv2l5W+h2EepHBrKf/AINuPHDkgftOa5gH/o2y0B9f+jizx6e1fo1Txz4Ab9zP6drL/mBzDf8A8Fa9tvTz+RoeF3F1OzllMXK+v+0K1tLacve2t9r2srn8091qJAPI7d//AKw6/wBPy5i7v3clhyAAD9cn29x68ZxxX9PEv/BtV4ykHy/tReIi3pJ+zFp0Ke+Xk/acx64HU5x9M+X/AINnfHT9P2oNax3z+zZpBOc84/4ydH8s9856eXU8aeAal3HP48z0tHCYqOmnWrThHp3v27nqUvDXiyFlLKowgteaNZVJLXRcqUd9r/mfy53NwTxnr/n8/wDI4xj+nr/g2TlD+OP2o1Jwf7f/AGZOSDt/48P2l5BlsYBZYJNozyQOmRTJP+DZTx22T/w1JrHVQ3/GNelKNm5QzFm/aawAFycsQM9eOK/Zf/glL/wSnk/YEm8a3V14z1jxzqfjbVvDuo+I/EGseGLXwRDc/wDCHWXia18N6Zo/hq38SeLmW0tV8W67e3OqXOvXiTTXjWcAt2jMjfm/iT4kcI51wjmmXZbmixWIxUaSUXDklelVhWilG705o2b7dEfacF8GZ/lef4TF4zC+xoUWpSnJab9F+e+nmf/Z"/>
        <xdr:cNvSpPr>
          <a:spLocks noChangeAspect="1" noChangeArrowheads="1"/>
        </xdr:cNvSpPr>
      </xdr:nvSpPr>
      <xdr:spPr bwMode="auto">
        <a:xfrm>
          <a:off x="20526233" y="22982830"/>
          <a:ext cx="304800" cy="29095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aomi Tu(杜俞潔)" refreshedDate="44922.694442361113" createdVersion="6" refreshedVersion="6" minRefreshableVersion="3" recordCount="110">
  <cacheSource type="worksheet">
    <worksheetSource ref="B3:AB983" sheet="FCST data"/>
  </cacheSource>
  <cacheFields count="27">
    <cacheField name="EMS" numFmtId="0">
      <sharedItems containsBlank="1"/>
    </cacheField>
    <cacheField name="Mode" numFmtId="0">
      <sharedItems containsBlank="1"/>
    </cacheField>
    <cacheField name="Asus Model" numFmtId="0">
      <sharedItems containsBlank="1" count="34">
        <s v="X543MA"/>
        <s v="X515MA"/>
        <s v="E410MA"/>
        <s v="E510MA"/>
        <s v="X515JA"/>
        <s v="X515EA"/>
        <s v="X1500EA"/>
        <s v="X513EA"/>
        <s v="X1502ZA"/>
        <s v="M515DA"/>
        <s v="M1502IA"/>
        <s v="X515JF"/>
        <s v="X1500EP"/>
        <s v="X1605ZA"/>
        <s v="K513EA"/>
        <s v="K513EQ"/>
        <s v="K3504ZA"/>
        <s v="K3500PH"/>
        <s v="K3605ZF"/>
        <s v="K3500PC"/>
        <s v="M3500QC"/>
        <s v="K6502ZC"/>
        <s v="K6502HC"/>
        <s v="M6500RC"/>
        <s v="FX507ZC4"/>
        <s v="G614JV"/>
        <s v="UX325JA"/>
        <s v="UX325EA"/>
        <s v="UX3402ZA"/>
        <s v="UX5401ZA"/>
        <s v="UX5304VA"/>
        <s v="UX482EAR"/>
        <m/>
        <s v="TOTAL"/>
      </sharedItems>
    </cacheField>
    <cacheField name="WW Model Name" numFmtId="0">
      <sharedItems containsBlank="1"/>
    </cacheField>
    <cacheField name="WW PN" numFmtId="0">
      <sharedItems containsBlank="1"/>
    </cacheField>
    <cacheField name="BR Model Name" numFmtId="0">
      <sharedItems containsBlank="1"/>
    </cacheField>
    <cacheField name="BR PN" numFmtId="0">
      <sharedItems containsBlank="1"/>
    </cacheField>
    <cacheField name="Color" numFmtId="0">
      <sharedItems containsBlank="1"/>
    </cacheField>
    <cacheField name="Screen" numFmtId="0">
      <sharedItems containsBlank="1"/>
    </cacheField>
    <cacheField name="CPU" numFmtId="0">
      <sharedItems containsBlank="1" count="31">
        <s v="Celeron N4020"/>
        <s v="Core i3-1005G1"/>
        <s v="Core I3-1115G4"/>
        <s v="Core i5-1035G1"/>
        <s v="Core i5-1135G7"/>
        <s v="Core i5-1235U"/>
        <s v="Ryzen 5 3500U"/>
        <s v="Ryzen 7 3700U"/>
        <s v="Ryzen 5-4600H"/>
        <s v="Ryzen 7-4800H"/>
        <s v="Core i7-1165G7"/>
        <s v="Core i7-1255U"/>
        <s v="Core i7-ADL"/>
        <s v="Core i5-11300H"/>
        <s v="Core i5 ADL H"/>
        <s v="Core i7-11370H"/>
        <s v="Ryzen 7-5800H"/>
        <s v="Core i9 TGL H45"/>
        <s v="Ryzen 7-6800H"/>
        <s v="Core i7-ADL H45"/>
        <s v="Core i9-RPL HX55"/>
        <s v="Core i7-1260P"/>
        <s v="Core i7-12700H"/>
        <s v="Core i7-RPL"/>
        <s v="Core i7-1195G7"/>
        <m/>
        <s v="Core i7 ADL" u="1"/>
        <s v="Ryzen R7-6800H" u="1"/>
        <s v="i9-TGL H" u="1"/>
        <s v="i5-ADL H" u="1"/>
        <s v="i7-ADL H" u="1"/>
      </sharedItems>
    </cacheField>
    <cacheField name="RAM" numFmtId="0">
      <sharedItems containsBlank="1" count="8">
        <s v="4GB OB"/>
        <s v="4GB"/>
        <s v="4GB "/>
        <s v="8GB "/>
        <s v="8GB"/>
        <s v="16GB"/>
        <s v="32GB"/>
        <m/>
      </sharedItems>
    </cacheField>
    <cacheField name="GPU" numFmtId="0">
      <sharedItems containsBlank="1"/>
    </cacheField>
    <cacheField name="Storage" numFmtId="0">
      <sharedItems containsBlank="1" count="9">
        <s v="500GB HDD"/>
        <s v="128GB SSD"/>
        <s v="256GB SSD"/>
        <s v="128GB eMMC"/>
        <s v="512GB SSD"/>
        <s v="1TB + 256GB SSD"/>
        <s v="1TB SSD"/>
        <s v="2TB SSD"/>
        <m/>
      </sharedItems>
    </cacheField>
    <cacheField name="Adapter" numFmtId="0">
      <sharedItems containsBlank="1" count="13">
        <e v="#N/A"/>
        <s v="33W*4.0PHI"/>
        <s v="65W*4.0PHI"/>
        <s v="45W*4.5PHI "/>
        <s v="45W*4.0PHI"/>
        <s v="90W*4.5PHI"/>
        <s v="120W*4.5PHI"/>
        <s v="150W*4.5PHI"/>
        <s v="200W*6PHI"/>
        <s v="65W PD"/>
        <s v="100W PD"/>
        <m/>
        <s v="65W*4.5PHI " u="1"/>
      </sharedItems>
    </cacheField>
    <cacheField name="OS" numFmtId="0">
      <sharedItems containsBlank="1"/>
    </cacheField>
    <cacheField name="Jan" numFmtId="0">
      <sharedItems containsString="0" containsBlank="1" containsNumber="1" containsInteger="1" minValue="0" maxValue="22000"/>
    </cacheField>
    <cacheField name="Feb" numFmtId="0">
      <sharedItems containsString="0" containsBlank="1" containsNumber="1" containsInteger="1" minValue="0" maxValue="23100"/>
    </cacheField>
    <cacheField name="Mar" numFmtId="0">
      <sharedItems containsString="0" containsBlank="1" containsNumber="1" containsInteger="1" minValue="0" maxValue="20600"/>
    </cacheField>
    <cacheField name="Apr" numFmtId="0">
      <sharedItems containsString="0" containsBlank="1" containsNumber="1" containsInteger="1" minValue="0" maxValue="23050"/>
    </cacheField>
    <cacheField name="May" numFmtId="0">
      <sharedItems containsString="0" containsBlank="1" containsNumber="1" containsInteger="1" minValue="0" maxValue="23730"/>
    </cacheField>
    <cacheField name="Jun" numFmtId="0">
      <sharedItems containsString="0" containsBlank="1" containsNumber="1" containsInteger="1" minValue="0" maxValue="23630"/>
    </cacheField>
    <cacheField name="Jul" numFmtId="0">
      <sharedItems containsString="0" containsBlank="1" containsNumber="1" containsInteger="1" minValue="50" maxValue="29000"/>
    </cacheField>
    <cacheField name="Aug" numFmtId="0">
      <sharedItems containsString="0" containsBlank="1" containsNumber="1" containsInteger="1" minValue="20" maxValue="26120"/>
    </cacheField>
    <cacheField name="Sep" numFmtId="0">
      <sharedItems containsString="0" containsBlank="1" containsNumber="1" containsInteger="1" minValue="20" maxValue="25120"/>
    </cacheField>
    <cacheField name="Oct" numFmtId="0">
      <sharedItems containsString="0" containsBlank="1" containsNumber="1" containsInteger="1" minValue="0" maxValue="0"/>
    </cacheField>
    <cacheField name="Nov" numFmtId="0">
      <sharedItems containsString="0" containsBlank="1" containsNumber="1" containsInteger="1" minValue="0" maxValue="0"/>
    </cacheField>
    <cacheField name="Dec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0">
  <r>
    <s v="Quanta"/>
    <s v="CKD"/>
    <x v="0"/>
    <s v="X543MA-GQ1287W"/>
    <s v="90NB0IR7-M002Z0"/>
    <s v="X543MA-GQ1300W"/>
    <s v="90NB0IR7-M003E0"/>
    <s v="Grey"/>
    <s v="15.6&quot; HD "/>
    <x v="0"/>
    <x v="0"/>
    <s v="UMA"/>
    <x v="0"/>
    <x v="0"/>
    <s v="Win 11"/>
    <n v="0"/>
    <m/>
    <m/>
    <n v="0"/>
    <n v="0"/>
    <n v="0"/>
    <m/>
    <m/>
    <m/>
    <m/>
    <m/>
    <m/>
  </r>
  <r>
    <s v="Huaqin"/>
    <s v="CKD"/>
    <x v="1"/>
    <s v="X515MA-BR640X"/>
    <s v="90NB0TH1-M13310"/>
    <s v="X515MA-BR623X"/>
    <s v="90NB0TH1-M000B0"/>
    <s v="Grey"/>
    <s v="15.6&quot; HD"/>
    <x v="0"/>
    <x v="1"/>
    <s v="UMA"/>
    <x v="1"/>
    <x v="1"/>
    <s v="Win 11 Pro"/>
    <n v="0"/>
    <n v="3000"/>
    <n v="0"/>
    <n v="0"/>
    <n v="0"/>
    <n v="0"/>
    <m/>
    <m/>
    <m/>
    <m/>
    <m/>
    <m/>
  </r>
  <r>
    <s v="Huaqin"/>
    <s v="CKD"/>
    <x v="1"/>
    <s v="X515MA-BR623"/>
    <s v="90NB0TH1-M00KA0"/>
    <s v="TBD"/>
    <s v="TBD"/>
    <s v="Grey"/>
    <s v="15.6&quot; HD"/>
    <x v="0"/>
    <x v="0"/>
    <s v="UMA"/>
    <x v="1"/>
    <x v="1"/>
    <s v="Endless"/>
    <n v="4000"/>
    <n v="2000"/>
    <m/>
    <m/>
    <m/>
    <m/>
    <m/>
    <m/>
    <m/>
    <m/>
    <m/>
    <m/>
  </r>
  <r>
    <s v="Huaqin"/>
    <s v="CKD"/>
    <x v="1"/>
    <s v="X515MA-BR623W"/>
    <s v="90NB0TH1-M00J40"/>
    <s v="X515MA-BR623W"/>
    <s v="90NB0TH1-M00J40"/>
    <s v="Grey"/>
    <s v="15.6&quot; HD"/>
    <x v="0"/>
    <x v="0"/>
    <s v="UMA"/>
    <x v="1"/>
    <x v="1"/>
    <s v="Win 11"/>
    <m/>
    <m/>
    <m/>
    <n v="0"/>
    <n v="0"/>
    <n v="0"/>
    <n v="2000"/>
    <n v="2000"/>
    <n v="1000"/>
    <m/>
    <m/>
    <m/>
  </r>
  <r>
    <s v="Huaqin"/>
    <s v="CKD"/>
    <x v="1"/>
    <s v="X515MA-BR755W"/>
    <s v="90NB0TH1-M005F0"/>
    <s v="X515MA-BR765W"/>
    <s v="90NB0TH1-M008Z0"/>
    <s v="Grey"/>
    <s v="15.6&quot; HD"/>
    <x v="0"/>
    <x v="1"/>
    <s v="UMA"/>
    <x v="2"/>
    <x v="1"/>
    <s v="Win 11"/>
    <n v="0"/>
    <n v="0"/>
    <n v="0"/>
    <n v="0"/>
    <n v="0"/>
    <n v="0"/>
    <m/>
    <m/>
    <m/>
    <m/>
    <m/>
    <m/>
  </r>
  <r>
    <s v="Huaqin"/>
    <s v="CKD"/>
    <x v="1"/>
    <s v="Can't config"/>
    <s v="Can't config"/>
    <s v="X515MA-BR765"/>
    <s v="90NB0TH1-M006D0"/>
    <s v="Grey"/>
    <s v="15.6&quot; HD"/>
    <x v="0"/>
    <x v="1"/>
    <s v="UMA"/>
    <x v="2"/>
    <x v="1"/>
    <s v="Endless"/>
    <n v="0"/>
    <n v="100"/>
    <n v="0"/>
    <n v="0"/>
    <n v="0"/>
    <n v="0"/>
    <m/>
    <m/>
    <m/>
    <m/>
    <m/>
    <m/>
  </r>
  <r>
    <s v="Quanta"/>
    <s v="CKD"/>
    <x v="2"/>
    <s v="E410MA-BV1509X"/>
    <s v="90NB0Q15-M008R0"/>
    <s v="E410MA-BV1871X"/>
    <s v="90NB0Q15-M008Z0"/>
    <s v="8K Star Black"/>
    <s v="14&quot; HD "/>
    <x v="0"/>
    <x v="0"/>
    <s v="UMA"/>
    <x v="1"/>
    <x v="1"/>
    <s v="Win 11 Pro"/>
    <n v="0"/>
    <n v="0"/>
    <n v="0"/>
    <n v="0"/>
    <n v="0"/>
    <n v="0"/>
    <m/>
    <m/>
    <m/>
    <m/>
    <m/>
    <m/>
  </r>
  <r>
    <s v="Quanta"/>
    <s v="CKD"/>
    <x v="2"/>
    <s v="TBD"/>
    <s v="TBD"/>
    <s v="E410MA-BV1871"/>
    <s v="90NB0Q15-M00UP0"/>
    <s v="8K Star Black"/>
    <s v="14&quot; HD "/>
    <x v="0"/>
    <x v="0"/>
    <s v="UMA"/>
    <x v="1"/>
    <x v="1"/>
    <s v="KeeP OS"/>
    <n v="0"/>
    <n v="0"/>
    <n v="0"/>
    <n v="0"/>
    <n v="0"/>
    <n v="0"/>
    <m/>
    <m/>
    <m/>
    <m/>
    <m/>
    <m/>
  </r>
  <r>
    <s v="Quanta"/>
    <s v="CKD"/>
    <x v="2"/>
    <s v="E410MA-BV1511X"/>
    <s v="90NB0Q11-M000Z0"/>
    <s v="E410MA-BV1870X"/>
    <s v="90NB0Q11-M008Y0"/>
    <s v="1B Peacock Blue"/>
    <s v="14&quot; HD "/>
    <x v="0"/>
    <x v="0"/>
    <s v="UMA"/>
    <x v="1"/>
    <x v="1"/>
    <s v="Win 11 Pro"/>
    <n v="0"/>
    <n v="0"/>
    <n v="0"/>
    <n v="0"/>
    <n v="0"/>
    <n v="0"/>
    <m/>
    <m/>
    <m/>
    <m/>
    <m/>
    <m/>
  </r>
  <r>
    <s v="Quanta"/>
    <s v="CKD"/>
    <x v="2"/>
    <s v="E410MA-BV1510X"/>
    <s v="90NB0Q14-M008S0"/>
    <s v="E410MA-BV1872X"/>
    <s v="90NB0Q14-M009A0"/>
    <s v="1P Rose Pink"/>
    <s v="14&quot; HD "/>
    <x v="0"/>
    <x v="0"/>
    <s v="UMA"/>
    <x v="1"/>
    <x v="1"/>
    <s v="Win 11 Pro"/>
    <n v="0"/>
    <n v="0"/>
    <n v="0"/>
    <n v="0"/>
    <n v="0"/>
    <n v="0"/>
    <m/>
    <m/>
    <m/>
    <m/>
    <m/>
    <m/>
  </r>
  <r>
    <s v="Quanta"/>
    <s v="CKD"/>
    <x v="2"/>
    <s v="E410MA-BV1530X"/>
    <s v="90NB0Q12-M008T0"/>
    <s v="E410MA-BV1873X"/>
    <s v="90NB0Q12-M009B0"/>
    <s v="1W White"/>
    <s v="14&quot; HD "/>
    <x v="0"/>
    <x v="0"/>
    <s v="UMA"/>
    <x v="1"/>
    <x v="1"/>
    <s v="Win 11 Pro"/>
    <n v="0"/>
    <n v="0"/>
    <n v="0"/>
    <n v="0"/>
    <n v="0"/>
    <n v="0"/>
    <m/>
    <m/>
    <m/>
    <m/>
    <m/>
    <m/>
  </r>
  <r>
    <s v="Quanta"/>
    <s v="CKD"/>
    <x v="3"/>
    <s v="E510MA-BR685X"/>
    <s v="90NB0Q65-M14190"/>
    <s v="E510MA-BR702X"/>
    <s v="90NB0Q65-M000C0"/>
    <s v="8K Star Black"/>
    <s v="15.6&quot; HD "/>
    <x v="0"/>
    <x v="0"/>
    <s v="UMA"/>
    <x v="3"/>
    <x v="1"/>
    <s v="Win 11 Pro"/>
    <n v="0"/>
    <n v="300"/>
    <n v="0"/>
    <n v="0"/>
    <n v="0"/>
    <n v="0"/>
    <m/>
    <m/>
    <m/>
    <m/>
    <m/>
    <m/>
  </r>
  <r>
    <s v="Quanta"/>
    <s v="CKD"/>
    <x v="3"/>
    <s v="E510MA-BR1254W"/>
    <s v="90NB0Q65-M00TK0"/>
    <s v="E510MA-BR1254W"/>
    <s v="90NB0Q65-M00TK0"/>
    <s v="8K Star Black"/>
    <s v="15.6&quot; HD"/>
    <x v="0"/>
    <x v="0"/>
    <s v="UMA"/>
    <x v="3"/>
    <x v="1"/>
    <s v="Win 11"/>
    <m/>
    <m/>
    <m/>
    <n v="0"/>
    <n v="500"/>
    <n v="500"/>
    <m/>
    <m/>
    <m/>
    <m/>
    <m/>
    <m/>
  </r>
  <r>
    <s v="Quanta"/>
    <s v="CKD"/>
    <x v="3"/>
    <s v="TBD"/>
    <s v="TBD"/>
    <s v="E510MA-BR702"/>
    <s v="90NB0Q65-M00K90"/>
    <s v="8K Star Black"/>
    <s v="15.6&quot; HD "/>
    <x v="0"/>
    <x v="0"/>
    <s v="UMA"/>
    <x v="3"/>
    <x v="1"/>
    <s v="KeeP OS"/>
    <n v="0"/>
    <n v="300"/>
    <n v="0"/>
    <n v="0"/>
    <n v="0"/>
    <n v="0"/>
    <m/>
    <m/>
    <m/>
    <m/>
    <m/>
    <m/>
  </r>
  <r>
    <s v="Quanta"/>
    <s v="CKD"/>
    <x v="3"/>
    <s v="E510MA-BR724X"/>
    <s v="90NB0Q64-M14200"/>
    <s v="E510MA-BR701X"/>
    <s v="90NB0Q64-M000B0"/>
    <s v="1B Peacock Blue"/>
    <s v="15.6&quot; HD "/>
    <x v="0"/>
    <x v="0"/>
    <s v="UMA"/>
    <x v="3"/>
    <x v="1"/>
    <s v="Win 11 Pro"/>
    <n v="0"/>
    <n v="0"/>
    <n v="0"/>
    <n v="0"/>
    <n v="0"/>
    <n v="0"/>
    <m/>
    <m/>
    <m/>
    <m/>
    <m/>
    <m/>
  </r>
  <r>
    <s v="Quanta"/>
    <s v="CKD"/>
    <x v="3"/>
    <s v="E510MA-BR725X"/>
    <s v="90NB0Q62-M14210"/>
    <s v="E510MA-BR703X"/>
    <s v="90NB0Q62-M000D0"/>
    <s v="1P Rose Pink"/>
    <s v="15.6&quot; HD "/>
    <x v="0"/>
    <x v="0"/>
    <s v="UMA"/>
    <x v="3"/>
    <x v="1"/>
    <s v="Win 11 Pro"/>
    <n v="200"/>
    <n v="600"/>
    <n v="0"/>
    <n v="0"/>
    <n v="0"/>
    <n v="0"/>
    <m/>
    <m/>
    <m/>
    <m/>
    <m/>
    <m/>
  </r>
  <r>
    <s v="Quanta"/>
    <s v="CKD"/>
    <x v="3"/>
    <s v="E510MA-BR1255W"/>
    <s v="90NB0Q62-M00TL0"/>
    <s v="E510MA-BR1255W"/>
    <s v="90NB0Q62-M00TL0"/>
    <s v="1P Rose Pink"/>
    <s v="15.6&quot; HD"/>
    <x v="0"/>
    <x v="0"/>
    <s v="UMA"/>
    <x v="3"/>
    <x v="1"/>
    <s v="Win 11"/>
    <m/>
    <m/>
    <m/>
    <n v="0"/>
    <n v="100"/>
    <n v="100"/>
    <m/>
    <m/>
    <m/>
    <m/>
    <m/>
    <m/>
  </r>
  <r>
    <s v="Quanta"/>
    <s v="CKD"/>
    <x v="3"/>
    <s v="E510MA-BR723X"/>
    <s v="90NB0Q63-M14180"/>
    <s v="E510MA-BR700X"/>
    <s v="90NB0Q63-M000A0"/>
    <s v="1W White"/>
    <s v="15.6&quot; HD "/>
    <x v="0"/>
    <x v="0"/>
    <s v="UMA"/>
    <x v="3"/>
    <x v="1"/>
    <s v="Win 11 Pro"/>
    <n v="0"/>
    <m/>
    <m/>
    <n v="0"/>
    <n v="0"/>
    <n v="0"/>
    <m/>
    <m/>
    <m/>
    <m/>
    <m/>
    <m/>
  </r>
  <r>
    <s v="Quanta"/>
    <s v="CKD"/>
    <x v="4"/>
    <s v=" X515JA-BR3739W "/>
    <s v=" 90NB0SR1-M022W0 "/>
    <s v="X515JA-BR3932W"/>
    <s v="90NB0SR1-M02FC0"/>
    <s v="Grey"/>
    <s v="15.6&quot; HD"/>
    <x v="1"/>
    <x v="2"/>
    <s v="UMA"/>
    <x v="1"/>
    <x v="1"/>
    <s v="Win 11"/>
    <n v="600"/>
    <n v="600"/>
    <n v="600"/>
    <n v="0"/>
    <n v="0"/>
    <n v="0"/>
    <m/>
    <m/>
    <m/>
    <m/>
    <m/>
    <m/>
  </r>
  <r>
    <s v="Quanta"/>
    <s v="CKD"/>
    <x v="4"/>
    <s v="X515JA-BR2247W"/>
    <s v="90NB0SR1-M42600"/>
    <s v="X515JA-BR2750W"/>
    <s v="90NB0SR1-M00HD0"/>
    <s v="Grey"/>
    <s v="15.6&quot; HD"/>
    <x v="1"/>
    <x v="2"/>
    <s v="UMA"/>
    <x v="2"/>
    <x v="1"/>
    <s v="Win 11"/>
    <n v="4000"/>
    <n v="2000"/>
    <n v="3000"/>
    <n v="0"/>
    <n v="0"/>
    <n v="0"/>
    <m/>
    <m/>
    <m/>
    <m/>
    <m/>
    <m/>
  </r>
  <r>
    <s v="Quanta"/>
    <s v="CKD"/>
    <x v="4"/>
    <s v="Can't config"/>
    <s v="Can't config"/>
    <s v="X515JA-BR2750"/>
    <s v="90NB0SR1-M00HE0"/>
    <s v="Grey"/>
    <s v="15.6&quot; HD"/>
    <x v="1"/>
    <x v="2"/>
    <s v="UMA"/>
    <x v="2"/>
    <x v="1"/>
    <s v="Endless"/>
    <n v="3000"/>
    <n v="2000"/>
    <n v="2500"/>
    <n v="0"/>
    <n v="0"/>
    <n v="0"/>
    <m/>
    <m/>
    <m/>
    <m/>
    <m/>
    <m/>
  </r>
  <r>
    <s v="Quanta"/>
    <s v="CKD"/>
    <x v="4"/>
    <s v="X515JA-BR2248W"/>
    <s v="90NB0SR1-M42610"/>
    <s v="X515JA-BR2751W"/>
    <s v="90NB0SR1-M00HF0"/>
    <s v="Grey"/>
    <s v="15.6&quot; HD"/>
    <x v="1"/>
    <x v="3"/>
    <s v="UMA"/>
    <x v="2"/>
    <x v="1"/>
    <s v="Win 11"/>
    <n v="1200"/>
    <n v="1100"/>
    <n v="700"/>
    <n v="0"/>
    <n v="0"/>
    <n v="0"/>
    <m/>
    <m/>
    <m/>
    <m/>
    <m/>
    <m/>
  </r>
  <r>
    <s v="Pega"/>
    <s v="CKD"/>
    <x v="5"/>
    <s v="X515EA-EJ1382W"/>
    <s v="90NB0TY1-M24850"/>
    <s v="X515EA-EJ1320W"/>
    <s v="90NB0TY1-M002B0"/>
    <s v="Grey"/>
    <s v="15.6&quot; FHD"/>
    <x v="2"/>
    <x v="2"/>
    <s v="UMA"/>
    <x v="2"/>
    <x v="1"/>
    <s v="Win 11"/>
    <n v="0"/>
    <m/>
    <m/>
    <n v="0"/>
    <n v="0"/>
    <n v="0"/>
    <m/>
    <m/>
    <m/>
    <m/>
    <m/>
    <m/>
  </r>
  <r>
    <s v="Pega"/>
    <s v="CKD"/>
    <x v="5"/>
    <s v="Can't config"/>
    <s v="Can't config"/>
    <s v="X515EA-EJ1320"/>
    <s v="90NB0TY1-M00V70"/>
    <s v="Grey"/>
    <s v="15.6&quot; FHD"/>
    <x v="2"/>
    <x v="2"/>
    <s v="UMA"/>
    <x v="2"/>
    <x v="1"/>
    <s v="Endless"/>
    <n v="0"/>
    <m/>
    <m/>
    <n v="0"/>
    <n v="0"/>
    <n v="0"/>
    <m/>
    <m/>
    <m/>
    <m/>
    <m/>
    <m/>
  </r>
  <r>
    <s v="Pega"/>
    <s v="CKD"/>
    <x v="5"/>
    <s v="X515EA-EJ1358W"/>
    <s v="90NB0TY1-M24860"/>
    <s v="X515EA-EJ1668W"/>
    <s v="90NB0TY1-M002C0"/>
    <s v="Grey"/>
    <s v="15.6&quot; FHD"/>
    <x v="2"/>
    <x v="3"/>
    <s v="UMA"/>
    <x v="2"/>
    <x v="1"/>
    <s v="Win 11"/>
    <n v="0"/>
    <m/>
    <m/>
    <n v="0"/>
    <n v="0"/>
    <n v="0"/>
    <m/>
    <m/>
    <m/>
    <m/>
    <m/>
    <m/>
  </r>
  <r>
    <s v="Pega"/>
    <s v="CKD"/>
    <x v="5"/>
    <s v="Can't config"/>
    <s v="Can't config"/>
    <s v="X515EA-EJ1668"/>
    <s v="90NB0TY1-M00V80"/>
    <s v="Grey"/>
    <s v="15.6&quot; FHD"/>
    <x v="2"/>
    <x v="3"/>
    <s v="UMA"/>
    <x v="2"/>
    <x v="1"/>
    <s v="Endless"/>
    <n v="0"/>
    <m/>
    <m/>
    <n v="0"/>
    <n v="0"/>
    <n v="0"/>
    <m/>
    <m/>
    <m/>
    <m/>
    <m/>
    <m/>
  </r>
  <r>
    <s v="Pega"/>
    <s v="CKD"/>
    <x v="6"/>
    <s v="X1500EA-EJ3452W"/>
    <s v=" 90NB0TY6-M03KB0"/>
    <s v="X1500EA-EJ3663W"/>
    <s v="90NB0TY6-M03XB0"/>
    <s v="Silver"/>
    <s v="15.6&quot; FHD"/>
    <x v="2"/>
    <x v="2"/>
    <s v="UMA"/>
    <x v="1"/>
    <x v="2"/>
    <s v="Win 11"/>
    <m/>
    <m/>
    <m/>
    <n v="500"/>
    <n v="600"/>
    <n v="700"/>
    <n v="1000"/>
    <n v="1000"/>
    <n v="1000"/>
    <m/>
    <m/>
    <m/>
  </r>
  <r>
    <s v="Pega"/>
    <s v="CKD"/>
    <x v="6"/>
    <s v="X1500EA-EJ3317W"/>
    <s v=" 90NB0TY6-M03BV0"/>
    <s v="X1500EA-EJ3665W"/>
    <s v="90NB0TY6-M03XF0"/>
    <s v="Silver"/>
    <s v="15.6&quot; FHD"/>
    <x v="2"/>
    <x v="2"/>
    <s v="UMA"/>
    <x v="2"/>
    <x v="2"/>
    <s v="Win 11"/>
    <m/>
    <m/>
    <m/>
    <n v="4200"/>
    <n v="4000"/>
    <n v="4000"/>
    <n v="3000"/>
    <m/>
    <m/>
    <m/>
    <m/>
    <m/>
  </r>
  <r>
    <s v="Pega"/>
    <s v="CKD"/>
    <x v="6"/>
    <s v="X1500EA-EJ3317"/>
    <s v="90NB0TY6-M03MC0"/>
    <s v="X1500EA-EJ3665"/>
    <s v="90NB0TY6-M03XH0"/>
    <s v="Silver"/>
    <s v="15.6&quot; FHD"/>
    <x v="2"/>
    <x v="2"/>
    <s v="UMA"/>
    <x v="2"/>
    <x v="2"/>
    <s v="Endless"/>
    <m/>
    <m/>
    <m/>
    <n v="2400"/>
    <n v="2400"/>
    <n v="2400"/>
    <n v="1500"/>
    <n v="1500"/>
    <n v="1500"/>
    <m/>
    <m/>
    <m/>
  </r>
  <r>
    <s v="Pega"/>
    <s v="CKD"/>
    <x v="6"/>
    <s v="X1500EA-EJ3496W"/>
    <s v="90NB0TY6-M03V00"/>
    <s v="X1500EA-EJ3666W"/>
    <s v="90NB0TY6-M03XJ0"/>
    <s v="Silver"/>
    <s v="15.6&quot; FHD"/>
    <x v="2"/>
    <x v="3"/>
    <s v="UMA"/>
    <x v="2"/>
    <x v="2"/>
    <s v="Win 11"/>
    <m/>
    <m/>
    <m/>
    <n v="1000"/>
    <n v="1000"/>
    <n v="1000"/>
    <n v="1000"/>
    <n v="1000"/>
    <n v="1000"/>
    <m/>
    <m/>
    <m/>
  </r>
  <r>
    <s v="Pega"/>
    <s v="CKD"/>
    <x v="6"/>
    <s v="X1500EA-EJ3495W"/>
    <s v="90NB0TY6-M03UZ0"/>
    <s v="X1500EA-EJ3667W"/>
    <s v="90NB0TY6-M03XK0"/>
    <s v="Silver"/>
    <s v="15.6&quot; FHD"/>
    <x v="2"/>
    <x v="3"/>
    <s v="UMA"/>
    <x v="4"/>
    <x v="2"/>
    <s v="Win 11"/>
    <m/>
    <m/>
    <m/>
    <n v="300"/>
    <n v="300"/>
    <n v="300"/>
    <n v="500"/>
    <n v="500"/>
    <n v="500"/>
    <m/>
    <m/>
    <m/>
  </r>
  <r>
    <s v="Pega"/>
    <s v="CKD"/>
    <x v="6"/>
    <s v="X1500EA-EJ3495"/>
    <s v="90NB0TY6-M03MD0"/>
    <s v="X1500EA-EJ3667"/>
    <s v="90NB0TY6-M03XL0"/>
    <s v="Silver"/>
    <s v="15.6&quot; FHD"/>
    <x v="2"/>
    <x v="3"/>
    <s v="UMA"/>
    <x v="4"/>
    <x v="2"/>
    <s v="Endless"/>
    <m/>
    <m/>
    <m/>
    <n v="100"/>
    <n v="100"/>
    <n v="100"/>
    <n v="100"/>
    <n v="100"/>
    <n v="100"/>
    <m/>
    <m/>
    <m/>
  </r>
  <r>
    <s v="Quanta"/>
    <s v="CKD"/>
    <x v="4"/>
    <s v="X515JA-EJ2279W"/>
    <s v="90NB0SR1-M42620"/>
    <s v="X515JA-EJ2734W"/>
    <s v="90NB0SR1-M00FD0"/>
    <s v="Grey"/>
    <s v="15.6&quot; FHD "/>
    <x v="3"/>
    <x v="1"/>
    <s v="UMA"/>
    <x v="2"/>
    <x v="1"/>
    <s v="Win 11"/>
    <n v="200"/>
    <n v="500"/>
    <n v="0"/>
    <n v="0"/>
    <n v="0"/>
    <n v="0"/>
    <m/>
    <m/>
    <m/>
    <m/>
    <m/>
    <m/>
  </r>
  <r>
    <s v="Quanta"/>
    <s v="CKD"/>
    <x v="4"/>
    <s v="X515JA-EJ2240W"/>
    <s v="90NB0SR1-M42630"/>
    <s v="X515JA-EJ1792W"/>
    <s v="90NB0SR1-M000V0"/>
    <s v="Grey"/>
    <s v="15.6&quot; FHD "/>
    <x v="3"/>
    <x v="4"/>
    <s v="UMA"/>
    <x v="2"/>
    <x v="1"/>
    <s v="Win 11"/>
    <n v="4000"/>
    <n v="1000"/>
    <n v="3500"/>
    <n v="2500"/>
    <n v="0"/>
    <n v="0"/>
    <m/>
    <m/>
    <m/>
    <m/>
    <m/>
    <m/>
  </r>
  <r>
    <s v="Quanta"/>
    <s v="CKD"/>
    <x v="4"/>
    <s v="Can't config"/>
    <s v="Can't config"/>
    <s v="X515JA-EJ1792X"/>
    <s v="90NB0SR1-M01RK0"/>
    <s v="Grey"/>
    <s v="15.6&quot; FHD "/>
    <x v="3"/>
    <x v="4"/>
    <s v="UMA"/>
    <x v="2"/>
    <x v="1"/>
    <s v="Win 11 Pro"/>
    <n v="0"/>
    <m/>
    <m/>
    <n v="0"/>
    <n v="0"/>
    <n v="0"/>
    <m/>
    <m/>
    <m/>
    <m/>
    <m/>
    <m/>
  </r>
  <r>
    <s v="Quanta"/>
    <s v="CKD"/>
    <x v="4"/>
    <s v="Can't config"/>
    <s v="Can't config"/>
    <s v="X515JA-EJ1792"/>
    <s v="90NB0SR1-M00FE0"/>
    <s v="Grey"/>
    <s v="15.6&quot; FHD "/>
    <x v="3"/>
    <x v="4"/>
    <s v="UMA"/>
    <x v="2"/>
    <x v="1"/>
    <s v="Endless"/>
    <n v="500"/>
    <n v="1500"/>
    <n v="3500"/>
    <n v="2000"/>
    <n v="0"/>
    <n v="0"/>
    <m/>
    <m/>
    <m/>
    <m/>
    <m/>
    <m/>
  </r>
  <r>
    <s v="Quanta"/>
    <s v="CKD"/>
    <x v="4"/>
    <s v="X515JA-EJ2243W"/>
    <s v="90NB0SR1-M42640"/>
    <s v="X515JA-EJ1791W"/>
    <s v="90NB0SR1-M000P0"/>
    <s v="Grey"/>
    <s v="15.6&quot; FHD "/>
    <x v="3"/>
    <x v="4"/>
    <s v="UMA"/>
    <x v="4"/>
    <x v="1"/>
    <s v="Win 11"/>
    <n v="800"/>
    <n v="800"/>
    <n v="1000"/>
    <n v="1250"/>
    <n v="0"/>
    <n v="0"/>
    <m/>
    <m/>
    <m/>
    <m/>
    <m/>
    <m/>
  </r>
  <r>
    <s v="Pega"/>
    <s v="CKD"/>
    <x v="7"/>
    <s v="X513EA-BQ2455W"/>
    <s v="90NB0SG6-M38440"/>
    <s v="X513EA-BQ2782W"/>
    <s v="90NB0SG6-M002D0"/>
    <s v="Cobalt Blue"/>
    <s v="15.6&quot; FHD VIPS"/>
    <x v="4"/>
    <x v="4"/>
    <s v="UMA"/>
    <x v="2"/>
    <x v="2"/>
    <s v="Win 11"/>
    <n v="100"/>
    <n v="720"/>
    <n v="0"/>
    <n v="0"/>
    <n v="0"/>
    <n v="0"/>
    <m/>
    <m/>
    <m/>
    <m/>
    <m/>
    <m/>
  </r>
  <r>
    <s v="Pega"/>
    <s v="CKD"/>
    <x v="7"/>
    <s v="X513EA-BQ2989W"/>
    <s v="90NB0SG6-M00F30"/>
    <s v="X513EA-BQ3027W"/>
    <s v="90NB0SG6-M00HK0"/>
    <s v="Cobalt Blue"/>
    <s v="15.6&quot; FHD VIPS"/>
    <x v="4"/>
    <x v="4"/>
    <s v="UMA"/>
    <x v="4"/>
    <x v="2"/>
    <s v="Win 11"/>
    <n v="30"/>
    <n v="50"/>
    <m/>
    <n v="0"/>
    <n v="0"/>
    <n v="0"/>
    <m/>
    <m/>
    <m/>
    <m/>
    <m/>
    <m/>
  </r>
  <r>
    <s v="Pega"/>
    <s v="CKD"/>
    <x v="7"/>
    <s v="X513EA-BQ2990W"/>
    <s v="90NB0SG6-M00F40"/>
    <s v="X513EA-BQ3400W"/>
    <s v="90NB0SG6-M016A0"/>
    <s v="Cobalt Blue"/>
    <s v="15.6&quot; FHD VIPS"/>
    <x v="4"/>
    <x v="5"/>
    <s v="UMA"/>
    <x v="2"/>
    <x v="2"/>
    <s v="Win 11"/>
    <n v="20"/>
    <n v="30"/>
    <m/>
    <n v="0"/>
    <n v="0"/>
    <n v="0"/>
    <m/>
    <m/>
    <m/>
    <m/>
    <m/>
    <m/>
  </r>
  <r>
    <s v="Pega"/>
    <s v="CKD"/>
    <x v="8"/>
    <s v="X1502ZA-BQ569W"/>
    <s v="90NB0VX2-M00RH0"/>
    <s v="X1502ZA-BQ655W"/>
    <s v="90NB0VX2-M00VK0"/>
    <s v="Silver"/>
    <s v="15.6&quot; FHD VIPS"/>
    <x v="5"/>
    <x v="4"/>
    <s v="UMA"/>
    <x v="2"/>
    <x v="3"/>
    <s v="Win 11"/>
    <n v="0"/>
    <n v="50"/>
    <n v="0"/>
    <n v="0"/>
    <n v="0"/>
    <n v="0"/>
    <m/>
    <m/>
    <m/>
    <m/>
    <m/>
    <m/>
  </r>
  <r>
    <s v="Pega"/>
    <s v="CKD"/>
    <x v="8"/>
    <s v="X1502ZA-BQ570W"/>
    <s v="90NB0VX2-M00RJ0"/>
    <s v="X1502ZA-BQ656W"/>
    <s v="90NB0VX2-M00VL0"/>
    <s v="Silver"/>
    <s v="15.6&quot; FHD VIPS"/>
    <x v="5"/>
    <x v="4"/>
    <s v="UMA"/>
    <x v="4"/>
    <x v="3"/>
    <s v="Win 11"/>
    <n v="0"/>
    <n v="30"/>
    <n v="0"/>
    <n v="0"/>
    <n v="0"/>
    <n v="0"/>
    <m/>
    <m/>
    <m/>
    <m/>
    <m/>
    <m/>
  </r>
  <r>
    <s v="Pega"/>
    <s v="CKD"/>
    <x v="8"/>
    <s v="X1502ZA-BQ571W"/>
    <s v="90NB0VX2-M00RK0"/>
    <s v="X1502ZA-BQ621W"/>
    <s v="90NB0VX2-M00U20"/>
    <s v="Silver"/>
    <s v="15.6&quot; FHD VIPS"/>
    <x v="5"/>
    <x v="5"/>
    <s v="UMA"/>
    <x v="2"/>
    <x v="3"/>
    <s v="Win 11"/>
    <n v="0"/>
    <n v="20"/>
    <n v="0"/>
    <n v="0"/>
    <n v="0"/>
    <n v="0"/>
    <m/>
    <m/>
    <m/>
    <m/>
    <m/>
    <m/>
  </r>
  <r>
    <s v="Pega"/>
    <s v="CKD"/>
    <x v="6"/>
    <s v="X1500EA-EJ3458W"/>
    <s v=" 90NB0TY6-M03KM0"/>
    <s v="X1500EA-EJ3668W"/>
    <s v="90NB0TY6-M03XM0"/>
    <s v="Silver"/>
    <s v="15.6&quot; FHD"/>
    <x v="4"/>
    <x v="1"/>
    <s v="UMA"/>
    <x v="2"/>
    <x v="2"/>
    <s v="Win 11"/>
    <m/>
    <m/>
    <m/>
    <n v="200"/>
    <n v="500"/>
    <n v="500"/>
    <n v="500"/>
    <n v="500"/>
    <n v="500"/>
    <m/>
    <m/>
    <m/>
  </r>
  <r>
    <s v="Pega"/>
    <s v="CKD"/>
    <x v="6"/>
    <s v="X1500EA-EJ3497W"/>
    <s v="90NB0TY6-M03VR0"/>
    <s v="X1500EA-EJ3669W"/>
    <s v="90NB0TY6-M03XN0"/>
    <s v="Silver"/>
    <s v="15.6&quot; FHD"/>
    <x v="4"/>
    <x v="4"/>
    <s v="UMA"/>
    <x v="2"/>
    <x v="2"/>
    <s v="Win 11"/>
    <m/>
    <m/>
    <m/>
    <n v="1200"/>
    <n v="4000"/>
    <n v="4000"/>
    <n v="5000"/>
    <n v="5000"/>
    <n v="5000"/>
    <m/>
    <m/>
    <m/>
  </r>
  <r>
    <s v="Pega"/>
    <s v="CKD"/>
    <x v="6"/>
    <s v="X1500EA-EJ3497"/>
    <s v=" 90NB0TY6-M03MF0"/>
    <s v="X1500EA-EJ3669"/>
    <s v="90NB0TY6-M03XP0"/>
    <s v="Silver"/>
    <s v="15.6&quot; FHD"/>
    <x v="4"/>
    <x v="4"/>
    <s v="UMA"/>
    <x v="2"/>
    <x v="2"/>
    <s v="Endless"/>
    <m/>
    <m/>
    <m/>
    <n v="300"/>
    <n v="2000"/>
    <n v="2000"/>
    <n v="3000"/>
    <n v="3000"/>
    <n v="3000"/>
    <m/>
    <m/>
    <m/>
  </r>
  <r>
    <s v="Pega"/>
    <s v="CKD"/>
    <x v="6"/>
    <s v="X1500EA-EJ3622W"/>
    <s v="90NB0TY6-M03VP0"/>
    <s v="X1500EA-EJ3670W"/>
    <s v="90NB0TY6-M03XR0"/>
    <s v="Silver"/>
    <s v="15.6&quot; FHD"/>
    <x v="4"/>
    <x v="4"/>
    <s v="UMA"/>
    <x v="4"/>
    <x v="2"/>
    <s v="Win 11"/>
    <m/>
    <m/>
    <m/>
    <n v="300"/>
    <n v="1200"/>
    <n v="1200"/>
    <n v="1500"/>
    <n v="1500"/>
    <n v="1500"/>
    <m/>
    <m/>
    <m/>
  </r>
  <r>
    <s v="Pega"/>
    <s v="CKD"/>
    <x v="6"/>
    <s v="X1500EA-EJ3498"/>
    <s v=" 90NB0TY6-M03MH0"/>
    <s v="X1500EA-EJ3671"/>
    <s v="90NB0TY6-M03XS0"/>
    <s v="Silver"/>
    <s v="15.6&quot; FHD"/>
    <x v="4"/>
    <x v="5"/>
    <s v="UMA"/>
    <x v="4"/>
    <x v="2"/>
    <s v="Endless"/>
    <m/>
    <m/>
    <m/>
    <n v="100"/>
    <n v="100"/>
    <n v="100"/>
    <n v="150"/>
    <n v="150"/>
    <n v="150"/>
    <m/>
    <m/>
    <m/>
  </r>
  <r>
    <s v="Pega"/>
    <s v="CKD"/>
    <x v="9"/>
    <s v="Can't config"/>
    <s v="Can't config"/>
    <s v="M515DA-BR1213W"/>
    <s v="90NB0T41-M00B40"/>
    <s v="Slate Grey"/>
    <s v="15.6&quot; HD"/>
    <x v="6"/>
    <x v="4"/>
    <s v="UMA"/>
    <x v="2"/>
    <x v="4"/>
    <s v="Win 11"/>
    <n v="1500"/>
    <n v="2500"/>
    <n v="2500"/>
    <n v="3000"/>
    <n v="2800"/>
    <n v="0"/>
    <m/>
    <m/>
    <m/>
    <m/>
    <m/>
    <m/>
  </r>
  <r>
    <s v="Pega"/>
    <s v="CKD"/>
    <x v="9"/>
    <s v="Can't config"/>
    <s v="Can't config"/>
    <s v="M515DA-BR1213"/>
    <s v="90NB0T41-M00CU0"/>
    <s v="Slate Grey"/>
    <s v="15.6&quot; HD"/>
    <x v="6"/>
    <x v="4"/>
    <s v="UMA"/>
    <x v="2"/>
    <x v="4"/>
    <s v="Endless"/>
    <n v="0"/>
    <n v="1200"/>
    <n v="1500"/>
    <n v="1000"/>
    <n v="1000"/>
    <n v="0"/>
    <m/>
    <m/>
    <m/>
    <m/>
    <m/>
    <m/>
  </r>
  <r>
    <s v="Pega"/>
    <s v="CKD"/>
    <x v="9"/>
    <s v="Can't config"/>
    <s v="Can't config"/>
    <s v="M515DA-BR1454W"/>
    <s v="90NB0T41-M00B30"/>
    <s v="Slate Grey"/>
    <s v="15.6&quot; HD"/>
    <x v="7"/>
    <x v="4"/>
    <s v="UMA"/>
    <x v="2"/>
    <x v="4"/>
    <s v="Win 11"/>
    <n v="0"/>
    <n v="0"/>
    <n v="0"/>
    <n v="0"/>
    <n v="0"/>
    <n v="0"/>
    <m/>
    <m/>
    <m/>
    <m/>
    <m/>
    <m/>
  </r>
  <r>
    <s v="Pega"/>
    <s v="CKD"/>
    <x v="9"/>
    <s v="Can't config"/>
    <s v="Can't config"/>
    <s v="M515DA-BR1454"/>
    <s v="90NB0T41-M00FX0"/>
    <s v="Slate Grey"/>
    <s v="15.6&quot; HD"/>
    <x v="7"/>
    <x v="4"/>
    <s v="UMA"/>
    <x v="2"/>
    <x v="4"/>
    <s v="Endless"/>
    <n v="500"/>
    <n v="0"/>
    <n v="0"/>
    <n v="0"/>
    <n v="0"/>
    <n v="0"/>
    <m/>
    <m/>
    <m/>
    <m/>
    <m/>
    <m/>
  </r>
  <r>
    <s v="Pega"/>
    <s v="CKD"/>
    <x v="10"/>
    <s v="M1502IA-EJ149W"/>
    <s v="90NB0Y52-M00680"/>
    <s v="M1502IA-EJ251W"/>
    <s v="90NB0Y52-M00B40"/>
    <s v="Silver"/>
    <s v="15.6&quot; FHD "/>
    <x v="8"/>
    <x v="4"/>
    <s v="UMA"/>
    <x v="2"/>
    <x v="5"/>
    <s v="Win 11"/>
    <n v="0"/>
    <n v="0"/>
    <n v="0"/>
    <n v="0"/>
    <n v="500"/>
    <n v="3000"/>
    <n v="4000"/>
    <n v="4000"/>
    <n v="4000"/>
    <m/>
    <m/>
    <m/>
  </r>
  <r>
    <s v="Pega"/>
    <s v="CKD"/>
    <x v="10"/>
    <s v="Can't config"/>
    <s v="Can't config"/>
    <s v="M1502IA-EJ251"/>
    <s v="90NB0Y52-M00B60"/>
    <s v="Silver"/>
    <s v="15.6&quot; FHD "/>
    <x v="8"/>
    <x v="4"/>
    <s v="UMA"/>
    <x v="2"/>
    <x v="5"/>
    <s v="KeeP OS"/>
    <n v="0"/>
    <n v="0"/>
    <n v="0"/>
    <n v="0"/>
    <n v="100"/>
    <n v="1200"/>
    <n v="2000"/>
    <n v="2000"/>
    <n v="2000"/>
    <m/>
    <m/>
    <m/>
  </r>
  <r>
    <s v="Pega"/>
    <s v="CKD"/>
    <x v="10"/>
    <s v="M1502IA-EJ334W"/>
    <s v="90NB0Y52-M00HT0"/>
    <s v=" TBD"/>
    <s v=" TBD"/>
    <s v="Silver"/>
    <s v="15.6&quot; FHD "/>
    <x v="8"/>
    <x v="4"/>
    <s v="UMA"/>
    <x v="4"/>
    <x v="5"/>
    <s v="Win 11"/>
    <m/>
    <m/>
    <m/>
    <n v="0"/>
    <n v="100"/>
    <n v="100"/>
    <n v="300"/>
    <n v="300"/>
    <n v="300"/>
    <m/>
    <m/>
    <m/>
  </r>
  <r>
    <s v="Pega"/>
    <s v="CKD"/>
    <x v="10"/>
    <s v="M1502IA-EJ151W"/>
    <s v="90NB0Y52-M006A0"/>
    <s v="M1502IA-EJ252W"/>
    <s v="90NB0Y52-M00B50"/>
    <s v="Silver"/>
    <s v="15.6&quot; FHD"/>
    <x v="9"/>
    <x v="4"/>
    <s v="UMA"/>
    <x v="2"/>
    <x v="5"/>
    <s v="Win 11"/>
    <n v="0"/>
    <n v="0"/>
    <n v="0"/>
    <n v="0"/>
    <n v="100"/>
    <n v="100"/>
    <n v="300"/>
    <n v="300"/>
    <n v="300"/>
    <m/>
    <m/>
    <m/>
  </r>
  <r>
    <s v="Pega"/>
    <s v="CKD"/>
    <x v="10"/>
    <s v="M1502IA-EJ151"/>
    <s v="90NB0Y52-M00K50"/>
    <s v="M1502IA-EJ210"/>
    <s v="90NB0Y52-M00KT0"/>
    <s v="Silver"/>
    <s v="15.6&quot; FHD "/>
    <x v="9"/>
    <x v="4"/>
    <s v="UMA"/>
    <x v="2"/>
    <x v="5"/>
    <s v="KeeP OS"/>
    <m/>
    <m/>
    <m/>
    <n v="0"/>
    <n v="50"/>
    <n v="50"/>
    <n v="100"/>
    <n v="100"/>
    <n v="100"/>
    <m/>
    <m/>
    <m/>
  </r>
  <r>
    <s v="Pega"/>
    <s v="CKD"/>
    <x v="10"/>
    <s v="M1502IA-EJ152W"/>
    <s v="90NB0Y52-M006B0"/>
    <s v="M1502IA-EJ211W"/>
    <s v="90NB0Y52-M00980"/>
    <s v="Silver"/>
    <s v="15.6&quot; FHD"/>
    <x v="9"/>
    <x v="5"/>
    <s v="UMA"/>
    <x v="2"/>
    <x v="5"/>
    <s v="Win 11"/>
    <n v="0"/>
    <n v="0"/>
    <n v="0"/>
    <n v="0"/>
    <n v="30"/>
    <n v="30"/>
    <n v="50"/>
    <n v="50"/>
    <n v="50"/>
    <m/>
    <m/>
    <m/>
  </r>
  <r>
    <s v="Pega"/>
    <s v="CKD"/>
    <x v="10"/>
    <s v="M1502IA-EJ384W"/>
    <s v="90NB0Y52-M00L50"/>
    <s v="TBD"/>
    <s v="TBD"/>
    <s v="Silver"/>
    <s v="15.6&quot; FHD "/>
    <x v="9"/>
    <x v="5"/>
    <s v="UMA"/>
    <x v="4"/>
    <x v="5"/>
    <s v="Win 11"/>
    <m/>
    <m/>
    <m/>
    <m/>
    <m/>
    <m/>
    <n v="50"/>
    <n v="50"/>
    <n v="50"/>
    <m/>
    <m/>
    <m/>
  </r>
  <r>
    <s v="Quanta"/>
    <s v="CKD"/>
    <x v="11"/>
    <s v="X515JF-EJ365W"/>
    <s v="90NB0SW1-M000V0"/>
    <s v="X515JF-EJ360W"/>
    <s v="90NB0SW1-M000Y0"/>
    <s v="Slate Grey"/>
    <s v="15.6&quot; FHD"/>
    <x v="3"/>
    <x v="4"/>
    <s v="MX130"/>
    <x v="2"/>
    <x v="2"/>
    <s v="Win 11 "/>
    <n v="0"/>
    <n v="0"/>
    <m/>
    <n v="0"/>
    <n v="0"/>
    <n v="0"/>
    <m/>
    <m/>
    <m/>
    <m/>
    <m/>
    <m/>
  </r>
  <r>
    <s v="Quanta"/>
    <s v="CKD"/>
    <x v="11"/>
    <s v="X515JF-EJ366W"/>
    <s v="90NB0SW1-M000W0"/>
    <s v="X515JF-EJ361W"/>
    <s v="90NB0SW1-M000Z0"/>
    <s v="Slate Grey"/>
    <s v="15.6&quot; FHD"/>
    <x v="3"/>
    <x v="4"/>
    <s v="MX130"/>
    <x v="5"/>
    <x v="2"/>
    <s v="Win 11 "/>
    <n v="0"/>
    <m/>
    <m/>
    <n v="0"/>
    <n v="0"/>
    <n v="0"/>
    <m/>
    <m/>
    <m/>
    <m/>
    <m/>
    <m/>
  </r>
  <r>
    <s v="Quanta"/>
    <s v="CKD"/>
    <x v="11"/>
    <s v="X515JF-EJ387W"/>
    <s v="90NB0SW1-M001S0"/>
    <s v="X515JF-EJ389W"/>
    <s v="90NB0SW1-M001U0"/>
    <s v="Slate Grey"/>
    <s v="15.6&quot; FHD"/>
    <x v="3"/>
    <x v="4"/>
    <s v="MX130"/>
    <x v="4"/>
    <x v="2"/>
    <s v="Win 11 "/>
    <n v="700"/>
    <n v="1000"/>
    <n v="950"/>
    <n v="0"/>
    <n v="0"/>
    <n v="0"/>
    <m/>
    <m/>
    <m/>
    <m/>
    <m/>
    <m/>
  </r>
  <r>
    <s v="Quanta"/>
    <s v="CKD"/>
    <x v="11"/>
    <s v="X515JF-EJ376W"/>
    <s v="90NB0SW1-M000X0"/>
    <s v="X515JF-EJ383W"/>
    <s v="90NB0SW1-M001M0"/>
    <s v="Slate Grey"/>
    <s v="15.6&quot; FHD"/>
    <x v="3"/>
    <x v="5"/>
    <s v="MX130"/>
    <x v="5"/>
    <x v="2"/>
    <s v="Win 11 "/>
    <n v="0"/>
    <m/>
    <m/>
    <n v="0"/>
    <n v="0"/>
    <n v="0"/>
    <m/>
    <m/>
    <m/>
    <m/>
    <m/>
    <m/>
  </r>
  <r>
    <s v="Quanta"/>
    <s v="CKD"/>
    <x v="11"/>
    <s v="X515JF-EJ388W"/>
    <s v="90NB0SW1-M001T0"/>
    <s v="X515JF-EJ390W"/>
    <s v="90NB0SW1-M001V0"/>
    <s v="Slate Grey"/>
    <s v="15.6&quot; FHD"/>
    <x v="3"/>
    <x v="5"/>
    <s v="MX130"/>
    <x v="4"/>
    <x v="2"/>
    <s v="Win 11 "/>
    <n v="0"/>
    <n v="50"/>
    <n v="100"/>
    <n v="0"/>
    <n v="0"/>
    <n v="0"/>
    <m/>
    <m/>
    <m/>
    <m/>
    <m/>
    <m/>
  </r>
  <r>
    <s v="Pega"/>
    <s v="CKD"/>
    <x v="12"/>
    <s v="X1500EP-EJ691W"/>
    <s v="90NB0TZ6-M00K80"/>
    <s v=" TBD"/>
    <s v=" TBD"/>
    <s v="Silver"/>
    <s v="15.6&quot; FHD"/>
    <x v="4"/>
    <x v="4"/>
    <s v="MX330"/>
    <x v="4"/>
    <x v="2"/>
    <s v="Win 11"/>
    <m/>
    <m/>
    <m/>
    <n v="300"/>
    <n v="300"/>
    <n v="300"/>
    <m/>
    <m/>
    <m/>
    <m/>
    <m/>
    <m/>
  </r>
  <r>
    <s v="Pega"/>
    <s v="CKD"/>
    <x v="7"/>
    <s v="X513EA-EJ2452W"/>
    <s v="90NB0SG4-M38400"/>
    <s v="X513EA-EJ3010W"/>
    <s v="90NB0SG4-M00FY0"/>
    <s v="Black"/>
    <s v="15.6&quot; FHD "/>
    <x v="10"/>
    <x v="4"/>
    <s v="UMA Iris Xe"/>
    <x v="2"/>
    <x v="2"/>
    <s v="Win 11"/>
    <n v="0"/>
    <n v="250"/>
    <n v="0"/>
    <n v="0"/>
    <n v="0"/>
    <n v="0"/>
    <m/>
    <m/>
    <m/>
    <m/>
    <m/>
    <m/>
  </r>
  <r>
    <s v="Pega"/>
    <s v="CKD"/>
    <x v="7"/>
    <s v="X513EA-EJ2452"/>
    <s v="90NB0SG4-M38410"/>
    <s v="X513EA-EJ3010"/>
    <s v="90NB0SG4-M00HN0"/>
    <s v="Black"/>
    <s v="15.6&quot; FHD "/>
    <x v="10"/>
    <x v="4"/>
    <s v="UMA Iris Xe"/>
    <x v="2"/>
    <x v="2"/>
    <s v="Endless"/>
    <n v="150"/>
    <n v="300"/>
    <n v="0"/>
    <n v="0"/>
    <n v="0"/>
    <n v="0"/>
    <m/>
    <m/>
    <m/>
    <m/>
    <m/>
    <m/>
  </r>
  <r>
    <s v="Pega"/>
    <s v="CKD"/>
    <x v="7"/>
    <s v="X513EA-EJ2453W"/>
    <s v="90NB0SG4-M38420"/>
    <s v="X513EA-EJ3012W"/>
    <s v="90NB0SG4-M00H00"/>
    <s v="Black"/>
    <s v="15.6&quot; FHD "/>
    <x v="10"/>
    <x v="4"/>
    <s v="UMA Iris Xe"/>
    <x v="5"/>
    <x v="2"/>
    <s v="Win 11"/>
    <n v="0"/>
    <m/>
    <m/>
    <n v="0"/>
    <n v="0"/>
    <n v="0"/>
    <m/>
    <m/>
    <m/>
    <m/>
    <m/>
    <m/>
  </r>
  <r>
    <s v="Pega"/>
    <s v="CKD"/>
    <x v="7"/>
    <s v="X513EA-EJ3517W"/>
    <s v="90NB0SG4-M01E90"/>
    <s v="X513EA-EJ3529W"/>
    <s v="90NB0SG4-M01EV0"/>
    <s v="Black"/>
    <s v="15.6&quot; FHD "/>
    <x v="10"/>
    <x v="4"/>
    <s v="UMA Iris Xe"/>
    <x v="4"/>
    <x v="2"/>
    <s v="Win 11"/>
    <n v="0"/>
    <n v="50"/>
    <n v="0"/>
    <n v="0"/>
    <n v="0"/>
    <n v="0"/>
    <m/>
    <m/>
    <m/>
    <m/>
    <m/>
    <m/>
  </r>
  <r>
    <s v="Pega"/>
    <s v="CKD"/>
    <x v="7"/>
    <s v="X513EA-EJ2454W"/>
    <s v="90NB0SG4-M38430"/>
    <s v="X513EA-EJ3011W"/>
    <s v="90NB0SG4-M00FZ0"/>
    <s v="Black"/>
    <s v="15.6&quot; FHD "/>
    <x v="10"/>
    <x v="5"/>
    <s v="UMA Iris Xe"/>
    <x v="4"/>
    <x v="2"/>
    <s v="Win 11"/>
    <n v="0"/>
    <n v="0"/>
    <n v="0"/>
    <n v="0"/>
    <n v="0"/>
    <n v="0"/>
    <m/>
    <m/>
    <m/>
    <m/>
    <m/>
    <m/>
  </r>
  <r>
    <s v="Pega"/>
    <s v="CKD"/>
    <x v="7"/>
    <s v="X513EA-EJ3106W"/>
    <s v="90NB0SG4-M00MA0"/>
    <s v="X513EA-EJ3203W"/>
    <s v="90NB0SG4-M00SN0"/>
    <s v="Black"/>
    <s v="15.6&quot;FHD"/>
    <x v="10"/>
    <x v="5"/>
    <s v="UMA Iris Xe"/>
    <x v="6"/>
    <x v="2"/>
    <s v="Win 11"/>
    <n v="0"/>
    <n v="0"/>
    <n v="0"/>
    <n v="0"/>
    <n v="0"/>
    <n v="0"/>
    <m/>
    <m/>
    <m/>
    <m/>
    <m/>
    <m/>
  </r>
  <r>
    <s v="Pega"/>
    <s v="CKD"/>
    <x v="8"/>
    <s v="X1502ZA-EJ481W"/>
    <s v="90NB0VX2-M00LN0"/>
    <s v="X1502ZA-EJ611W"/>
    <s v="90NB0VX2-M00TL0"/>
    <s v="Silver"/>
    <s v="16:10&quot; FHD "/>
    <x v="11"/>
    <x v="5"/>
    <s v="UMA Iris Xe"/>
    <x v="4"/>
    <x v="3"/>
    <s v="Win 11"/>
    <n v="200"/>
    <n v="200"/>
    <n v="200"/>
    <n v="0"/>
    <n v="0"/>
    <n v="0"/>
    <m/>
    <m/>
    <m/>
    <m/>
    <m/>
    <m/>
  </r>
  <r>
    <s v="Pega"/>
    <s v="CKD"/>
    <x v="13"/>
    <s v="X1605ZA-MB228W"/>
    <s v="90NB0ZA2-M00C50"/>
    <s v="X1605ZA-MB310W"/>
    <s v="90NB0ZA2-M00FT0"/>
    <s v="Silver"/>
    <s v="16:10&quot; FHD "/>
    <x v="11"/>
    <x v="4"/>
    <s v="UMA Iris Xe"/>
    <x v="2"/>
    <x v="3"/>
    <s v="Win 11"/>
    <m/>
    <m/>
    <m/>
    <n v="500"/>
    <n v="500"/>
    <n v="500"/>
    <n v="300"/>
    <n v="400"/>
    <n v="400"/>
    <m/>
    <m/>
    <m/>
  </r>
  <r>
    <s v="Pega"/>
    <s v="CKD"/>
    <x v="13"/>
    <s v="TBD"/>
    <s v="TBD"/>
    <s v=" TBD"/>
    <s v=" TBD"/>
    <s v="Silver"/>
    <s v="16:10&quot; FHD "/>
    <x v="11"/>
    <x v="4"/>
    <s v="UMA Iris Xe"/>
    <x v="2"/>
    <x v="3"/>
    <s v="KeeP OS"/>
    <m/>
    <m/>
    <m/>
    <n v="100"/>
    <n v="100"/>
    <n v="100"/>
    <n v="300"/>
    <n v="400"/>
    <n v="400"/>
    <m/>
    <m/>
    <m/>
  </r>
  <r>
    <s v="Pega"/>
    <s v="CKD"/>
    <x v="13"/>
    <s v="X1605ZA-MB204W"/>
    <s v="90NB0ZA2-M00AN0"/>
    <s v="X1605ZA-MB311W"/>
    <s v="90NB0ZA2-M00FU0"/>
    <s v="Silver"/>
    <s v="16:10&quot; FHD "/>
    <x v="11"/>
    <x v="4"/>
    <s v="UMA Iris Xe"/>
    <x v="4"/>
    <x v="3"/>
    <s v="Win 11"/>
    <m/>
    <m/>
    <m/>
    <n v="100"/>
    <n v="100"/>
    <n v="100"/>
    <n v="100"/>
    <n v="100"/>
    <n v="100"/>
    <m/>
    <m/>
    <m/>
  </r>
  <r>
    <s v="Pega"/>
    <s v="CKD"/>
    <x v="13"/>
    <s v="X1605ZA-MB229W"/>
    <s v="90NB0ZA2-M00C60"/>
    <s v="X1605ZA-MB312W"/>
    <s v="90NB0ZA2-M00FV0"/>
    <s v="Silver"/>
    <s v="16:10&quot; FHD "/>
    <x v="11"/>
    <x v="5"/>
    <s v="UMA Iris Xe"/>
    <x v="2"/>
    <x v="3"/>
    <s v="Win 11"/>
    <m/>
    <m/>
    <m/>
    <n v="100"/>
    <n v="100"/>
    <n v="100"/>
    <n v="100"/>
    <n v="100"/>
    <n v="100"/>
    <m/>
    <m/>
    <m/>
  </r>
  <r>
    <s v="Pega"/>
    <s v="CKD"/>
    <x v="13"/>
    <s v="X1605ZA-MB230W"/>
    <s v="90NB0ZA2-M00C70"/>
    <s v="X1605ZA-MB313W"/>
    <s v="90NB0ZA2-M00FW0"/>
    <s v="Silver"/>
    <s v="16:10&quot; FHD "/>
    <x v="11"/>
    <x v="5"/>
    <s v="UMA Iris Xe"/>
    <x v="4"/>
    <x v="3"/>
    <s v="Win 11"/>
    <m/>
    <m/>
    <m/>
    <n v="400"/>
    <n v="400"/>
    <n v="400"/>
    <n v="600"/>
    <n v="600"/>
    <n v="600"/>
    <m/>
    <m/>
    <m/>
  </r>
  <r>
    <s v="Pega"/>
    <s v="CKD"/>
    <x v="14"/>
    <s v=" K513EA-L13505W "/>
    <s v=" 90NB0SG1-M01DT0 "/>
    <s v="K513EA-L13522W"/>
    <s v="90NB0SG1-M01EE0"/>
    <s v="Black"/>
    <s v="15.6&quot;OLED"/>
    <x v="10"/>
    <x v="5"/>
    <s v="UMA Iris Xe"/>
    <x v="4"/>
    <x v="2"/>
    <s v="Win 11"/>
    <n v="0"/>
    <m/>
    <m/>
    <n v="0"/>
    <n v="0"/>
    <n v="0"/>
    <m/>
    <m/>
    <m/>
    <m/>
    <m/>
    <m/>
  </r>
  <r>
    <s v="Pega"/>
    <s v="CKD"/>
    <x v="15"/>
    <s v="K513EQ-EJ444W"/>
    <s v="90NB0SK1-M00BV0"/>
    <s v="K513EQ-EJ663W"/>
    <s v="90NB0SK1-M00CB0"/>
    <s v="Black"/>
    <s v="15.6&quot; FHD "/>
    <x v="10"/>
    <x v="5"/>
    <s v="MX350"/>
    <x v="4"/>
    <x v="2"/>
    <s v="Win 11"/>
    <n v="0"/>
    <n v="0"/>
    <n v="0"/>
    <n v="0"/>
    <n v="0"/>
    <n v="0"/>
    <m/>
    <m/>
    <m/>
    <m/>
    <m/>
    <m/>
  </r>
  <r>
    <s v="Pega"/>
    <s v="CKD"/>
    <x v="15"/>
    <s v="K513EQ-EJ665W"/>
    <s v="90NB0SK1-M00CE0"/>
    <s v="K513EQ-EJ682W"/>
    <s v="90NB0SK1-M00D40"/>
    <s v="Black"/>
    <s v="15.6&quot;FHD"/>
    <x v="10"/>
    <x v="5"/>
    <s v="MX350"/>
    <x v="6"/>
    <x v="2"/>
    <s v="Win 11"/>
    <n v="0"/>
    <n v="0"/>
    <n v="0"/>
    <n v="0"/>
    <n v="0"/>
    <n v="0"/>
    <m/>
    <m/>
    <m/>
    <m/>
    <m/>
    <m/>
  </r>
  <r>
    <s v="Quanta"/>
    <s v="SKD"/>
    <x v="16"/>
    <s v="K3504ZA-L1039W"/>
    <s v="90NB11S1-M001K0"/>
    <s v="TBD"/>
    <s v="TBD"/>
    <s v="Indie Black"/>
    <s v="15.6&quot; OLED"/>
    <x v="12"/>
    <x v="5"/>
    <s v="UMA Iris Xe"/>
    <x v="4"/>
    <x v="0"/>
    <s v="Win 11"/>
    <m/>
    <m/>
    <m/>
    <m/>
    <m/>
    <m/>
    <m/>
    <n v="150"/>
    <n v="150"/>
    <m/>
    <m/>
    <m/>
  </r>
  <r>
    <m/>
    <m/>
    <x v="16"/>
    <m/>
    <m/>
    <m/>
    <m/>
    <s v="Indie Black"/>
    <s v="15.6&quot; OLED"/>
    <x v="12"/>
    <x v="6"/>
    <s v="UMA Iris Xe"/>
    <x v="6"/>
    <x v="0"/>
    <s v="Win 11"/>
    <m/>
    <m/>
    <m/>
    <m/>
    <m/>
    <m/>
    <m/>
    <n v="20"/>
    <n v="20"/>
    <m/>
    <m/>
    <m/>
  </r>
  <r>
    <s v="Quanta"/>
    <s v="SKD"/>
    <x v="17"/>
    <s v="K3500PH-KJ079W"/>
    <s v="90NB0UV1-M007E0"/>
    <s v="K3500PH-KJ378W"/>
    <s v="90NB0UV1-M008H0"/>
    <s v="Silver"/>
    <s v="15.6&quot; FHD "/>
    <x v="13"/>
    <x v="4"/>
    <s v="GTX1650"/>
    <x v="4"/>
    <x v="6"/>
    <s v="Win 11"/>
    <n v="0"/>
    <n v="0"/>
    <n v="0"/>
    <n v="0"/>
    <n v="0"/>
    <n v="0"/>
    <m/>
    <m/>
    <m/>
    <m/>
    <m/>
    <m/>
  </r>
  <r>
    <s v="Quanta"/>
    <s v="CKD"/>
    <x v="18"/>
    <s v="K3605ZF-N1044W"/>
    <s v="90NB11E1-M001J0"/>
    <s v="TBD"/>
    <s v="TBD"/>
    <s v="Indie Black"/>
    <s v="15.6&quot; FHD (144Hz)"/>
    <x v="14"/>
    <x v="4"/>
    <s v="RTX2050"/>
    <x v="4"/>
    <x v="0"/>
    <s v="Win 11"/>
    <m/>
    <m/>
    <m/>
    <m/>
    <m/>
    <m/>
    <n v="400"/>
    <n v="500"/>
    <n v="500"/>
    <m/>
    <m/>
    <m/>
  </r>
  <r>
    <s v="Quanta"/>
    <s v="CKD"/>
    <x v="18"/>
    <s v="TBD"/>
    <s v="TBD"/>
    <s v="TBD"/>
    <s v="TBD"/>
    <s v="Indie Black"/>
    <s v="15.6&quot; FHD (144Hz)"/>
    <x v="14"/>
    <x v="4"/>
    <s v="RTX2050"/>
    <x v="4"/>
    <x v="0"/>
    <s v="KeepOS"/>
    <m/>
    <m/>
    <m/>
    <m/>
    <m/>
    <m/>
    <n v="200"/>
    <n v="200"/>
    <n v="200"/>
    <m/>
    <m/>
    <m/>
  </r>
  <r>
    <s v="Quanta"/>
    <s v="CKD"/>
    <x v="18"/>
    <s v="TBD"/>
    <s v="TBD"/>
    <s v="TBD"/>
    <s v="TBD"/>
    <s v="Indie Black"/>
    <s v="15.6&quot; FHD (144Hz)"/>
    <x v="14"/>
    <x v="5"/>
    <s v="RTX2050"/>
    <x v="4"/>
    <x v="0"/>
    <s v="KeepOS"/>
    <m/>
    <m/>
    <m/>
    <m/>
    <m/>
    <m/>
    <n v="50"/>
    <n v="50"/>
    <n v="50"/>
    <m/>
    <m/>
    <m/>
  </r>
  <r>
    <s v="Quanta"/>
    <s v="SKD"/>
    <x v="19"/>
    <s v="K3500PC-KJ279W"/>
    <s v="90NB0UW1-M002F0 "/>
    <s v="K3500PC-KJ391W"/>
    <s v="90NB0UW1-M00AM0"/>
    <s v="Silver"/>
    <s v="15.6&quot; FHD "/>
    <x v="13"/>
    <x v="5"/>
    <s v="RTX3050"/>
    <x v="4"/>
    <x v="6"/>
    <s v="Win 11"/>
    <n v="0"/>
    <n v="0"/>
    <n v="0"/>
    <n v="0"/>
    <n v="0"/>
    <n v="0"/>
    <m/>
    <m/>
    <m/>
    <m/>
    <m/>
    <m/>
  </r>
  <r>
    <s v="Quanta"/>
    <s v="SKD"/>
    <x v="19"/>
    <s v="K3500PC-KJ278W"/>
    <s v="90NB0UW1-M002E0"/>
    <s v="K3500PC-KJ390W"/>
    <s v="90NB0UW1-M00AL0"/>
    <s v="Silver"/>
    <s v="15.6&quot; FHD "/>
    <x v="15"/>
    <x v="5"/>
    <s v="RTX3050"/>
    <x v="4"/>
    <x v="6"/>
    <s v="Win 11"/>
    <n v="0"/>
    <n v="0"/>
    <n v="0"/>
    <n v="0"/>
    <n v="0"/>
    <n v="0"/>
    <m/>
    <m/>
    <m/>
    <m/>
    <m/>
    <m/>
  </r>
  <r>
    <s v="Quanta"/>
    <s v="SKD"/>
    <x v="20"/>
    <s v="M3500QC-KJ270W"/>
    <s v="90NB0UT1-M04810"/>
    <s v="M3500QC-KJ432W"/>
    <s v="90NB0UT1-M00AM0"/>
    <s v="Silver"/>
    <s v="15.6&quot; FHD "/>
    <x v="16"/>
    <x v="5"/>
    <s v="RTX3050"/>
    <x v="4"/>
    <x v="6"/>
    <s v="Win 11"/>
    <n v="0"/>
    <n v="0"/>
    <n v="0"/>
    <n v="0"/>
    <n v="0"/>
    <n v="0"/>
    <m/>
    <m/>
    <m/>
    <m/>
    <m/>
    <m/>
  </r>
  <r>
    <s v="Huaqin"/>
    <s v="SKD"/>
    <x v="21"/>
    <s v="K6502ZC-LP043W"/>
    <s v="90NB0Z61-M00250"/>
    <s v="K6502ZC-LP105W"/>
    <s v="90NB0Z61-M00700"/>
    <s v="Quite Blue"/>
    <s v="15.6&quot; FHD (144Hz)"/>
    <x v="14"/>
    <x v="5"/>
    <s v="RTX3050"/>
    <x v="4"/>
    <x v="7"/>
    <s v="Win 11"/>
    <n v="0"/>
    <n v="200"/>
    <n v="0"/>
    <n v="100"/>
    <n v="0"/>
    <n v="0"/>
    <m/>
    <m/>
    <m/>
    <m/>
    <m/>
    <m/>
  </r>
  <r>
    <s v="Huaqin"/>
    <s v="CKD"/>
    <x v="22"/>
    <s v="K6502HC-LP084W"/>
    <s v="90NB0YX1-M005K0"/>
    <s v="K6502HC-LP095W"/>
    <s v="90NB0YX1-M006C0"/>
    <s v="Quite Blue"/>
    <s v="15.6&quot; FHD (144Hz)"/>
    <x v="17"/>
    <x v="5"/>
    <s v="RTX3050"/>
    <x v="4"/>
    <x v="7"/>
    <s v="Win 11"/>
    <n v="200"/>
    <n v="300"/>
    <n v="500"/>
    <n v="600"/>
    <n v="400"/>
    <n v="400"/>
    <n v="200"/>
    <m/>
    <m/>
    <m/>
    <m/>
    <m/>
  </r>
  <r>
    <s v="Huaqin"/>
    <s v="CKD"/>
    <x v="22"/>
    <s v="K6502HC-LP090W"/>
    <s v="90NB0YX1-M00610"/>
    <s v="K6502HC-LP096W"/>
    <s v="90NB0YX1-M006D0"/>
    <s v="Quite Blue"/>
    <s v="15.6&quot; FHD (144Hz)"/>
    <x v="17"/>
    <x v="5"/>
    <s v="RTX3050"/>
    <x v="6"/>
    <x v="7"/>
    <s v="Win 11"/>
    <n v="50"/>
    <n v="50"/>
    <n v="50"/>
    <n v="100"/>
    <n v="50"/>
    <n v="50"/>
    <n v="50"/>
    <m/>
    <m/>
    <m/>
    <m/>
    <m/>
  </r>
  <r>
    <s v="Huaqin"/>
    <s v="SKD"/>
    <x v="23"/>
    <s v="M6500RC-HN084W"/>
    <s v="90NB0YK1-M003H0"/>
    <s v="M6500RC-HN088W"/>
    <s v="90NB0YK1-M003P0"/>
    <s v="Quite Blue"/>
    <s v="15.6&quot; FHD (144Hz)"/>
    <x v="18"/>
    <x v="5"/>
    <s v="RTX3050"/>
    <x v="4"/>
    <x v="7"/>
    <s v="Win 11"/>
    <n v="0"/>
    <n v="200"/>
    <n v="0"/>
    <n v="100"/>
    <n v="0"/>
    <n v="0"/>
    <m/>
    <m/>
    <m/>
    <m/>
    <m/>
    <m/>
  </r>
  <r>
    <s v="Quanta"/>
    <s v="CKD"/>
    <x v="24"/>
    <s v="FX507ZC4-HN100"/>
    <s v="90NR0GW1-M006M0"/>
    <s v="TBD"/>
    <s v="TBD"/>
    <s v="Grey"/>
    <s v="15.6&quot; FHD (144Hz)"/>
    <x v="19"/>
    <x v="4"/>
    <s v="RTX3050"/>
    <x v="4"/>
    <x v="8"/>
    <s v="Non OS"/>
    <m/>
    <m/>
    <m/>
    <n v="200"/>
    <n v="200"/>
    <n v="200"/>
    <n v="300"/>
    <n v="300"/>
    <n v="300"/>
    <m/>
    <m/>
    <m/>
  </r>
  <r>
    <s v="Quanta"/>
    <s v="CKD"/>
    <x v="24"/>
    <s v="FX507ZC4-HN101W"/>
    <s v="90NR0GW1-M006H0"/>
    <s v="TBD"/>
    <s v="TBD"/>
    <s v="Grey"/>
    <s v="15.6&quot; FHD (144Hz)"/>
    <x v="19"/>
    <x v="5"/>
    <s v="RTX3050"/>
    <x v="4"/>
    <x v="8"/>
    <s v="Win 11"/>
    <m/>
    <m/>
    <m/>
    <n v="100"/>
    <n v="100"/>
    <n v="100"/>
    <n v="100"/>
    <n v="100"/>
    <n v="100"/>
    <m/>
    <m/>
    <m/>
  </r>
  <r>
    <m/>
    <m/>
    <x v="25"/>
    <s v="G614JV-N3094W"/>
    <s v="90NR0C61-M004W0"/>
    <s v="TBD"/>
    <s v="TBD"/>
    <s v="Grey"/>
    <s v="16&quot; WUXGA (165Hz)"/>
    <x v="20"/>
    <x v="5"/>
    <s v="RTX4060"/>
    <x v="4"/>
    <x v="0"/>
    <s v="Win 11"/>
    <m/>
    <m/>
    <m/>
    <m/>
    <m/>
    <m/>
    <n v="200"/>
    <n v="100"/>
    <n v="100"/>
    <m/>
    <m/>
    <m/>
  </r>
  <r>
    <s v="Huaqin"/>
    <s v="SKD"/>
    <x v="26"/>
    <s v="UX325JA-KG293W"/>
    <s v="90NB0QY1-M000H0"/>
    <s v="UX325JA-KG302W"/>
    <s v="90NB0QY1-M000R0"/>
    <s v="Pine Grey"/>
    <s v="13.3&quot; OELD"/>
    <x v="3"/>
    <x v="4"/>
    <s v="UMA"/>
    <x v="2"/>
    <x v="9"/>
    <s v="Win 11"/>
    <n v="0"/>
    <n v="0"/>
    <n v="0"/>
    <n v="0"/>
    <n v="0"/>
    <n v="0"/>
    <m/>
    <m/>
    <m/>
    <m/>
    <m/>
    <m/>
  </r>
  <r>
    <s v="Huaqin"/>
    <s v="SKD"/>
    <x v="27"/>
    <s v="UX325EA-KG846W"/>
    <s v="90NB0SL1-M00LU0"/>
    <s v="UX325EA-KG856W"/>
    <s v="90NB0SL1-M00MF0"/>
    <s v="Pine Grey"/>
    <s v="13.3&quot; OELD"/>
    <x v="4"/>
    <x v="4"/>
    <s v="UMA"/>
    <x v="2"/>
    <x v="9"/>
    <s v="Win 11"/>
    <n v="0"/>
    <n v="0"/>
    <n v="0"/>
    <n v="0"/>
    <n v="0"/>
    <n v="0"/>
    <m/>
    <m/>
    <m/>
    <m/>
    <m/>
    <m/>
  </r>
  <r>
    <s v="Huaqin"/>
    <s v="SKD"/>
    <x v="28"/>
    <s v="UX3402ZA-KM444W"/>
    <s v="90NB0WC1-M00X50"/>
    <s v="UX3402ZA-KM532W"/>
    <s v="90NB0WC1-M012F0"/>
    <s v="Pine Grey"/>
    <s v="14&quot; OLED (16:10) "/>
    <x v="21"/>
    <x v="5"/>
    <s v="UMA"/>
    <x v="6"/>
    <x v="9"/>
    <s v="Win 11"/>
    <n v="50"/>
    <n v="100"/>
    <n v="0"/>
    <n v="0"/>
    <n v="0"/>
    <n v="0"/>
    <m/>
    <m/>
    <m/>
    <m/>
    <m/>
    <m/>
  </r>
  <r>
    <s v="Pega"/>
    <s v="SKD"/>
    <x v="29"/>
    <s v="UX5401ZA-L7143W"/>
    <s v="90NB0WM5-M007N0"/>
    <s v="UX5401ZA-L7140W"/>
    <s v="90NB0WM5-M007K0"/>
    <s v="Pine Grey"/>
    <s v="14&quot; OLED (16:10) "/>
    <x v="22"/>
    <x v="5"/>
    <s v="UMA"/>
    <x v="4"/>
    <x v="10"/>
    <s v="Win 11"/>
    <n v="0"/>
    <n v="0"/>
    <n v="0"/>
    <n v="0"/>
    <n v="0"/>
    <n v="0"/>
    <m/>
    <m/>
    <m/>
    <m/>
    <m/>
    <m/>
  </r>
  <r>
    <s v="Pega"/>
    <s v="SKD"/>
    <x v="29"/>
    <s v="UX5401ZA-L7144W"/>
    <s v="90NB0WM5-M007P0"/>
    <s v="UX5401ZA-L7145W"/>
    <s v="90NB0WM5-M007R0"/>
    <s v="Pine Grey"/>
    <s v="14&quot; OLED (16:10) "/>
    <x v="22"/>
    <x v="5"/>
    <s v="UMA"/>
    <x v="6"/>
    <x v="10"/>
    <s v="Win 11"/>
    <n v="0"/>
    <n v="0"/>
    <n v="0"/>
    <n v="0"/>
    <n v="0"/>
    <n v="0"/>
    <m/>
    <m/>
    <m/>
    <m/>
    <m/>
    <m/>
  </r>
  <r>
    <s v="Pega"/>
    <s v="SKD"/>
    <x v="30"/>
    <s v="UX5304VA-NQ035W"/>
    <s v="90NB0Z92-M001B0"/>
    <s v="TBD"/>
    <s v="TBD"/>
    <s v="Basalt Grey"/>
    <s v="13.3&quot; OLED"/>
    <x v="23"/>
    <x v="5"/>
    <s v="UMA Iris Xe"/>
    <x v="6"/>
    <x v="0"/>
    <s v="Win 11"/>
    <m/>
    <m/>
    <m/>
    <m/>
    <m/>
    <m/>
    <n v="50"/>
    <n v="50"/>
    <n v="50"/>
    <m/>
    <m/>
    <m/>
  </r>
  <r>
    <m/>
    <m/>
    <x v="30"/>
    <m/>
    <m/>
    <m/>
    <m/>
    <s v="Basalt Grey"/>
    <s v="13.3&quot; OLED"/>
    <x v="23"/>
    <x v="6"/>
    <s v="UMA Iris Xe"/>
    <x v="7"/>
    <x v="0"/>
    <s v="Win 11"/>
    <m/>
    <m/>
    <m/>
    <m/>
    <m/>
    <m/>
    <m/>
    <m/>
    <m/>
    <m/>
    <m/>
    <m/>
  </r>
  <r>
    <s v="Pega"/>
    <s v="SKD"/>
    <x v="31"/>
    <s v="UX482EAR-KA393W"/>
    <s v="90NB0S41-M002M0"/>
    <s v="UX482EAR-KA370W"/>
    <s v="90NB0S41-M000T0"/>
    <s v="Azul Celestial"/>
    <s v="14&quot; FHD"/>
    <x v="24"/>
    <x v="4"/>
    <s v="UMA"/>
    <x v="4"/>
    <x v="9"/>
    <s v="Win 11"/>
    <n v="0"/>
    <n v="0"/>
    <n v="0"/>
    <n v="0"/>
    <n v="0"/>
    <n v="0"/>
    <m/>
    <m/>
    <m/>
    <m/>
    <m/>
    <m/>
  </r>
  <r>
    <s v="Pega"/>
    <s v="SKD"/>
    <x v="31"/>
    <s v="UX482EAR-HY434W"/>
    <s v="90NB0S41-M005E0"/>
    <s v="UX482EAR-HY439W"/>
    <s v="90NB0S41-M005S0"/>
    <s v="Azul Celestial"/>
    <s v="14&quot; FHD"/>
    <x v="24"/>
    <x v="4"/>
    <s v="UMA"/>
    <x v="4"/>
    <x v="9"/>
    <s v="Win 11"/>
    <n v="0"/>
    <n v="0"/>
    <n v="0"/>
    <n v="0"/>
    <n v="0"/>
    <n v="0"/>
    <m/>
    <m/>
    <m/>
    <m/>
    <m/>
    <m/>
  </r>
  <r>
    <s v="Pega"/>
    <s v="SKD"/>
    <x v="31"/>
    <s v="UX482EAR-KA394W"/>
    <s v="90NB0S41-M002N0"/>
    <s v="UX482EAR-KA371W"/>
    <s v="90NB0S41-M000U0"/>
    <s v="Azul Celestial"/>
    <s v="14&quot; FHD"/>
    <x v="24"/>
    <x v="5"/>
    <s v="UMA"/>
    <x v="4"/>
    <x v="9"/>
    <s v="Win 11"/>
    <n v="0"/>
    <n v="0"/>
    <n v="0"/>
    <n v="0"/>
    <n v="0"/>
    <n v="0"/>
    <m/>
    <m/>
    <m/>
    <m/>
    <m/>
    <m/>
  </r>
  <r>
    <s v="Pega"/>
    <s v="SKD"/>
    <x v="31"/>
    <s v="UX482EAR-HY432W"/>
    <s v="90NB0S41-M005B0"/>
    <s v="UX482EAR-HY438W"/>
    <s v="90NB0S41-M005R0"/>
    <s v="Azul Celestial"/>
    <s v="14&quot; FHD"/>
    <x v="24"/>
    <x v="5"/>
    <s v="UMA"/>
    <x v="4"/>
    <x v="9"/>
    <s v="Win 11"/>
    <n v="0"/>
    <n v="0"/>
    <n v="0"/>
    <n v="0"/>
    <n v="0"/>
    <n v="0"/>
    <m/>
    <m/>
    <m/>
    <m/>
    <m/>
    <m/>
  </r>
  <r>
    <m/>
    <m/>
    <x v="32"/>
    <m/>
    <m/>
    <m/>
    <m/>
    <m/>
    <m/>
    <x v="25"/>
    <x v="7"/>
    <m/>
    <x v="8"/>
    <x v="11"/>
    <m/>
    <m/>
    <m/>
    <m/>
    <m/>
    <m/>
    <m/>
    <m/>
    <m/>
    <m/>
    <m/>
    <m/>
    <m/>
  </r>
  <r>
    <m/>
    <m/>
    <x v="33"/>
    <m/>
    <m/>
    <m/>
    <m/>
    <m/>
    <m/>
    <x v="25"/>
    <x v="7"/>
    <m/>
    <x v="8"/>
    <x v="11"/>
    <m/>
    <n v="22000"/>
    <n v="23100"/>
    <n v="20600"/>
    <n v="23050"/>
    <n v="23730"/>
    <n v="23630"/>
    <n v="29000"/>
    <n v="26120"/>
    <n v="25120"/>
    <n v="0"/>
    <n v="0"/>
    <n v="0"/>
  </r>
  <r>
    <m/>
    <m/>
    <x v="32"/>
    <m/>
    <m/>
    <m/>
    <m/>
    <m/>
    <m/>
    <x v="25"/>
    <x v="7"/>
    <m/>
    <x v="8"/>
    <x v="11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compact="0" compactData="0" gridDropZones="1" multipleFieldFilters="0">
  <location ref="A5:L69" firstHeaderRow="1" firstDataRow="2" firstDataCol="3" rowPageCount="2" colPageCount="1"/>
  <pivotFields count="27">
    <pivotField compact="0" outline="0" showAll="0"/>
    <pivotField compact="0" outline="0" showAll="0"/>
    <pivotField axis="axisRow" compact="0" outline="0" showAll="0" defaultSubtotal="0">
      <items count="34">
        <item x="4"/>
        <item x="11"/>
        <item x="5"/>
        <item x="1"/>
        <item x="9"/>
        <item x="3"/>
        <item x="2"/>
        <item x="7"/>
        <item x="10"/>
        <item x="8"/>
        <item x="27"/>
        <item x="31"/>
        <item x="28"/>
        <item x="29"/>
        <item x="22"/>
        <item x="21"/>
        <item x="32"/>
        <item x="33"/>
        <item x="0"/>
        <item x="6"/>
        <item x="12"/>
        <item x="14"/>
        <item x="15"/>
        <item x="17"/>
        <item x="19"/>
        <item x="20"/>
        <item x="23"/>
        <item x="26"/>
        <item x="13"/>
        <item x="16"/>
        <item x="18"/>
        <item x="24"/>
        <item x="25"/>
        <item x="3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1">
        <item x="0"/>
        <item x="1"/>
        <item x="2"/>
        <item x="3"/>
        <item x="4"/>
        <item m="1" x="26"/>
        <item x="10"/>
        <item x="6"/>
        <item x="16"/>
        <item x="13"/>
        <item x="15"/>
        <item x="22"/>
        <item x="24"/>
        <item x="5"/>
        <item x="8"/>
        <item x="9"/>
        <item x="11"/>
        <item x="7"/>
        <item x="21"/>
        <item m="1" x="29"/>
        <item m="1" x="30"/>
        <item m="1" x="28"/>
        <item m="1" x="27"/>
        <item x="25"/>
        <item x="14"/>
        <item x="17"/>
        <item x="18"/>
        <item x="12"/>
        <item x="19"/>
        <item x="20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9">
        <item x="5"/>
        <item x="1"/>
        <item x="2"/>
        <item x="0"/>
        <item x="4"/>
        <item x="3"/>
        <item x="7"/>
        <item x="6"/>
        <item t="default"/>
      </items>
    </pivotField>
    <pivotField compact="0" outline="0" showAll="0"/>
    <pivotField axis="axisRow" compact="0" outline="0" showAll="0">
      <items count="10">
        <item x="3"/>
        <item x="1"/>
        <item x="5"/>
        <item x="2"/>
        <item x="0"/>
        <item x="4"/>
        <item x="8"/>
        <item x="6"/>
        <item x="7"/>
        <item t="default"/>
      </items>
    </pivotField>
    <pivotField axis="axisPage" compact="0" outline="0" showAll="0">
      <items count="14">
        <item x="9"/>
        <item x="11"/>
        <item x="1"/>
        <item x="4"/>
        <item x="2"/>
        <item x="6"/>
        <item m="1" x="12"/>
        <item x="5"/>
        <item x="10"/>
        <item x="0"/>
        <item x="3"/>
        <item x="7"/>
        <item x="8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2"/>
    <field x="9"/>
    <field x="12"/>
  </rowFields>
  <rowItems count="63">
    <i>
      <x/>
      <x v="1"/>
      <x v="1"/>
    </i>
    <i r="2">
      <x v="3"/>
    </i>
    <i r="1">
      <x v="3"/>
      <x v="3"/>
    </i>
    <i r="2">
      <x v="5"/>
    </i>
    <i>
      <x v="1"/>
      <x v="3"/>
      <x v="2"/>
    </i>
    <i r="2">
      <x v="3"/>
    </i>
    <i r="2">
      <x v="5"/>
    </i>
    <i>
      <x v="2"/>
      <x v="2"/>
      <x v="3"/>
    </i>
    <i>
      <x v="3"/>
      <x/>
      <x v="1"/>
    </i>
    <i r="2">
      <x v="3"/>
    </i>
    <i>
      <x v="4"/>
      <x v="7"/>
      <x v="3"/>
    </i>
    <i r="1">
      <x v="17"/>
      <x v="3"/>
    </i>
    <i>
      <x v="5"/>
      <x/>
      <x/>
    </i>
    <i>
      <x v="6"/>
      <x/>
      <x v="1"/>
    </i>
    <i>
      <x v="7"/>
      <x v="4"/>
      <x v="3"/>
    </i>
    <i r="2">
      <x v="5"/>
    </i>
    <i r="1">
      <x v="6"/>
      <x v="2"/>
    </i>
    <i r="2">
      <x v="3"/>
    </i>
    <i r="2">
      <x v="5"/>
    </i>
    <i r="2">
      <x v="7"/>
    </i>
    <i>
      <x v="8"/>
      <x v="14"/>
      <x v="3"/>
    </i>
    <i r="2">
      <x v="5"/>
    </i>
    <i r="1">
      <x v="15"/>
      <x v="3"/>
    </i>
    <i r="2">
      <x v="5"/>
    </i>
    <i>
      <x v="9"/>
      <x v="13"/>
      <x v="3"/>
    </i>
    <i r="2">
      <x v="5"/>
    </i>
    <i r="1">
      <x v="16"/>
      <x v="5"/>
    </i>
    <i>
      <x v="10"/>
      <x v="4"/>
      <x v="3"/>
    </i>
    <i>
      <x v="11"/>
      <x v="12"/>
      <x v="5"/>
    </i>
    <i>
      <x v="12"/>
      <x v="18"/>
      <x v="7"/>
    </i>
    <i>
      <x v="13"/>
      <x v="11"/>
      <x v="5"/>
    </i>
    <i r="2">
      <x v="7"/>
    </i>
    <i>
      <x v="14"/>
      <x v="25"/>
      <x v="5"/>
    </i>
    <i r="2">
      <x v="7"/>
    </i>
    <i>
      <x v="15"/>
      <x v="24"/>
      <x v="5"/>
    </i>
    <i>
      <x v="16"/>
      <x v="23"/>
      <x v="6"/>
    </i>
    <i>
      <x v="17"/>
      <x v="23"/>
      <x v="6"/>
    </i>
    <i>
      <x v="18"/>
      <x/>
      <x v="4"/>
    </i>
    <i>
      <x v="19"/>
      <x v="2"/>
      <x v="1"/>
    </i>
    <i r="2">
      <x v="3"/>
    </i>
    <i r="2">
      <x v="5"/>
    </i>
    <i r="1">
      <x v="4"/>
      <x v="3"/>
    </i>
    <i r="2">
      <x v="5"/>
    </i>
    <i>
      <x v="20"/>
      <x v="4"/>
      <x v="5"/>
    </i>
    <i>
      <x v="21"/>
      <x v="6"/>
      <x v="5"/>
    </i>
    <i>
      <x v="22"/>
      <x v="6"/>
      <x v="5"/>
    </i>
    <i r="2">
      <x v="7"/>
    </i>
    <i>
      <x v="23"/>
      <x v="9"/>
      <x v="5"/>
    </i>
    <i>
      <x v="24"/>
      <x v="9"/>
      <x v="5"/>
    </i>
    <i r="1">
      <x v="10"/>
      <x v="5"/>
    </i>
    <i>
      <x v="25"/>
      <x v="8"/>
      <x v="5"/>
    </i>
    <i>
      <x v="26"/>
      <x v="26"/>
      <x v="5"/>
    </i>
    <i>
      <x v="27"/>
      <x v="3"/>
      <x v="3"/>
    </i>
    <i>
      <x v="28"/>
      <x v="16"/>
      <x v="3"/>
    </i>
    <i r="2">
      <x v="5"/>
    </i>
    <i>
      <x v="29"/>
      <x v="27"/>
      <x v="5"/>
    </i>
    <i r="2">
      <x v="7"/>
    </i>
    <i>
      <x v="30"/>
      <x v="24"/>
      <x v="5"/>
    </i>
    <i>
      <x v="31"/>
      <x v="28"/>
      <x v="5"/>
    </i>
    <i>
      <x v="32"/>
      <x v="29"/>
      <x v="5"/>
    </i>
    <i>
      <x v="33"/>
      <x v="30"/>
      <x v="7"/>
    </i>
    <i r="2">
      <x v="8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13" hier="-1"/>
    <pageField fld="10" hier="-1"/>
  </pageFields>
  <dataFields count="9">
    <dataField name="加總 - Jan" fld="15" baseField="10" baseItem="0"/>
    <dataField name="加總 - Feb" fld="16" baseField="10" baseItem="0"/>
    <dataField name="加總 - Mar" fld="17" baseField="10" baseItem="0"/>
    <dataField name="加總 - Apr" fld="18" baseField="9" baseItem="1"/>
    <dataField name="加總 - May" fld="19" baseField="9" baseItem="1"/>
    <dataField name="加總 - Jun" fld="20" baseField="9" baseItem="1"/>
    <dataField name="加總 - Jul" fld="21" baseField="9" baseItem="1"/>
    <dataField name="加總 - Aug" fld="22" baseField="9" baseItem="1"/>
    <dataField name="加總 - Sep" fld="23" baseField="9" baseItem="1"/>
  </dataFields>
  <formats count="16">
    <format dxfId="15">
      <pivotArea type="all" dataOnly="0" outline="0" fieldPosition="0"/>
    </format>
    <format dxfId="14">
      <pivotArea outline="0" collapsedLevelsAreSubtotals="1" fieldPosition="0"/>
    </format>
    <format dxfId="13">
      <pivotArea type="origin" dataOnly="0" labelOnly="1" outline="0" fieldPosition="0"/>
    </format>
    <format dxfId="12">
      <pivotArea field="-2" type="button" dataOnly="0" labelOnly="1" outline="0" axis="axisCol" fieldPosition="0"/>
    </format>
    <format dxfId="11">
      <pivotArea type="topRight" dataOnly="0" labelOnly="1" outline="0" fieldPosition="0"/>
    </format>
    <format dxfId="10">
      <pivotArea field="9" type="button" dataOnly="0" labelOnly="1" outline="0" axis="axisRow" fieldPosition="1"/>
    </format>
    <format dxfId="9">
      <pivotArea field="10" type="button" dataOnly="0" labelOnly="1" outline="0" axis="axisPage" fieldPosition="1"/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field="-2" type="button" dataOnly="0" labelOnly="1" outline="0" axis="axisCol" fieldPosition="0"/>
    </format>
    <format dxfId="3">
      <pivotArea type="topRight" dataOnly="0" labelOnly="1" outline="0" fieldPosition="0"/>
    </format>
    <format dxfId="2">
      <pivotArea field="9" type="button" dataOnly="0" labelOnly="1" outline="0" axis="axisRow" fieldPosition="1"/>
    </format>
    <format dxfId="1">
      <pivotArea field="10" type="button" dataOnly="0" labelOnly="1" outline="0" axis="axisPage" fieldPosition="1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47"/>
  <sheetViews>
    <sheetView showGridLines="0" zoomScale="80" zoomScaleNormal="80" workbookViewId="0">
      <selection activeCell="G24" sqref="G24"/>
    </sheetView>
  </sheetViews>
  <sheetFormatPr defaultRowHeight="14.4" outlineLevelCol="1"/>
  <cols>
    <col min="1" max="1" width="9.109375" style="11" customWidth="1"/>
    <col min="2" max="2" width="16.33203125" style="11" customWidth="1"/>
    <col min="3" max="3" width="29.109375" style="11" customWidth="1"/>
    <col min="4" max="4" width="15.6640625" style="11" customWidth="1" outlineLevel="1"/>
    <col min="5" max="5" width="15.44140625" style="11" customWidth="1" outlineLevel="1"/>
    <col min="6" max="6" width="12.88671875" style="11" customWidth="1" outlineLevel="1"/>
    <col min="7" max="7" width="13.109375" style="11" customWidth="1" outlineLevel="1"/>
    <col min="8" max="8" width="13.33203125" style="11" customWidth="1" outlineLevel="1"/>
    <col min="9" max="9" width="12" style="11" customWidth="1" outlineLevel="1"/>
    <col min="10" max="10" width="18.6640625" style="11" customWidth="1" outlineLevel="1"/>
    <col min="11" max="12" width="8.44140625" style="11" bestFit="1" customWidth="1"/>
    <col min="13" max="13" width="8.44140625" bestFit="1" customWidth="1"/>
    <col min="14" max="14" width="7.109375" bestFit="1" customWidth="1"/>
    <col min="15" max="15" width="8.44140625" customWidth="1"/>
  </cols>
  <sheetData>
    <row r="1" spans="1:15" ht="23.1" customHeight="1">
      <c r="B1" s="118">
        <v>2023</v>
      </c>
      <c r="C1" s="59"/>
      <c r="D1" s="60"/>
      <c r="E1" s="60"/>
      <c r="F1" s="60"/>
      <c r="G1" s="61"/>
      <c r="H1" s="62"/>
      <c r="I1" s="63"/>
      <c r="J1" s="63"/>
    </row>
    <row r="2" spans="1:15" s="11" customFormat="1" ht="27.9" customHeight="1">
      <c r="B2" s="528" t="s">
        <v>45</v>
      </c>
      <c r="C2" s="530" t="s">
        <v>46</v>
      </c>
      <c r="D2" s="64"/>
      <c r="E2" s="64"/>
      <c r="F2" s="64"/>
      <c r="G2" s="61"/>
      <c r="H2" s="124"/>
      <c r="I2" s="63"/>
      <c r="J2" s="63"/>
    </row>
    <row r="3" spans="1:15" ht="27.9" customHeight="1">
      <c r="A3" s="40"/>
      <c r="B3" s="529"/>
      <c r="C3" s="530"/>
      <c r="D3" s="369">
        <v>42</v>
      </c>
      <c r="E3" s="64"/>
      <c r="F3" s="64"/>
      <c r="G3" s="61"/>
      <c r="H3" s="125"/>
      <c r="I3" s="63"/>
      <c r="J3" s="63"/>
      <c r="K3" s="527" t="s">
        <v>104</v>
      </c>
      <c r="L3" s="527"/>
      <c r="M3" s="527"/>
      <c r="N3" s="527"/>
      <c r="O3" s="527"/>
    </row>
    <row r="4" spans="1:15" ht="45" customHeight="1">
      <c r="A4" s="40"/>
      <c r="B4" s="65" t="s">
        <v>47</v>
      </c>
      <c r="C4" s="66" t="s">
        <v>48</v>
      </c>
      <c r="D4" s="108" t="s">
        <v>86</v>
      </c>
      <c r="E4" s="66" t="s">
        <v>87</v>
      </c>
      <c r="F4" s="105" t="s">
        <v>85</v>
      </c>
      <c r="G4" s="109" t="s">
        <v>2</v>
      </c>
      <c r="H4" s="109" t="s">
        <v>7</v>
      </c>
      <c r="I4" s="101" t="s">
        <v>102</v>
      </c>
      <c r="J4" s="97" t="s">
        <v>95</v>
      </c>
      <c r="K4" s="104" t="s">
        <v>20</v>
      </c>
      <c r="L4" s="104" t="s">
        <v>103</v>
      </c>
      <c r="M4" s="104" t="s">
        <v>0</v>
      </c>
      <c r="N4" s="104" t="s">
        <v>34</v>
      </c>
      <c r="O4" s="104" t="s">
        <v>105</v>
      </c>
    </row>
    <row r="5" spans="1:15" ht="27.9" hidden="1" customHeight="1">
      <c r="A5" s="40"/>
      <c r="B5" s="68" t="s">
        <v>49</v>
      </c>
      <c r="C5" s="71" t="s">
        <v>50</v>
      </c>
      <c r="D5" s="68">
        <v>8</v>
      </c>
      <c r="E5" s="68"/>
      <c r="F5" s="106"/>
      <c r="G5" s="106"/>
      <c r="H5" s="106"/>
      <c r="I5" s="72">
        <v>0</v>
      </c>
      <c r="J5" s="73"/>
      <c r="K5" s="110"/>
      <c r="L5" s="110"/>
      <c r="M5" s="110"/>
      <c r="N5" s="111"/>
      <c r="O5" s="111"/>
    </row>
    <row r="6" spans="1:15" ht="44.55" hidden="1" customHeight="1">
      <c r="A6" s="40"/>
      <c r="B6" s="524" t="s">
        <v>51</v>
      </c>
      <c r="C6" s="71" t="s">
        <v>52</v>
      </c>
      <c r="D6" s="525">
        <v>6</v>
      </c>
      <c r="E6" s="68"/>
      <c r="F6" s="106"/>
      <c r="G6" s="106"/>
      <c r="H6" s="106"/>
      <c r="I6" s="522">
        <v>0</v>
      </c>
      <c r="J6" s="73"/>
      <c r="K6" s="110"/>
      <c r="L6" s="110"/>
      <c r="M6" s="110"/>
      <c r="N6" s="111"/>
      <c r="O6" s="111"/>
    </row>
    <row r="7" spans="1:15" s="11" customFormat="1" ht="27.9" hidden="1" customHeight="1">
      <c r="A7" s="40"/>
      <c r="B7" s="524"/>
      <c r="C7" s="71" t="s">
        <v>53</v>
      </c>
      <c r="D7" s="525"/>
      <c r="E7" s="68"/>
      <c r="F7" s="106"/>
      <c r="G7" s="106"/>
      <c r="H7" s="106"/>
      <c r="I7" s="523"/>
      <c r="J7" s="74"/>
      <c r="K7" s="110"/>
      <c r="L7" s="110"/>
      <c r="M7" s="110"/>
      <c r="N7" s="111"/>
      <c r="O7" s="111"/>
    </row>
    <row r="8" spans="1:15" s="11" customFormat="1" ht="27.9" hidden="1" customHeight="1">
      <c r="A8" s="40"/>
      <c r="B8" s="68" t="s">
        <v>54</v>
      </c>
      <c r="C8" s="71" t="s">
        <v>55</v>
      </c>
      <c r="D8" s="68">
        <v>2</v>
      </c>
      <c r="E8" s="68"/>
      <c r="F8" s="106"/>
      <c r="G8" s="106"/>
      <c r="H8" s="106"/>
      <c r="I8" s="75">
        <v>0</v>
      </c>
      <c r="J8" s="76"/>
      <c r="K8" s="110"/>
      <c r="L8" s="110"/>
      <c r="M8" s="110"/>
      <c r="N8" s="111"/>
      <c r="O8" s="111"/>
    </row>
    <row r="9" spans="1:15" ht="27.9" hidden="1" customHeight="1">
      <c r="A9" s="40"/>
      <c r="B9" s="524" t="s">
        <v>56</v>
      </c>
      <c r="C9" s="71" t="s">
        <v>57</v>
      </c>
      <c r="D9" s="525">
        <v>21</v>
      </c>
      <c r="E9" s="68"/>
      <c r="F9" s="106"/>
      <c r="G9" s="106"/>
      <c r="H9" s="106"/>
      <c r="I9" s="526">
        <v>0</v>
      </c>
      <c r="J9" s="73"/>
      <c r="K9" s="110"/>
      <c r="L9" s="110"/>
      <c r="M9" s="110"/>
      <c r="N9" s="111"/>
      <c r="O9" s="111"/>
    </row>
    <row r="10" spans="1:15" ht="27.9" hidden="1" customHeight="1">
      <c r="A10" s="40"/>
      <c r="B10" s="524"/>
      <c r="C10" s="71" t="s">
        <v>58</v>
      </c>
      <c r="D10" s="525"/>
      <c r="E10" s="68"/>
      <c r="F10" s="106"/>
      <c r="G10" s="106"/>
      <c r="H10" s="106"/>
      <c r="I10" s="526"/>
      <c r="J10" s="76"/>
      <c r="K10" s="110"/>
      <c r="L10" s="110"/>
      <c r="M10" s="110"/>
      <c r="N10" s="111"/>
      <c r="O10" s="111"/>
    </row>
    <row r="11" spans="1:15" ht="27.9" hidden="1" customHeight="1">
      <c r="B11" s="524" t="s">
        <v>59</v>
      </c>
      <c r="C11" s="71" t="s">
        <v>60</v>
      </c>
      <c r="D11" s="525">
        <v>9</v>
      </c>
      <c r="E11" s="68"/>
      <c r="F11" s="106"/>
      <c r="G11" s="106"/>
      <c r="H11" s="106"/>
      <c r="I11" s="526">
        <v>0</v>
      </c>
      <c r="J11" s="73"/>
      <c r="K11" s="110"/>
      <c r="L11" s="110"/>
      <c r="M11" s="110"/>
      <c r="N11" s="111"/>
      <c r="O11" s="111"/>
    </row>
    <row r="12" spans="1:15" ht="28.8" hidden="1">
      <c r="B12" s="524"/>
      <c r="C12" s="71" t="s">
        <v>61</v>
      </c>
      <c r="D12" s="525"/>
      <c r="E12" s="68"/>
      <c r="F12" s="106"/>
      <c r="G12" s="106"/>
      <c r="H12" s="106"/>
      <c r="I12" s="526"/>
      <c r="J12" s="74"/>
      <c r="K12" s="110"/>
      <c r="L12" s="110"/>
      <c r="M12" s="110"/>
      <c r="N12" s="111"/>
      <c r="O12" s="111"/>
    </row>
    <row r="13" spans="1:15" hidden="1">
      <c r="B13" s="524" t="s">
        <v>62</v>
      </c>
      <c r="C13" s="71" t="s">
        <v>63</v>
      </c>
      <c r="D13" s="525">
        <v>3</v>
      </c>
      <c r="E13" s="68"/>
      <c r="F13" s="106"/>
      <c r="G13" s="106"/>
      <c r="H13" s="106"/>
      <c r="I13" s="526">
        <v>0</v>
      </c>
      <c r="J13" s="73"/>
      <c r="K13" s="110"/>
      <c r="L13" s="110"/>
      <c r="M13" s="110"/>
      <c r="N13" s="111"/>
      <c r="O13" s="111"/>
    </row>
    <row r="14" spans="1:15" ht="28.8" hidden="1">
      <c r="B14" s="524"/>
      <c r="C14" s="71" t="s">
        <v>64</v>
      </c>
      <c r="D14" s="525"/>
      <c r="E14" s="68"/>
      <c r="F14" s="106"/>
      <c r="G14" s="106"/>
      <c r="H14" s="106"/>
      <c r="I14" s="526"/>
      <c r="J14" s="74"/>
      <c r="K14" s="110"/>
      <c r="L14" s="110"/>
      <c r="M14" s="110"/>
      <c r="N14" s="111"/>
      <c r="O14" s="111"/>
    </row>
    <row r="15" spans="1:15" ht="28.8" hidden="1">
      <c r="B15" s="524" t="s">
        <v>65</v>
      </c>
      <c r="C15" s="71" t="s">
        <v>66</v>
      </c>
      <c r="D15" s="524">
        <v>3</v>
      </c>
      <c r="E15" s="68"/>
      <c r="F15" s="106"/>
      <c r="G15" s="106"/>
      <c r="H15" s="106"/>
      <c r="I15" s="526">
        <v>0</v>
      </c>
      <c r="J15" s="73"/>
      <c r="K15" s="110"/>
      <c r="L15" s="110"/>
      <c r="M15" s="110"/>
      <c r="N15" s="111"/>
      <c r="O15" s="111"/>
    </row>
    <row r="16" spans="1:15" ht="28.8" hidden="1">
      <c r="B16" s="524"/>
      <c r="C16" s="71" t="s">
        <v>67</v>
      </c>
      <c r="D16" s="524"/>
      <c r="E16" s="68"/>
      <c r="F16" s="106"/>
      <c r="G16" s="106"/>
      <c r="H16" s="106"/>
      <c r="I16" s="526"/>
      <c r="J16" s="74"/>
      <c r="K16" s="110"/>
      <c r="L16" s="110"/>
      <c r="M16" s="110"/>
      <c r="N16" s="111"/>
      <c r="O16" s="111"/>
    </row>
    <row r="17" spans="2:17" ht="16.5" customHeight="1">
      <c r="B17" s="78" t="s">
        <v>68</v>
      </c>
      <c r="C17" s="79" t="s">
        <v>32</v>
      </c>
      <c r="D17" s="78">
        <v>11</v>
      </c>
      <c r="E17" s="100">
        <f>MB!$G$8</f>
        <v>218630</v>
      </c>
      <c r="F17" s="83">
        <f t="shared" ref="F17:F25" si="0">SUM(G17:H17)</f>
        <v>218630</v>
      </c>
      <c r="G17" s="83">
        <f>MB!G7</f>
        <v>1960</v>
      </c>
      <c r="H17" s="107">
        <f>MB!G6</f>
        <v>216670</v>
      </c>
      <c r="I17" s="123">
        <f>H17/E17</f>
        <v>0.99103508210218172</v>
      </c>
      <c r="J17" s="206">
        <f>(H17/$E$17)*D17</f>
        <v>10.901385903123998</v>
      </c>
      <c r="K17" s="112">
        <f t="shared" ref="K17:K21" si="1">H17/F17</f>
        <v>0.99103508210218172</v>
      </c>
      <c r="L17" s="112">
        <f t="shared" ref="L17:L25" si="2">G17/F17</f>
        <v>8.9649178978182323E-3</v>
      </c>
      <c r="M17" s="113">
        <f t="shared" ref="M17:M25" si="3">SUM(K17:L17)</f>
        <v>1</v>
      </c>
      <c r="N17" s="115">
        <f>MB!G10</f>
        <v>10.901385903123998</v>
      </c>
      <c r="O17" s="114" t="b">
        <f t="shared" ref="O17:O25" si="4">J17=N17</f>
        <v>1</v>
      </c>
    </row>
    <row r="18" spans="2:17" ht="16.5" customHeight="1">
      <c r="B18" s="78" t="s">
        <v>69</v>
      </c>
      <c r="C18" s="79" t="s">
        <v>70</v>
      </c>
      <c r="D18" s="78">
        <v>4</v>
      </c>
      <c r="E18" s="100">
        <f>MB!$G$8</f>
        <v>218630</v>
      </c>
      <c r="F18" s="83">
        <f t="shared" si="0"/>
        <v>218630</v>
      </c>
      <c r="G18" s="83">
        <f>Adaptor!G7</f>
        <v>190380</v>
      </c>
      <c r="H18" s="107">
        <f>Adaptor!G6</f>
        <v>28250</v>
      </c>
      <c r="I18" s="123">
        <f>H18/E18</f>
        <v>0.12921374010885972</v>
      </c>
      <c r="J18" s="206">
        <f>(H18/$E$18)*D18</f>
        <v>0.51685496043543888</v>
      </c>
      <c r="K18" s="112">
        <f t="shared" si="1"/>
        <v>0.12921374010885972</v>
      </c>
      <c r="L18" s="112">
        <f t="shared" si="2"/>
        <v>0.87078625989114034</v>
      </c>
      <c r="M18" s="113">
        <f t="shared" si="3"/>
        <v>1</v>
      </c>
      <c r="N18" s="115">
        <f>Adaptor!G10</f>
        <v>0.51685496043543888</v>
      </c>
      <c r="O18" s="114" t="b">
        <f t="shared" si="4"/>
        <v>1</v>
      </c>
    </row>
    <row r="19" spans="2:17" ht="16.5" customHeight="1">
      <c r="B19" s="78" t="s">
        <v>71</v>
      </c>
      <c r="C19" s="79" t="s">
        <v>25</v>
      </c>
      <c r="D19" s="78">
        <v>7</v>
      </c>
      <c r="E19" s="100">
        <f>MB!$G$8</f>
        <v>218630</v>
      </c>
      <c r="F19" s="107">
        <f t="shared" si="0"/>
        <v>0</v>
      </c>
      <c r="G19" s="83">
        <f>HDD!G7</f>
        <v>0</v>
      </c>
      <c r="H19" s="107">
        <f>HDD!G6</f>
        <v>0</v>
      </c>
      <c r="I19" s="123">
        <f>H19/E19</f>
        <v>0</v>
      </c>
      <c r="J19" s="206">
        <f>(H19/$E$19)*D19</f>
        <v>0</v>
      </c>
      <c r="K19" s="112" t="e">
        <f t="shared" si="1"/>
        <v>#DIV/0!</v>
      </c>
      <c r="L19" s="112" t="e">
        <f t="shared" si="2"/>
        <v>#DIV/0!</v>
      </c>
      <c r="M19" s="113" t="e">
        <f t="shared" si="3"/>
        <v>#DIV/0!</v>
      </c>
      <c r="N19" s="115">
        <f>HDD!G10</f>
        <v>0</v>
      </c>
      <c r="O19" s="114" t="b">
        <f t="shared" si="4"/>
        <v>1</v>
      </c>
    </row>
    <row r="20" spans="2:17" ht="16.5" customHeight="1">
      <c r="B20" s="78" t="s">
        <v>72</v>
      </c>
      <c r="C20" s="80" t="s">
        <v>73</v>
      </c>
      <c r="D20" s="78">
        <v>15</v>
      </c>
      <c r="E20" s="83">
        <f>MB!$G$8</f>
        <v>218630</v>
      </c>
      <c r="F20" s="107">
        <f t="shared" si="0"/>
        <v>1505060</v>
      </c>
      <c r="G20" s="83">
        <f>'MModule+onboard_volatile'!G7</f>
        <v>401820</v>
      </c>
      <c r="H20" s="107">
        <f>'MModule+onboard_volatile'!G6</f>
        <v>1103240</v>
      </c>
      <c r="I20" s="123">
        <f>H20/F20</f>
        <v>0.73302061047400102</v>
      </c>
      <c r="J20" s="206">
        <f>(H20/$F$20)*D20</f>
        <v>10.995309157110015</v>
      </c>
      <c r="K20" s="112">
        <f t="shared" si="1"/>
        <v>0.73302061047400102</v>
      </c>
      <c r="L20" s="112">
        <f t="shared" si="2"/>
        <v>0.26697938952599898</v>
      </c>
      <c r="M20" s="113">
        <f t="shared" si="3"/>
        <v>1</v>
      </c>
      <c r="N20" s="115">
        <f>'MModule+onboard_volatile'!G10</f>
        <v>10.995309157110015</v>
      </c>
      <c r="O20" s="114" t="b">
        <f t="shared" si="4"/>
        <v>1</v>
      </c>
    </row>
    <row r="21" spans="2:17" ht="16.5" customHeight="1">
      <c r="B21" s="78" t="s">
        <v>74</v>
      </c>
      <c r="C21" s="80" t="s">
        <v>75</v>
      </c>
      <c r="D21" s="78">
        <v>2</v>
      </c>
      <c r="E21" s="100">
        <f>MB!$G$8</f>
        <v>218630</v>
      </c>
      <c r="F21" s="107">
        <f t="shared" si="0"/>
        <v>200920</v>
      </c>
      <c r="G21" s="83">
        <f>'MModule+onboard_volatile'!J7</f>
        <v>17580</v>
      </c>
      <c r="H21" s="107">
        <f>'MModule+onboard_volatile'!J6</f>
        <v>183340</v>
      </c>
      <c r="I21" s="123">
        <f>H21/E21</f>
        <v>0.83858573846224216</v>
      </c>
      <c r="J21" s="206">
        <f>(H21/$E$21)*D21</f>
        <v>1.6771714769244843</v>
      </c>
      <c r="K21" s="112">
        <f t="shared" si="1"/>
        <v>0.91250248855265781</v>
      </c>
      <c r="L21" s="112">
        <f t="shared" si="2"/>
        <v>8.7497511447342219E-2</v>
      </c>
      <c r="M21" s="113">
        <f t="shared" si="3"/>
        <v>1</v>
      </c>
      <c r="N21" s="115">
        <f>'MModule+onboard_volatile'!J10</f>
        <v>1.6771714769244843</v>
      </c>
      <c r="O21" s="114" t="b">
        <f>J21=N21</f>
        <v>1</v>
      </c>
    </row>
    <row r="22" spans="2:17" ht="16.5" customHeight="1">
      <c r="B22" s="78" t="s">
        <v>76</v>
      </c>
      <c r="C22" s="81" t="s">
        <v>77</v>
      </c>
      <c r="D22" s="78">
        <v>14</v>
      </c>
      <c r="E22" s="100">
        <f>MB!$G$8</f>
        <v>218630</v>
      </c>
      <c r="F22" s="107">
        <f t="shared" si="0"/>
        <v>402130</v>
      </c>
      <c r="G22" s="83">
        <f>'SSD_eMMC_non volatile'!G7</f>
        <v>89510</v>
      </c>
      <c r="H22" s="107">
        <f>'SSD_eMMC_non volatile'!G6</f>
        <v>312620</v>
      </c>
      <c r="I22" s="123">
        <f>H22/E22</f>
        <v>1.429904404702008</v>
      </c>
      <c r="J22" s="206">
        <f>IF(F22&gt;E22,(H22/F22)*D22,(H22/E22)*D22)</f>
        <v>10.883744062865244</v>
      </c>
      <c r="K22" s="112">
        <f>H22/F22</f>
        <v>0.77741029020466024</v>
      </c>
      <c r="L22" s="112">
        <f t="shared" si="2"/>
        <v>0.22258970979533982</v>
      </c>
      <c r="M22" s="113">
        <f t="shared" si="3"/>
        <v>1</v>
      </c>
      <c r="N22" s="115">
        <f>'SSD_eMMC_non volatile'!G10</f>
        <v>10.883744062865244</v>
      </c>
      <c r="O22" s="114" t="b">
        <f t="shared" si="4"/>
        <v>1</v>
      </c>
      <c r="Q22" s="128"/>
    </row>
    <row r="23" spans="2:17" ht="16.5" customHeight="1">
      <c r="B23" s="78" t="s">
        <v>78</v>
      </c>
      <c r="C23" s="82" t="s">
        <v>79</v>
      </c>
      <c r="D23" s="78">
        <v>3</v>
      </c>
      <c r="E23" s="100">
        <f>MB!$G$8</f>
        <v>218630</v>
      </c>
      <c r="F23" s="107">
        <f t="shared" si="0"/>
        <v>218630</v>
      </c>
      <c r="G23" s="83">
        <f>'SSD_eMMC_non volatile'!J7</f>
        <v>62320</v>
      </c>
      <c r="H23" s="107">
        <f>'SSD_eMMC_non volatile'!J6</f>
        <v>156310</v>
      </c>
      <c r="I23" s="123">
        <f>H23/E23</f>
        <v>0.71495220235100398</v>
      </c>
      <c r="J23" s="206">
        <f>(H23/$E$23)*D23</f>
        <v>2.1448566070530122</v>
      </c>
      <c r="K23" s="112">
        <f>H23/F23</f>
        <v>0.71495220235100398</v>
      </c>
      <c r="L23" s="112">
        <f t="shared" si="2"/>
        <v>0.28504779764899602</v>
      </c>
      <c r="M23" s="113">
        <f t="shared" si="3"/>
        <v>1</v>
      </c>
      <c r="N23" s="115">
        <f>'SSD_eMMC_non volatile'!J10</f>
        <v>2.1448566070530122</v>
      </c>
      <c r="O23" s="114" t="b">
        <f t="shared" si="4"/>
        <v>1</v>
      </c>
    </row>
    <row r="24" spans="2:17" ht="16.5" customHeight="1">
      <c r="B24" s="67" t="s">
        <v>80</v>
      </c>
      <c r="C24" s="80" t="s">
        <v>81</v>
      </c>
      <c r="D24" s="67">
        <v>5</v>
      </c>
      <c r="E24" s="100">
        <f>MB!$G$8</f>
        <v>218630</v>
      </c>
      <c r="F24" s="83">
        <f t="shared" si="0"/>
        <v>218630</v>
      </c>
      <c r="G24" s="106">
        <v>0</v>
      </c>
      <c r="H24" s="107">
        <f>E24</f>
        <v>218630</v>
      </c>
      <c r="I24" s="123">
        <f>H24/E24</f>
        <v>1</v>
      </c>
      <c r="J24" s="206">
        <f>(H24/$E$24)*D24</f>
        <v>5</v>
      </c>
      <c r="K24" s="112">
        <f>H24/F24</f>
        <v>1</v>
      </c>
      <c r="L24" s="112">
        <f t="shared" si="2"/>
        <v>0</v>
      </c>
      <c r="M24" s="113">
        <f t="shared" si="3"/>
        <v>1</v>
      </c>
      <c r="N24" s="115">
        <f>J24</f>
        <v>5</v>
      </c>
      <c r="O24" s="114" t="b">
        <f t="shared" si="4"/>
        <v>1</v>
      </c>
    </row>
    <row r="25" spans="2:17" ht="16.5" customHeight="1">
      <c r="B25" s="67" t="s">
        <v>82</v>
      </c>
      <c r="C25" s="69" t="s">
        <v>83</v>
      </c>
      <c r="D25" s="67">
        <v>1</v>
      </c>
      <c r="E25" s="100">
        <f>MB!$G$8</f>
        <v>218630</v>
      </c>
      <c r="F25" s="83">
        <f t="shared" si="0"/>
        <v>218630</v>
      </c>
      <c r="G25" s="106">
        <v>0</v>
      </c>
      <c r="H25" s="107">
        <f>E25</f>
        <v>218630</v>
      </c>
      <c r="I25" s="123">
        <f>H25/E25</f>
        <v>1</v>
      </c>
      <c r="J25" s="206">
        <f>(H25/$E$25)*D25</f>
        <v>1</v>
      </c>
      <c r="K25" s="112">
        <f>H25/F25</f>
        <v>1</v>
      </c>
      <c r="L25" s="112">
        <f t="shared" si="2"/>
        <v>0</v>
      </c>
      <c r="M25" s="113">
        <f t="shared" si="3"/>
        <v>1</v>
      </c>
      <c r="N25" s="115">
        <f>J25</f>
        <v>1</v>
      </c>
      <c r="O25" s="114" t="b">
        <f t="shared" si="4"/>
        <v>1</v>
      </c>
    </row>
    <row r="26" spans="2:17">
      <c r="B26" s="70"/>
      <c r="G26" s="37"/>
      <c r="H26" s="39"/>
      <c r="J26" s="85">
        <f>SUM(J17:J25)</f>
        <v>43.119322167512195</v>
      </c>
      <c r="L26" s="102"/>
      <c r="M26" s="103"/>
    </row>
    <row r="27" spans="2:17">
      <c r="B27" s="70"/>
      <c r="G27" s="37"/>
      <c r="H27" s="37"/>
      <c r="I27" s="77" t="s">
        <v>84</v>
      </c>
      <c r="J27" s="86">
        <f>J26-D3</f>
        <v>1.1193221675121947</v>
      </c>
      <c r="L27" s="102"/>
      <c r="M27" s="103"/>
    </row>
    <row r="28" spans="2:17">
      <c r="F28" s="121"/>
      <c r="G28" s="122"/>
    </row>
    <row r="33" spans="10:16">
      <c r="M33" s="11"/>
      <c r="N33" s="11"/>
      <c r="O33" s="11"/>
    </row>
    <row r="34" spans="10:16">
      <c r="M34" s="11"/>
      <c r="N34" s="11"/>
      <c r="O34" s="11"/>
    </row>
    <row r="35" spans="10:16">
      <c r="M35" s="11"/>
      <c r="N35" s="11"/>
      <c r="O35" s="11"/>
    </row>
    <row r="36" spans="10:16">
      <c r="M36" s="11"/>
      <c r="N36" s="11"/>
      <c r="O36" s="11"/>
    </row>
    <row r="37" spans="10:16">
      <c r="M37" s="11"/>
      <c r="N37" s="11"/>
      <c r="O37" s="11"/>
    </row>
    <row r="38" spans="10:16">
      <c r="M38" s="11"/>
      <c r="N38" s="11"/>
      <c r="O38" s="11"/>
    </row>
    <row r="39" spans="10:16">
      <c r="M39" s="11"/>
      <c r="N39" s="11"/>
      <c r="O39" s="11"/>
    </row>
    <row r="40" spans="10:16">
      <c r="M40" s="11"/>
      <c r="N40" s="11"/>
      <c r="O40" s="11"/>
    </row>
    <row r="41" spans="10:16">
      <c r="M41" s="11"/>
      <c r="N41" s="11"/>
      <c r="O41" s="11"/>
    </row>
    <row r="42" spans="10:16">
      <c r="M42" s="11"/>
      <c r="N42" s="11"/>
      <c r="O42" s="11"/>
    </row>
    <row r="43" spans="10:16">
      <c r="M43" s="11"/>
      <c r="N43" s="11"/>
      <c r="O43" s="11"/>
      <c r="P43" s="11"/>
    </row>
    <row r="44" spans="10:16">
      <c r="M44" s="11"/>
      <c r="N44" s="11"/>
      <c r="O44" s="11"/>
    </row>
    <row r="45" spans="10:16">
      <c r="M45" s="11"/>
      <c r="N45" s="11"/>
      <c r="O45" s="11"/>
    </row>
    <row r="46" spans="10:16">
      <c r="M46" s="11"/>
      <c r="N46" s="11"/>
      <c r="O46" s="11"/>
    </row>
    <row r="47" spans="10:16">
      <c r="J47" s="373"/>
    </row>
  </sheetData>
  <mergeCells count="18">
    <mergeCell ref="B15:B16"/>
    <mergeCell ref="D15:D16"/>
    <mergeCell ref="I15:I16"/>
    <mergeCell ref="B11:B12"/>
    <mergeCell ref="D11:D12"/>
    <mergeCell ref="I11:I12"/>
    <mergeCell ref="B13:B14"/>
    <mergeCell ref="D13:D14"/>
    <mergeCell ref="I13:I14"/>
    <mergeCell ref="I6:I7"/>
    <mergeCell ref="B9:B10"/>
    <mergeCell ref="D9:D10"/>
    <mergeCell ref="I9:I10"/>
    <mergeCell ref="K3:O3"/>
    <mergeCell ref="B2:B3"/>
    <mergeCell ref="C2:C3"/>
    <mergeCell ref="B6:B7"/>
    <mergeCell ref="D6:D7"/>
  </mergeCells>
  <phoneticPr fontId="14" type="noConversion"/>
  <conditionalFormatting sqref="J27">
    <cfRule type="cellIs" dxfId="133" priority="11" stopIfTrue="1" operator="greaterThan">
      <formula>0</formula>
    </cfRule>
  </conditionalFormatting>
  <conditionalFormatting sqref="O17:O25">
    <cfRule type="cellIs" dxfId="132" priority="7" stopIfTrue="1" operator="equal">
      <formula>TRUE</formula>
    </cfRule>
    <cfRule type="cellIs" dxfId="131" priority="8" stopIfTrue="1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9"/>
  </sheetPr>
  <dimension ref="A1:AA130"/>
  <sheetViews>
    <sheetView showGridLines="0" zoomScale="70" zoomScaleNormal="70" workbookViewId="0">
      <pane ySplit="13" topLeftCell="A98" activePane="bottomLeft" state="frozen"/>
      <selection activeCell="G73" sqref="G73"/>
      <selection pane="bottomLeft" activeCell="K89" sqref="K89"/>
    </sheetView>
  </sheetViews>
  <sheetFormatPr defaultColWidth="9.109375" defaultRowHeight="13.8" outlineLevelRow="1"/>
  <cols>
    <col min="1" max="1" width="6.109375" style="145" customWidth="1"/>
    <col min="2" max="2" width="11" style="145" bestFit="1" customWidth="1"/>
    <col min="3" max="3" width="9.109375" style="145"/>
    <col min="4" max="4" width="8.6640625" style="145" customWidth="1"/>
    <col min="5" max="5" width="10.44140625" style="144" bestFit="1" customWidth="1"/>
    <col min="6" max="6" width="24.44140625" style="144" customWidth="1"/>
    <col min="7" max="7" width="20.44140625" style="144" customWidth="1"/>
    <col min="8" max="8" width="13.109375" style="144" bestFit="1" customWidth="1"/>
    <col min="9" max="10" width="9.33203125" style="144" customWidth="1"/>
    <col min="11" max="11" width="12.88671875" style="144" customWidth="1"/>
    <col min="12" max="12" width="16.109375" style="144" hidden="1" customWidth="1"/>
    <col min="13" max="13" width="13.109375" style="144" hidden="1" customWidth="1"/>
    <col min="14" max="14" width="9.44140625" style="145" bestFit="1" customWidth="1"/>
    <col min="15" max="15" width="9.44140625" style="145" customWidth="1"/>
    <col min="16" max="16" width="9.88671875" style="145" bestFit="1" customWidth="1"/>
    <col min="17" max="17" width="10.109375" style="145" bestFit="1" customWidth="1"/>
    <col min="18" max="18" width="9.88671875" style="145" bestFit="1" customWidth="1"/>
    <col min="19" max="19" width="10.44140625" style="145" bestFit="1" customWidth="1"/>
    <col min="20" max="20" width="10.109375" style="145" bestFit="1" customWidth="1"/>
    <col min="21" max="21" width="9" style="145" bestFit="1" customWidth="1"/>
    <col min="22" max="22" width="7.6640625" style="145" bestFit="1" customWidth="1"/>
    <col min="23" max="23" width="7.5546875" style="145" bestFit="1" customWidth="1"/>
    <col min="24" max="25" width="7.33203125" style="145" customWidth="1"/>
    <col min="26" max="26" width="8.109375" style="145" customWidth="1"/>
    <col min="27" max="27" width="7.109375" style="145" customWidth="1"/>
    <col min="28" max="28" width="23.109375" style="145" customWidth="1"/>
    <col min="29" max="29" width="19.5546875" style="145" bestFit="1" customWidth="1"/>
    <col min="30" max="30" width="10.33203125" style="145" bestFit="1" customWidth="1"/>
    <col min="31" max="42" width="9.109375" style="145"/>
    <col min="43" max="43" width="19.5546875" style="145" bestFit="1" customWidth="1"/>
    <col min="44" max="56" width="9.109375" style="145"/>
    <col min="57" max="57" width="17.88671875" style="145" customWidth="1"/>
    <col min="58" max="16384" width="9.109375" style="145"/>
  </cols>
  <sheetData>
    <row r="1" spans="1:27">
      <c r="N1" s="144"/>
      <c r="O1" s="144"/>
    </row>
    <row r="2" spans="1:27">
      <c r="A2" s="186">
        <v>1</v>
      </c>
      <c r="B2" s="531" t="s">
        <v>166</v>
      </c>
      <c r="F2" s="153"/>
      <c r="G2" s="153"/>
      <c r="H2" s="153" t="s">
        <v>32</v>
      </c>
      <c r="N2" s="144"/>
      <c r="O2" s="144"/>
    </row>
    <row r="3" spans="1:27" ht="15.6">
      <c r="A3" s="186"/>
      <c r="B3" s="532"/>
      <c r="F3" s="154" t="s">
        <v>40</v>
      </c>
      <c r="G3" s="155">
        <v>11</v>
      </c>
    </row>
    <row r="4" spans="1:27" ht="15.6" outlineLevel="1">
      <c r="A4" s="186">
        <v>2</v>
      </c>
      <c r="B4" s="185" t="s">
        <v>196</v>
      </c>
      <c r="F4" s="156" t="s">
        <v>35</v>
      </c>
      <c r="G4" s="370"/>
    </row>
    <row r="5" spans="1:27" ht="15.6" outlineLevel="1">
      <c r="A5" s="186"/>
      <c r="B5" s="185"/>
      <c r="F5" s="156" t="s">
        <v>37</v>
      </c>
      <c r="G5" s="371"/>
    </row>
    <row r="6" spans="1:27" ht="23.25" customHeight="1" outlineLevel="1">
      <c r="F6" s="156" t="s">
        <v>38</v>
      </c>
      <c r="G6" s="157">
        <f>SUMIFS($Z$14:$Z$49975,$H$14:$H$49975,"Local")+G5</f>
        <v>216670</v>
      </c>
      <c r="I6" s="158"/>
    </row>
    <row r="7" spans="1:27" ht="15.6" outlineLevel="1">
      <c r="F7" s="156" t="s">
        <v>39</v>
      </c>
      <c r="G7" s="157">
        <f>SUMIFS($Z$35:$Z$49990,$H$35:$H$49990,"Imported")</f>
        <v>1960</v>
      </c>
    </row>
    <row r="8" spans="1:27" ht="15.6" outlineLevel="1">
      <c r="F8" s="156" t="s">
        <v>36</v>
      </c>
      <c r="G8" s="157">
        <f>E12+G4</f>
        <v>218630</v>
      </c>
      <c r="N8" s="162"/>
      <c r="O8" s="162"/>
    </row>
    <row r="9" spans="1:27" outlineLevel="1">
      <c r="F9" s="153" t="s">
        <v>33</v>
      </c>
      <c r="G9" s="163">
        <f>(G6)/G8</f>
        <v>0.99103508210218172</v>
      </c>
    </row>
    <row r="10" spans="1:27" outlineLevel="1">
      <c r="F10" s="164" t="s">
        <v>34</v>
      </c>
      <c r="G10" s="165">
        <f>IF(G9*G3&gt;11,"11",G9*G3)</f>
        <v>10.901385903123998</v>
      </c>
    </row>
    <row r="11" spans="1:27" ht="12.75" customHeight="1" outlineLevel="1">
      <c r="M11" s="145"/>
    </row>
    <row r="12" spans="1:27">
      <c r="E12" s="145">
        <f>SUMIFS($E$13:$E$9978,$D$13:$D$9978,$D$13)</f>
        <v>218630</v>
      </c>
      <c r="N12" s="145">
        <f t="shared" ref="N12" si="0">SUBTOTAL(9,N14:N1078)</f>
        <v>44000</v>
      </c>
      <c r="O12" s="145">
        <f t="shared" ref="O12:P12" si="1">SUBTOTAL(9,O14:O1078)</f>
        <v>46200</v>
      </c>
      <c r="P12" s="145">
        <f t="shared" si="1"/>
        <v>41200</v>
      </c>
      <c r="Q12" s="145">
        <f t="shared" ref="Q12:Y12" si="2">SUBTOTAL(9,Q14:Q1078)</f>
        <v>45500</v>
      </c>
      <c r="R12" s="145">
        <f t="shared" si="2"/>
        <v>47760</v>
      </c>
      <c r="S12" s="145">
        <f t="shared" si="2"/>
        <v>47900</v>
      </c>
      <c r="T12" s="145">
        <f t="shared" si="2"/>
        <v>58980</v>
      </c>
      <c r="U12" s="145">
        <f t="shared" si="2"/>
        <v>53860</v>
      </c>
      <c r="V12" s="145">
        <f t="shared" si="2"/>
        <v>51860</v>
      </c>
      <c r="W12" s="145">
        <f t="shared" si="2"/>
        <v>0</v>
      </c>
      <c r="X12" s="145">
        <f t="shared" si="2"/>
        <v>0</v>
      </c>
      <c r="Y12" s="145">
        <f t="shared" si="2"/>
        <v>0</v>
      </c>
      <c r="Z12" s="145">
        <f>SUM(Z14:Z162)</f>
        <v>218630</v>
      </c>
      <c r="AA12" s="290">
        <f>E12-Z12</f>
        <v>0</v>
      </c>
    </row>
    <row r="13" spans="1:27" s="153" customFormat="1" ht="27.6">
      <c r="C13" s="150" t="s">
        <v>97</v>
      </c>
      <c r="D13" s="166" t="s">
        <v>22</v>
      </c>
      <c r="E13" s="167" t="s">
        <v>24</v>
      </c>
      <c r="F13" s="159" t="s">
        <v>14</v>
      </c>
      <c r="G13" s="159" t="s">
        <v>265</v>
      </c>
      <c r="H13" s="168" t="s">
        <v>15</v>
      </c>
      <c r="I13" s="169" t="s">
        <v>197</v>
      </c>
      <c r="J13" s="169" t="s">
        <v>17</v>
      </c>
      <c r="K13" s="170" t="s">
        <v>18</v>
      </c>
      <c r="L13" s="170" t="s">
        <v>23</v>
      </c>
      <c r="M13" s="171" t="s">
        <v>19</v>
      </c>
      <c r="N13" s="172" t="s">
        <v>1</v>
      </c>
      <c r="O13" s="172" t="s">
        <v>3</v>
      </c>
      <c r="P13" s="172" t="s">
        <v>4</v>
      </c>
      <c r="Q13" s="172" t="s">
        <v>5</v>
      </c>
      <c r="R13" s="172" t="s">
        <v>6</v>
      </c>
      <c r="S13" s="172" t="s">
        <v>842</v>
      </c>
      <c r="T13" s="172" t="s">
        <v>8</v>
      </c>
      <c r="U13" s="172" t="s">
        <v>9</v>
      </c>
      <c r="V13" s="172" t="s">
        <v>10</v>
      </c>
      <c r="W13" s="172" t="s">
        <v>11</v>
      </c>
      <c r="X13" s="172" t="s">
        <v>12</v>
      </c>
      <c r="Y13" s="172" t="s">
        <v>210</v>
      </c>
      <c r="Z13" s="173" t="s">
        <v>0</v>
      </c>
    </row>
    <row r="14" spans="1:27" ht="15.6">
      <c r="B14" s="153"/>
      <c r="C14" s="314" t="s">
        <v>293</v>
      </c>
      <c r="D14" s="174" t="s">
        <v>22</v>
      </c>
      <c r="E14" s="181">
        <f>SUM(N14:Y14)</f>
        <v>21300</v>
      </c>
      <c r="F14" s="183" t="s">
        <v>107</v>
      </c>
      <c r="G14" s="183" t="s">
        <v>443</v>
      </c>
      <c r="H14" s="181"/>
      <c r="I14" s="182"/>
      <c r="J14" s="182"/>
      <c r="K14" s="182"/>
      <c r="L14" s="182"/>
      <c r="M14" s="181"/>
      <c r="N14" s="181">
        <f>SUMIFS('FCST data'!Q:Q,'FCST data'!$D:$D,$F14,'FCST data'!$K:$K,$G14)</f>
        <v>8800</v>
      </c>
      <c r="O14" s="181">
        <f>SUMIFS('FCST data'!R:R,'FCST data'!$D:$D,$F14,'FCST data'!$K:$K,$G14)</f>
        <v>5700</v>
      </c>
      <c r="P14" s="181">
        <f>SUMIFS('FCST data'!S:S,'FCST data'!$D:$D,$F14,'FCST data'!$K:$K,$G14)</f>
        <v>6800</v>
      </c>
      <c r="Q14" s="181">
        <f>SUMIFS('FCST data'!T:T,'FCST data'!$D:$D,$F14,'FCST data'!$K:$K,$G14)</f>
        <v>0</v>
      </c>
      <c r="R14" s="181">
        <f>SUMIFS('FCST data'!U:U,'FCST data'!$D:$D,$F14,'FCST data'!$K:$K,$G14)</f>
        <v>0</v>
      </c>
      <c r="S14" s="181">
        <f>SUMIFS('FCST data'!V:V,'FCST data'!$D:$D,$F14,'FCST data'!$K:$K,$G14)</f>
        <v>0</v>
      </c>
      <c r="T14" s="181">
        <f>SUMIFS('FCST data'!W:W,'FCST data'!$D:$D,$F14,'FCST data'!$K:$K,$G14)</f>
        <v>0</v>
      </c>
      <c r="U14" s="181">
        <f>SUMIFS('FCST data'!X:X,'FCST data'!$D:$D,$F14,'FCST data'!$K:$K,$G14)</f>
        <v>0</v>
      </c>
      <c r="V14" s="181">
        <f>SUMIFS('FCST data'!Y:Y,'FCST data'!$D:$D,$F14,'FCST data'!$K:$K,$G14)</f>
        <v>0</v>
      </c>
      <c r="W14" s="181">
        <f>SUMIFS('FCST data'!Z:Z,'FCST data'!$D:$D,$F14,'FCST data'!$K:$K,$G14)</f>
        <v>0</v>
      </c>
      <c r="X14" s="181">
        <f>SUMIFS('FCST data'!AA:AA,'FCST data'!$D:$D,$F14,'FCST data'!$K:$K,$G14)</f>
        <v>0</v>
      </c>
      <c r="Y14" s="181">
        <f>SUMIFS('FCST data'!AB:AB,'FCST data'!$D:$D,$F14,'FCST data'!$K:$K,$G14)</f>
        <v>0</v>
      </c>
      <c r="Z14" s="148"/>
      <c r="AA14" s="290">
        <f>E14-Z15-Z16</f>
        <v>0</v>
      </c>
    </row>
    <row r="15" spans="1:27" ht="14.4">
      <c r="B15" s="153"/>
      <c r="C15" s="313"/>
      <c r="D15" s="284"/>
      <c r="E15" s="147"/>
      <c r="F15" s="286" t="s">
        <v>107</v>
      </c>
      <c r="G15" s="286" t="s">
        <v>394</v>
      </c>
      <c r="H15" s="284" t="s">
        <v>712</v>
      </c>
      <c r="I15" s="284" t="s">
        <v>31</v>
      </c>
      <c r="J15" s="284" t="s">
        <v>32</v>
      </c>
      <c r="K15" s="287"/>
      <c r="L15" s="160"/>
      <c r="M15" s="177"/>
      <c r="N15" s="291"/>
      <c r="O15" s="291"/>
      <c r="P15" s="291"/>
      <c r="Q15" s="291"/>
      <c r="R15" s="291"/>
      <c r="S15" s="291"/>
      <c r="T15" s="291"/>
      <c r="U15" s="291"/>
      <c r="V15" s="291"/>
      <c r="W15" s="291"/>
      <c r="X15" s="291"/>
      <c r="Y15" s="291"/>
      <c r="Z15" s="177">
        <f>SUM(N15:Y15)</f>
        <v>0</v>
      </c>
    </row>
    <row r="16" spans="1:27" ht="14.4">
      <c r="B16" s="153"/>
      <c r="C16" s="313"/>
      <c r="D16" s="284"/>
      <c r="E16" s="147"/>
      <c r="F16" s="286" t="s">
        <v>107</v>
      </c>
      <c r="G16" s="286" t="s">
        <v>394</v>
      </c>
      <c r="H16" s="284" t="s">
        <v>713</v>
      </c>
      <c r="I16" s="284" t="s">
        <v>714</v>
      </c>
      <c r="J16" s="284" t="s">
        <v>32</v>
      </c>
      <c r="K16" s="287"/>
      <c r="L16" s="160"/>
      <c r="M16" s="179"/>
      <c r="N16" s="291">
        <v>8800</v>
      </c>
      <c r="O16" s="291">
        <v>5700</v>
      </c>
      <c r="P16" s="291">
        <v>6800</v>
      </c>
      <c r="Q16" s="291">
        <v>0</v>
      </c>
      <c r="R16" s="291">
        <v>0</v>
      </c>
      <c r="S16" s="291"/>
      <c r="T16" s="291"/>
      <c r="U16" s="291"/>
      <c r="V16" s="291"/>
      <c r="W16" s="291"/>
      <c r="X16" s="291"/>
      <c r="Y16" s="291"/>
      <c r="Z16" s="177">
        <f>SUM(N16:Y16)</f>
        <v>21300</v>
      </c>
    </row>
    <row r="17" spans="2:27" ht="15.6">
      <c r="B17" s="153"/>
      <c r="C17" s="314" t="s">
        <v>1024</v>
      </c>
      <c r="D17" s="174" t="s">
        <v>22</v>
      </c>
      <c r="E17" s="181">
        <f>SUM(N17:Y17)</f>
        <v>23050</v>
      </c>
      <c r="F17" s="183" t="s">
        <v>107</v>
      </c>
      <c r="G17" s="175" t="s">
        <v>297</v>
      </c>
      <c r="H17" s="309"/>
      <c r="I17" s="309"/>
      <c r="J17" s="309"/>
      <c r="K17" s="182"/>
      <c r="L17" s="182"/>
      <c r="M17" s="181"/>
      <c r="N17" s="181">
        <f>SUMIFS('FCST data'!Q:Q,'FCST data'!$D:$D,$F17,'FCST data'!$K:$K,$G17)</f>
        <v>5500</v>
      </c>
      <c r="O17" s="181">
        <f>SUMIFS('FCST data'!R:R,'FCST data'!$D:$D,$F17,'FCST data'!$K:$K,$G17)</f>
        <v>3800</v>
      </c>
      <c r="P17" s="181">
        <f>SUMIFS('FCST data'!S:S,'FCST data'!$D:$D,$F17,'FCST data'!$K:$K,$G17)</f>
        <v>8000</v>
      </c>
      <c r="Q17" s="181">
        <f>SUMIFS('FCST data'!T:T,'FCST data'!$D:$D,$F17,'FCST data'!$K:$K,$G17)</f>
        <v>5750</v>
      </c>
      <c r="R17" s="181">
        <f>SUMIFS('FCST data'!U:U,'FCST data'!$D:$D,$F17,'FCST data'!$K:$K,$G17)</f>
        <v>0</v>
      </c>
      <c r="S17" s="181">
        <f>SUMIFS('FCST data'!V:V,'FCST data'!$D:$D,$F17,'FCST data'!$K:$K,$G17)</f>
        <v>0</v>
      </c>
      <c r="T17" s="181">
        <f>SUMIFS('FCST data'!W:W,'FCST data'!$D:$D,$F17,'FCST data'!$K:$K,$G17)</f>
        <v>0</v>
      </c>
      <c r="U17" s="181">
        <f>SUMIFS('FCST data'!X:X,'FCST data'!$D:$D,$F17,'FCST data'!$K:$K,$G17)</f>
        <v>0</v>
      </c>
      <c r="V17" s="181">
        <f>SUMIFS('FCST data'!Y:Y,'FCST data'!$D:$D,$F17,'FCST data'!$K:$K,$G17)</f>
        <v>0</v>
      </c>
      <c r="W17" s="181">
        <f>SUMIFS('FCST data'!Z:Z,'FCST data'!$D:$D,$F17,'FCST data'!$K:$K,$G17)</f>
        <v>0</v>
      </c>
      <c r="X17" s="181">
        <f>SUMIFS('FCST data'!AA:AA,'FCST data'!$D:$D,$F17,'FCST data'!$K:$K,$G17)</f>
        <v>0</v>
      </c>
      <c r="Y17" s="181">
        <f>SUMIFS('FCST data'!AB:AB,'FCST data'!$D:$D,$F17,'FCST data'!$K:$K,$G17)</f>
        <v>0</v>
      </c>
      <c r="Z17" s="148"/>
      <c r="AA17" s="290">
        <f>E17-Z18-Z19</f>
        <v>0</v>
      </c>
    </row>
    <row r="18" spans="2:27" ht="14.4">
      <c r="B18" s="153"/>
      <c r="C18" s="313"/>
      <c r="D18" s="284"/>
      <c r="E18" s="147"/>
      <c r="F18" s="286" t="s">
        <v>107</v>
      </c>
      <c r="G18" s="286" t="s">
        <v>297</v>
      </c>
      <c r="H18" s="284" t="s">
        <v>712</v>
      </c>
      <c r="I18" s="284" t="s">
        <v>31</v>
      </c>
      <c r="J18" s="284" t="s">
        <v>32</v>
      </c>
      <c r="K18" s="287"/>
      <c r="L18" s="160"/>
      <c r="M18" s="177"/>
      <c r="N18" s="291"/>
      <c r="O18" s="291"/>
      <c r="P18" s="291"/>
      <c r="Q18" s="291"/>
      <c r="R18" s="291"/>
      <c r="S18" s="291"/>
      <c r="T18" s="291"/>
      <c r="U18" s="291"/>
      <c r="V18" s="291"/>
      <c r="W18" s="291"/>
      <c r="X18" s="291"/>
      <c r="Y18" s="291"/>
      <c r="Z18" s="177">
        <f>SUM(N18:Y18)</f>
        <v>0</v>
      </c>
    </row>
    <row r="19" spans="2:27" ht="14.4">
      <c r="B19" s="153"/>
      <c r="C19" s="313"/>
      <c r="D19" s="284"/>
      <c r="E19" s="147"/>
      <c r="F19" s="286" t="s">
        <v>107</v>
      </c>
      <c r="G19" s="286" t="s">
        <v>297</v>
      </c>
      <c r="H19" s="284" t="s">
        <v>713</v>
      </c>
      <c r="I19" s="284" t="s">
        <v>714</v>
      </c>
      <c r="J19" s="284" t="s">
        <v>32</v>
      </c>
      <c r="K19" s="287"/>
      <c r="L19" s="160"/>
      <c r="M19" s="179"/>
      <c r="N19" s="291">
        <v>5500</v>
      </c>
      <c r="O19" s="291">
        <v>3800</v>
      </c>
      <c r="P19" s="291">
        <v>8000</v>
      </c>
      <c r="Q19" s="291">
        <v>5750</v>
      </c>
      <c r="R19" s="291">
        <v>0</v>
      </c>
      <c r="S19" s="291"/>
      <c r="T19" s="291"/>
      <c r="U19" s="291"/>
      <c r="V19" s="291"/>
      <c r="W19" s="291"/>
      <c r="X19" s="291"/>
      <c r="Y19" s="291"/>
      <c r="Z19" s="177">
        <f>SUM(N19:Y19)</f>
        <v>23050</v>
      </c>
    </row>
    <row r="20" spans="2:27" ht="15.6">
      <c r="B20" s="153"/>
      <c r="C20" s="314" t="s">
        <v>293</v>
      </c>
      <c r="D20" s="174" t="s">
        <v>22</v>
      </c>
      <c r="E20" s="181">
        <f>SUM(N20:Y20)</f>
        <v>2800</v>
      </c>
      <c r="F20" s="175" t="s">
        <v>110</v>
      </c>
      <c r="G20" s="175" t="s">
        <v>297</v>
      </c>
      <c r="H20" s="309"/>
      <c r="I20" s="309"/>
      <c r="J20" s="309"/>
      <c r="K20" s="182"/>
      <c r="L20" s="182"/>
      <c r="M20" s="181"/>
      <c r="N20" s="181">
        <f>SUMIFS('FCST data'!Q:Q,'FCST data'!$D:$D,$F20,'FCST data'!$K:$K,$G20)</f>
        <v>700</v>
      </c>
      <c r="O20" s="181">
        <f>SUMIFS('FCST data'!R:R,'FCST data'!$D:$D,$F20,'FCST data'!$K:$K,$G20)</f>
        <v>1050</v>
      </c>
      <c r="P20" s="181">
        <f>SUMIFS('FCST data'!S:S,'FCST data'!$D:$D,$F20,'FCST data'!$K:$K,$G20)</f>
        <v>1050</v>
      </c>
      <c r="Q20" s="181">
        <f>SUMIFS('FCST data'!T:T,'FCST data'!$D:$D,$F20,'FCST data'!$K:$K,$G20)</f>
        <v>0</v>
      </c>
      <c r="R20" s="181">
        <f>SUMIFS('FCST data'!U:U,'FCST data'!$D:$D,$F20,'FCST data'!$K:$K,$G20)</f>
        <v>0</v>
      </c>
      <c r="S20" s="181">
        <f>SUMIFS('FCST data'!V:V,'FCST data'!$D:$D,$F20,'FCST data'!$K:$K,$G20)</f>
        <v>0</v>
      </c>
      <c r="T20" s="181">
        <f>SUMIFS('FCST data'!W:W,'FCST data'!$D:$D,$F20,'FCST data'!$K:$K,$G20)</f>
        <v>0</v>
      </c>
      <c r="U20" s="181">
        <f>SUMIFS('FCST data'!X:X,'FCST data'!$D:$D,$F20,'FCST data'!$K:$K,$G20)</f>
        <v>0</v>
      </c>
      <c r="V20" s="181">
        <f>SUMIFS('FCST data'!Y:Y,'FCST data'!$D:$D,$F20,'FCST data'!$K:$K,$G20)</f>
        <v>0</v>
      </c>
      <c r="W20" s="181">
        <f>SUMIFS('FCST data'!Z:Z,'FCST data'!$D:$D,$F20,'FCST data'!$K:$K,$G20)</f>
        <v>0</v>
      </c>
      <c r="X20" s="181">
        <f>SUMIFS('FCST data'!AA:AA,'FCST data'!$D:$D,$F20,'FCST data'!$K:$K,$G20)</f>
        <v>0</v>
      </c>
      <c r="Y20" s="181">
        <f>SUMIFS('FCST data'!AB:AB,'FCST data'!$D:$D,$F20,'FCST data'!$K:$K,$G20)</f>
        <v>0</v>
      </c>
      <c r="Z20" s="148"/>
      <c r="AA20" s="290">
        <f>E20-Z21-Z22</f>
        <v>0</v>
      </c>
    </row>
    <row r="21" spans="2:27" ht="14.4">
      <c r="B21" s="153"/>
      <c r="C21" s="313"/>
      <c r="D21" s="284"/>
      <c r="E21" s="285"/>
      <c r="F21" s="286" t="s">
        <v>110</v>
      </c>
      <c r="G21" s="286" t="s">
        <v>297</v>
      </c>
      <c r="H21" s="284" t="s">
        <v>712</v>
      </c>
      <c r="I21" s="284" t="s">
        <v>31</v>
      </c>
      <c r="J21" s="284" t="s">
        <v>32</v>
      </c>
      <c r="K21" s="287"/>
      <c r="L21" s="160"/>
      <c r="M21" s="177"/>
      <c r="N21" s="291"/>
      <c r="O21" s="291"/>
      <c r="P21" s="291"/>
      <c r="Q21" s="291"/>
      <c r="R21" s="291"/>
      <c r="S21" s="291"/>
      <c r="T21" s="291"/>
      <c r="U21" s="291"/>
      <c r="V21" s="291"/>
      <c r="W21" s="291"/>
      <c r="X21" s="291"/>
      <c r="Y21" s="291"/>
      <c r="Z21" s="177">
        <f>SUM(N21:Y21)</f>
        <v>0</v>
      </c>
    </row>
    <row r="22" spans="2:27" ht="14.4">
      <c r="B22" s="153"/>
      <c r="C22" s="313"/>
      <c r="D22" s="284"/>
      <c r="E22" s="285"/>
      <c r="F22" s="286" t="s">
        <v>110</v>
      </c>
      <c r="G22" s="286" t="s">
        <v>297</v>
      </c>
      <c r="H22" s="284" t="s">
        <v>713</v>
      </c>
      <c r="I22" s="284" t="s">
        <v>714</v>
      </c>
      <c r="J22" s="284" t="s">
        <v>32</v>
      </c>
      <c r="K22" s="287"/>
      <c r="L22" s="160"/>
      <c r="M22" s="179"/>
      <c r="N22" s="291">
        <v>700</v>
      </c>
      <c r="O22" s="291">
        <v>1050</v>
      </c>
      <c r="P22" s="291">
        <v>1050</v>
      </c>
      <c r="Q22" s="291">
        <v>0</v>
      </c>
      <c r="R22" s="291">
        <v>0</v>
      </c>
      <c r="S22" s="291"/>
      <c r="T22" s="291"/>
      <c r="U22" s="291"/>
      <c r="V22" s="291"/>
      <c r="W22" s="291"/>
      <c r="X22" s="291"/>
      <c r="Y22" s="291"/>
      <c r="Z22" s="177">
        <f>SUM(N22:Y22)</f>
        <v>2800</v>
      </c>
    </row>
    <row r="23" spans="2:27" ht="15.6">
      <c r="B23" s="153"/>
      <c r="C23" s="314" t="s">
        <v>1023</v>
      </c>
      <c r="D23" s="174" t="s">
        <v>22</v>
      </c>
      <c r="E23" s="181">
        <f>SUM(N23:Y23)</f>
        <v>0</v>
      </c>
      <c r="F23" s="404" t="s">
        <v>200</v>
      </c>
      <c r="G23" s="183" t="s">
        <v>365</v>
      </c>
      <c r="H23" s="309"/>
      <c r="I23" s="309"/>
      <c r="J23" s="309"/>
      <c r="K23" s="182"/>
      <c r="L23" s="182"/>
      <c r="M23" s="181"/>
      <c r="N23" s="181">
        <f>SUMIFS('FCST data'!Q:Q,'FCST data'!$D:$D,$F23,'FCST data'!$K:$K,$G23)</f>
        <v>0</v>
      </c>
      <c r="O23" s="181">
        <f>SUMIFS('FCST data'!R:R,'FCST data'!$D:$D,$F23,'FCST data'!$K:$K,$G23)</f>
        <v>0</v>
      </c>
      <c r="P23" s="181">
        <f>SUMIFS('FCST data'!S:S,'FCST data'!$D:$D,$F23,'FCST data'!$K:$K,$G23)</f>
        <v>0</v>
      </c>
      <c r="Q23" s="181">
        <f>SUMIFS('FCST data'!T:T,'FCST data'!$D:$D,$F23,'FCST data'!$K:$K,$G23)</f>
        <v>0</v>
      </c>
      <c r="R23" s="181">
        <f>SUMIFS('FCST data'!U:U,'FCST data'!$D:$D,$F23,'FCST data'!$K:$K,$G23)</f>
        <v>0</v>
      </c>
      <c r="S23" s="181">
        <f>SUMIFS('FCST data'!V:V,'FCST data'!$D:$D,$F23,'FCST data'!$K:$K,$G23)</f>
        <v>0</v>
      </c>
      <c r="T23" s="181">
        <f>SUMIFS('FCST data'!W:W,'FCST data'!$D:$D,$F23,'FCST data'!$K:$K,$G23)</f>
        <v>0</v>
      </c>
      <c r="U23" s="181">
        <f>SUMIFS('FCST data'!X:X,'FCST data'!$D:$D,$F23,'FCST data'!$K:$K,$G23)</f>
        <v>0</v>
      </c>
      <c r="V23" s="181">
        <f>SUMIFS('FCST data'!Y:Y,'FCST data'!$D:$D,$F23,'FCST data'!$K:$K,$G23)</f>
        <v>0</v>
      </c>
      <c r="W23" s="181">
        <f>SUMIFS('FCST data'!Z:Z,'FCST data'!$D:$D,$F23,'FCST data'!$K:$K,$G23)</f>
        <v>0</v>
      </c>
      <c r="X23" s="181">
        <f>SUMIFS('FCST data'!AA:AA,'FCST data'!$D:$D,$F23,'FCST data'!$K:$K,$G23)</f>
        <v>0</v>
      </c>
      <c r="Y23" s="181">
        <f>SUMIFS('FCST data'!AB:AB,'FCST data'!$D:$D,$F23,'FCST data'!$K:$K,$G23)</f>
        <v>0</v>
      </c>
      <c r="Z23" s="148"/>
      <c r="AA23" s="290">
        <f>E23-Z24-Z25</f>
        <v>0</v>
      </c>
    </row>
    <row r="24" spans="2:27" ht="14.4">
      <c r="B24" s="153"/>
      <c r="C24" s="313"/>
      <c r="D24" s="284"/>
      <c r="E24" s="147"/>
      <c r="F24" s="286" t="s">
        <v>200</v>
      </c>
      <c r="G24" s="286" t="s">
        <v>365</v>
      </c>
      <c r="H24" s="284" t="s">
        <v>712</v>
      </c>
      <c r="I24" s="284" t="s">
        <v>31</v>
      </c>
      <c r="J24" s="284" t="s">
        <v>32</v>
      </c>
      <c r="K24" s="209"/>
      <c r="L24" s="209"/>
      <c r="M24" s="147"/>
      <c r="N24" s="291"/>
      <c r="O24" s="291"/>
      <c r="P24" s="291"/>
      <c r="Q24" s="291"/>
      <c r="R24" s="291"/>
      <c r="S24" s="291"/>
      <c r="T24" s="291"/>
      <c r="U24" s="291"/>
      <c r="V24" s="291"/>
      <c r="W24" s="291"/>
      <c r="X24" s="291"/>
      <c r="Y24" s="291"/>
      <c r="Z24" s="177">
        <f>SUM(N24:Y24)</f>
        <v>0</v>
      </c>
    </row>
    <row r="25" spans="2:27" ht="14.4">
      <c r="B25" s="153"/>
      <c r="C25" s="313"/>
      <c r="D25" s="284"/>
      <c r="E25" s="147"/>
      <c r="F25" s="286" t="s">
        <v>200</v>
      </c>
      <c r="G25" s="286" t="s">
        <v>365</v>
      </c>
      <c r="H25" s="284" t="s">
        <v>713</v>
      </c>
      <c r="I25" s="284" t="s">
        <v>714</v>
      </c>
      <c r="J25" s="284" t="s">
        <v>32</v>
      </c>
      <c r="K25" s="209"/>
      <c r="L25" s="209"/>
      <c r="M25" s="147"/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177">
        <f>SUM(N25:Y25)</f>
        <v>0</v>
      </c>
    </row>
    <row r="26" spans="2:27" ht="15.6">
      <c r="B26" s="153"/>
      <c r="C26" s="314" t="s">
        <v>293</v>
      </c>
      <c r="D26" s="174" t="s">
        <v>22</v>
      </c>
      <c r="E26" s="181">
        <f>SUM(N26:Y26)</f>
        <v>14100</v>
      </c>
      <c r="F26" s="183" t="s">
        <v>243</v>
      </c>
      <c r="G26" s="183" t="s">
        <v>264</v>
      </c>
      <c r="H26" s="309"/>
      <c r="I26" s="309"/>
      <c r="J26" s="309"/>
      <c r="K26" s="182"/>
      <c r="L26" s="182"/>
      <c r="M26" s="181"/>
      <c r="N26" s="181">
        <f>SUMIFS('FCST data'!Q:Q,'FCST data'!$D:$D,$F26,'FCST data'!$K:$K,$G26)</f>
        <v>4000</v>
      </c>
      <c r="O26" s="181">
        <f>SUMIFS('FCST data'!R:R,'FCST data'!$D:$D,$F26,'FCST data'!$K:$K,$G26)</f>
        <v>5100</v>
      </c>
      <c r="P26" s="181">
        <f>SUMIFS('FCST data'!S:S,'FCST data'!$D:$D,$F26,'FCST data'!$K:$K,$G26)</f>
        <v>0</v>
      </c>
      <c r="Q26" s="181">
        <f>SUMIFS('FCST data'!T:T,'FCST data'!$D:$D,$F26,'FCST data'!$K:$K,$G26)</f>
        <v>0</v>
      </c>
      <c r="R26" s="181">
        <f>SUMIFS('FCST data'!U:U,'FCST data'!$D:$D,$F26,'FCST data'!$K:$K,$G26)</f>
        <v>0</v>
      </c>
      <c r="S26" s="181">
        <f>SUMIFS('FCST data'!V:V,'FCST data'!$D:$D,$F26,'FCST data'!$K:$K,$G26)</f>
        <v>0</v>
      </c>
      <c r="T26" s="181">
        <f>SUMIFS('FCST data'!W:W,'FCST data'!$D:$D,$F26,'FCST data'!$K:$K,$G26)</f>
        <v>2000</v>
      </c>
      <c r="U26" s="181">
        <f>SUMIFS('FCST data'!X:X,'FCST data'!$D:$D,$F26,'FCST data'!$K:$K,$G26)</f>
        <v>2000</v>
      </c>
      <c r="V26" s="181">
        <f>SUMIFS('FCST data'!Y:Y,'FCST data'!$D:$D,$F26,'FCST data'!$K:$K,$G26)</f>
        <v>1000</v>
      </c>
      <c r="W26" s="181">
        <f>SUMIFS('FCST data'!Z:Z,'FCST data'!$D:$D,$F26,'FCST data'!$K:$K,$G26)</f>
        <v>0</v>
      </c>
      <c r="X26" s="181">
        <f>SUMIFS('FCST data'!AA:AA,'FCST data'!$D:$D,$F26,'FCST data'!$K:$K,$G26)</f>
        <v>0</v>
      </c>
      <c r="Y26" s="181">
        <f>SUMIFS('FCST data'!AB:AB,'FCST data'!$D:$D,$F26,'FCST data'!$K:$K,$G26)</f>
        <v>0</v>
      </c>
      <c r="Z26" s="148"/>
      <c r="AA26" s="290">
        <f>E26-Z27-Z28</f>
        <v>0</v>
      </c>
    </row>
    <row r="27" spans="2:27" ht="14.4">
      <c r="B27" s="153"/>
      <c r="C27" s="313"/>
      <c r="D27" s="284"/>
      <c r="E27" s="285"/>
      <c r="F27" s="286" t="s">
        <v>243</v>
      </c>
      <c r="G27" s="286" t="s">
        <v>264</v>
      </c>
      <c r="H27" s="284" t="s">
        <v>712</v>
      </c>
      <c r="I27" s="284" t="s">
        <v>31</v>
      </c>
      <c r="J27" s="284" t="s">
        <v>32</v>
      </c>
      <c r="K27" s="287"/>
      <c r="L27" s="160"/>
      <c r="M27" s="177"/>
      <c r="N27" s="291"/>
      <c r="O27" s="291"/>
      <c r="P27" s="291"/>
      <c r="Q27" s="291"/>
      <c r="R27" s="291"/>
      <c r="S27" s="291"/>
      <c r="T27" s="291"/>
      <c r="U27" s="291"/>
      <c r="V27" s="291"/>
      <c r="W27" s="291"/>
      <c r="X27" s="291"/>
      <c r="Y27" s="291"/>
      <c r="Z27" s="177">
        <f>SUM(N27:Y27)</f>
        <v>0</v>
      </c>
    </row>
    <row r="28" spans="2:27" ht="14.4">
      <c r="B28" s="153"/>
      <c r="C28" s="313"/>
      <c r="D28" s="284"/>
      <c r="E28" s="285"/>
      <c r="F28" s="286" t="s">
        <v>243</v>
      </c>
      <c r="G28" s="286" t="s">
        <v>264</v>
      </c>
      <c r="H28" s="284" t="s">
        <v>713</v>
      </c>
      <c r="I28" s="284" t="s">
        <v>714</v>
      </c>
      <c r="J28" s="284" t="s">
        <v>32</v>
      </c>
      <c r="K28" s="287"/>
      <c r="L28" s="160"/>
      <c r="M28" s="179"/>
      <c r="N28" s="291">
        <v>4000</v>
      </c>
      <c r="O28" s="291">
        <v>5100</v>
      </c>
      <c r="P28" s="291">
        <v>0</v>
      </c>
      <c r="Q28" s="291">
        <v>0</v>
      </c>
      <c r="R28" s="291"/>
      <c r="S28" s="291"/>
      <c r="T28" s="291">
        <v>2000</v>
      </c>
      <c r="U28" s="291">
        <v>2000</v>
      </c>
      <c r="V28" s="291">
        <v>1000</v>
      </c>
      <c r="W28" s="291"/>
      <c r="X28" s="291"/>
      <c r="Y28" s="291"/>
      <c r="Z28" s="177">
        <f>SUM(N28:Y28)</f>
        <v>14100</v>
      </c>
    </row>
    <row r="29" spans="2:27" ht="15.6">
      <c r="B29" s="153"/>
      <c r="C29" s="314" t="s">
        <v>1024</v>
      </c>
      <c r="D29" s="174" t="s">
        <v>22</v>
      </c>
      <c r="E29" s="181">
        <f>SUM(N29:Y29)</f>
        <v>17000</v>
      </c>
      <c r="F29" s="183" t="s">
        <v>294</v>
      </c>
      <c r="G29" s="183" t="s">
        <v>266</v>
      </c>
      <c r="H29" s="309"/>
      <c r="I29" s="309"/>
      <c r="J29" s="309"/>
      <c r="K29" s="182"/>
      <c r="L29" s="182"/>
      <c r="M29" s="181"/>
      <c r="N29" s="181">
        <f>SUMIFS('FCST data'!Q:Q,'FCST data'!$D:$D,$F29,'FCST data'!$K:$K,$G29)</f>
        <v>1500</v>
      </c>
      <c r="O29" s="181">
        <f>SUMIFS('FCST data'!R:R,'FCST data'!$D:$D,$F29,'FCST data'!$K:$K,$G29)</f>
        <v>3700</v>
      </c>
      <c r="P29" s="181">
        <f>SUMIFS('FCST data'!S:S,'FCST data'!$D:$D,$F29,'FCST data'!$K:$K,$G29)</f>
        <v>4000</v>
      </c>
      <c r="Q29" s="181">
        <f>SUMIFS('FCST data'!T:T,'FCST data'!$D:$D,$F29,'FCST data'!$K:$K,$G29)</f>
        <v>4000</v>
      </c>
      <c r="R29" s="181">
        <f>SUMIFS('FCST data'!U:U,'FCST data'!$D:$D,$F29,'FCST data'!$K:$K,$G29)</f>
        <v>3800</v>
      </c>
      <c r="S29" s="181">
        <f>SUMIFS('FCST data'!V:V,'FCST data'!$D:$D,$F29,'FCST data'!$K:$K,$G29)</f>
        <v>0</v>
      </c>
      <c r="T29" s="181">
        <f>SUMIFS('FCST data'!W:W,'FCST data'!$D:$D,$F29,'FCST data'!$K:$K,$G29)</f>
        <v>0</v>
      </c>
      <c r="U29" s="181">
        <f>SUMIFS('FCST data'!X:X,'FCST data'!$D:$D,$F29,'FCST data'!$K:$K,$G29)</f>
        <v>0</v>
      </c>
      <c r="V29" s="181">
        <f>SUMIFS('FCST data'!Y:Y,'FCST data'!$D:$D,$F29,'FCST data'!$K:$K,$G29)</f>
        <v>0</v>
      </c>
      <c r="W29" s="181">
        <f>SUMIFS('FCST data'!Z:Z,'FCST data'!$D:$D,$F29,'FCST data'!$K:$K,$G29)</f>
        <v>0</v>
      </c>
      <c r="X29" s="181">
        <f>SUMIFS('FCST data'!AA:AA,'FCST data'!$D:$D,$F29,'FCST data'!$K:$K,$G29)</f>
        <v>0</v>
      </c>
      <c r="Y29" s="181">
        <f>SUMIFS('FCST data'!AB:AB,'FCST data'!$D:$D,$F29,'FCST data'!$K:$K,$G29)</f>
        <v>0</v>
      </c>
      <c r="Z29" s="148"/>
      <c r="AA29" s="290">
        <f>E29-Z30-Z31</f>
        <v>0</v>
      </c>
    </row>
    <row r="30" spans="2:27" ht="14.4">
      <c r="B30" s="153"/>
      <c r="C30" s="313"/>
      <c r="D30" s="284"/>
      <c r="E30" s="285"/>
      <c r="F30" s="286" t="s">
        <v>294</v>
      </c>
      <c r="G30" s="286" t="s">
        <v>266</v>
      </c>
      <c r="H30" s="284" t="s">
        <v>712</v>
      </c>
      <c r="I30" s="284" t="s">
        <v>31</v>
      </c>
      <c r="J30" s="284" t="s">
        <v>32</v>
      </c>
      <c r="K30" s="287"/>
      <c r="L30" s="160"/>
      <c r="M30" s="177"/>
      <c r="N30" s="291"/>
      <c r="O30" s="291"/>
      <c r="P30" s="291"/>
      <c r="Q30" s="291"/>
      <c r="R30" s="291"/>
      <c r="S30" s="291"/>
      <c r="T30" s="291"/>
      <c r="U30" s="291"/>
      <c r="V30" s="291"/>
      <c r="W30" s="291"/>
      <c r="X30" s="291"/>
      <c r="Y30" s="291"/>
      <c r="Z30" s="177">
        <f>SUM(N30:Y30)</f>
        <v>0</v>
      </c>
    </row>
    <row r="31" spans="2:27" ht="14.4">
      <c r="B31" s="153"/>
      <c r="C31" s="313"/>
      <c r="D31" s="284"/>
      <c r="E31" s="285"/>
      <c r="F31" s="286" t="s">
        <v>294</v>
      </c>
      <c r="G31" s="286" t="s">
        <v>266</v>
      </c>
      <c r="H31" s="284" t="s">
        <v>713</v>
      </c>
      <c r="I31" s="284" t="s">
        <v>714</v>
      </c>
      <c r="J31" s="284" t="s">
        <v>32</v>
      </c>
      <c r="K31" s="287"/>
      <c r="L31" s="160"/>
      <c r="M31" s="179"/>
      <c r="N31" s="291">
        <v>1500</v>
      </c>
      <c r="O31" s="291">
        <v>3700</v>
      </c>
      <c r="P31" s="291">
        <v>4000</v>
      </c>
      <c r="Q31" s="291">
        <v>4000</v>
      </c>
      <c r="R31" s="291">
        <v>3800</v>
      </c>
      <c r="S31" s="291"/>
      <c r="T31" s="291"/>
      <c r="U31" s="291"/>
      <c r="V31" s="291"/>
      <c r="W31" s="291"/>
      <c r="X31" s="291"/>
      <c r="Y31" s="291"/>
      <c r="Z31" s="177">
        <f>SUM(N31:Y31)</f>
        <v>17000</v>
      </c>
    </row>
    <row r="32" spans="2:27" ht="15.6">
      <c r="B32" s="153"/>
      <c r="C32" s="314" t="s">
        <v>293</v>
      </c>
      <c r="D32" s="174" t="s">
        <v>22</v>
      </c>
      <c r="E32" s="181">
        <f>SUM(N32:Y32)</f>
        <v>500</v>
      </c>
      <c r="F32" s="183" t="s">
        <v>294</v>
      </c>
      <c r="G32" s="183" t="s">
        <v>690</v>
      </c>
      <c r="H32" s="309"/>
      <c r="I32" s="309"/>
      <c r="J32" s="309"/>
      <c r="K32" s="182"/>
      <c r="L32" s="182"/>
      <c r="M32" s="181"/>
      <c r="N32" s="181">
        <f>SUMIFS('FCST data'!Q:Q,'FCST data'!$D:$D,$F32,'FCST data'!$K:$K,$G32)</f>
        <v>500</v>
      </c>
      <c r="O32" s="181">
        <f>SUMIFS('FCST data'!R:R,'FCST data'!$D:$D,$F32,'FCST data'!$K:$K,$G32)</f>
        <v>0</v>
      </c>
      <c r="P32" s="181">
        <f>SUMIFS('FCST data'!S:S,'FCST data'!$D:$D,$F32,'FCST data'!$K:$K,$G32)</f>
        <v>0</v>
      </c>
      <c r="Q32" s="181">
        <f>SUMIFS('FCST data'!T:T,'FCST data'!$D:$D,$F32,'FCST data'!$K:$K,$G32)</f>
        <v>0</v>
      </c>
      <c r="R32" s="181">
        <f>SUMIFS('FCST data'!U:U,'FCST data'!$D:$D,$F32,'FCST data'!$K:$K,$G32)</f>
        <v>0</v>
      </c>
      <c r="S32" s="181">
        <f>SUMIFS('FCST data'!V:V,'FCST data'!$D:$D,$F32,'FCST data'!$K:$K,$G32)</f>
        <v>0</v>
      </c>
      <c r="T32" s="181">
        <f>SUMIFS('FCST data'!W:W,'FCST data'!$D:$D,$F32,'FCST data'!$K:$K,$G32)</f>
        <v>0</v>
      </c>
      <c r="U32" s="181">
        <f>SUMIFS('FCST data'!X:X,'FCST data'!$D:$D,$F32,'FCST data'!$K:$K,$G32)</f>
        <v>0</v>
      </c>
      <c r="V32" s="181">
        <f>SUMIFS('FCST data'!Y:Y,'FCST data'!$D:$D,$F32,'FCST data'!$K:$K,$G32)</f>
        <v>0</v>
      </c>
      <c r="W32" s="181">
        <f>SUMIFS('FCST data'!Z:Z,'FCST data'!$D:$D,$F32,'FCST data'!$K:$K,$G32)</f>
        <v>0</v>
      </c>
      <c r="X32" s="181">
        <f>SUMIFS('FCST data'!AA:AA,'FCST data'!$D:$D,$F32,'FCST data'!$K:$K,$G32)</f>
        <v>0</v>
      </c>
      <c r="Y32" s="181">
        <f>SUMIFS('FCST data'!AB:AB,'FCST data'!$D:$D,$F32,'FCST data'!$K:$K,$G32)</f>
        <v>0</v>
      </c>
      <c r="Z32" s="148"/>
      <c r="AA32" s="290">
        <f>E32-Z33-Z34</f>
        <v>0</v>
      </c>
    </row>
    <row r="33" spans="2:27" ht="14.4">
      <c r="B33" s="153"/>
      <c r="C33" s="313"/>
      <c r="D33" s="284"/>
      <c r="E33" s="285"/>
      <c r="F33" s="286" t="s">
        <v>294</v>
      </c>
      <c r="G33" s="286" t="s">
        <v>690</v>
      </c>
      <c r="H33" s="284" t="s">
        <v>712</v>
      </c>
      <c r="I33" s="284" t="s">
        <v>31</v>
      </c>
      <c r="J33" s="284" t="s">
        <v>32</v>
      </c>
      <c r="K33" s="287"/>
      <c r="L33" s="160"/>
      <c r="M33" s="177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177">
        <f>SUM(N33:Y33)</f>
        <v>0</v>
      </c>
    </row>
    <row r="34" spans="2:27" ht="14.4">
      <c r="B34" s="153"/>
      <c r="C34" s="313"/>
      <c r="D34" s="284"/>
      <c r="E34" s="285"/>
      <c r="F34" s="286" t="s">
        <v>294</v>
      </c>
      <c r="G34" s="286" t="s">
        <v>690</v>
      </c>
      <c r="H34" s="284" t="s">
        <v>713</v>
      </c>
      <c r="I34" s="284" t="s">
        <v>714</v>
      </c>
      <c r="J34" s="284" t="s">
        <v>32</v>
      </c>
      <c r="K34" s="287"/>
      <c r="L34" s="160"/>
      <c r="M34" s="179"/>
      <c r="N34" s="291">
        <v>500</v>
      </c>
      <c r="O34" s="291">
        <v>0</v>
      </c>
      <c r="P34" s="291">
        <v>0</v>
      </c>
      <c r="Q34" s="291">
        <v>0</v>
      </c>
      <c r="R34" s="291">
        <v>0</v>
      </c>
      <c r="S34" s="291"/>
      <c r="T34" s="291"/>
      <c r="U34" s="291"/>
      <c r="V34" s="291"/>
      <c r="W34" s="291"/>
      <c r="X34" s="291"/>
      <c r="Y34" s="291"/>
      <c r="Z34" s="177">
        <f>SUM(N34:Y34)</f>
        <v>500</v>
      </c>
    </row>
    <row r="35" spans="2:27" ht="15.6">
      <c r="B35" s="153"/>
      <c r="C35" s="314"/>
      <c r="D35" s="174" t="s">
        <v>22</v>
      </c>
      <c r="E35" s="181">
        <f>SUM(N35:Y35)</f>
        <v>2600</v>
      </c>
      <c r="F35" s="183" t="s">
        <v>139</v>
      </c>
      <c r="G35" s="183" t="s">
        <v>264</v>
      </c>
      <c r="H35" s="309"/>
      <c r="I35" s="309"/>
      <c r="J35" s="309"/>
      <c r="K35" s="182"/>
      <c r="L35" s="182"/>
      <c r="M35" s="181"/>
      <c r="N35" s="181">
        <f>SUMIFS('FCST data'!Q:Q,'FCST data'!$D:$D,$F35,'FCST data'!$K:$K,$G35)</f>
        <v>200</v>
      </c>
      <c r="O35" s="181">
        <f>SUMIFS('FCST data'!R:R,'FCST data'!$D:$D,$F35,'FCST data'!$K:$K,$G35)</f>
        <v>1200</v>
      </c>
      <c r="P35" s="181">
        <f>SUMIFS('FCST data'!S:S,'FCST data'!$D:$D,$F35,'FCST data'!$K:$K,$G35)</f>
        <v>0</v>
      </c>
      <c r="Q35" s="181">
        <f>SUMIFS('FCST data'!T:T,'FCST data'!$D:$D,$F35,'FCST data'!$K:$K,$G35)</f>
        <v>0</v>
      </c>
      <c r="R35" s="181">
        <f>SUMIFS('FCST data'!U:U,'FCST data'!$D:$D,$F35,'FCST data'!$K:$K,$G35)</f>
        <v>600</v>
      </c>
      <c r="S35" s="181">
        <f>SUMIFS('FCST data'!V:V,'FCST data'!$D:$D,$F35,'FCST data'!$K:$K,$G35)</f>
        <v>600</v>
      </c>
      <c r="T35" s="181">
        <f>SUMIFS('FCST data'!W:W,'FCST data'!$D:$D,$F35,'FCST data'!$K:$K,$G35)</f>
        <v>0</v>
      </c>
      <c r="U35" s="181">
        <f>SUMIFS('FCST data'!X:X,'FCST data'!$D:$D,$F35,'FCST data'!$K:$K,$G35)</f>
        <v>0</v>
      </c>
      <c r="V35" s="181">
        <f>SUMIFS('FCST data'!Y:Y,'FCST data'!$D:$D,$F35,'FCST data'!$K:$K,$G35)</f>
        <v>0</v>
      </c>
      <c r="W35" s="181">
        <f>SUMIFS('FCST data'!Z:Z,'FCST data'!$D:$D,$F35,'FCST data'!$K:$K,$G35)</f>
        <v>0</v>
      </c>
      <c r="X35" s="181">
        <f>SUMIFS('FCST data'!AA:AA,'FCST data'!$D:$D,$F35,'FCST data'!$K:$K,$G35)</f>
        <v>0</v>
      </c>
      <c r="Y35" s="181">
        <f>SUMIFS('FCST data'!AB:AB,'FCST data'!$D:$D,$F35,'FCST data'!$K:$K,$G35)</f>
        <v>0</v>
      </c>
      <c r="Z35" s="148"/>
      <c r="AA35" s="290">
        <f>E35-Z36-Z37</f>
        <v>0</v>
      </c>
    </row>
    <row r="36" spans="2:27" ht="14.4">
      <c r="B36" s="153"/>
      <c r="C36" s="313"/>
      <c r="D36" s="284"/>
      <c r="E36" s="285"/>
      <c r="F36" s="286" t="s">
        <v>139</v>
      </c>
      <c r="G36" s="286" t="s">
        <v>264</v>
      </c>
      <c r="H36" s="284" t="s">
        <v>712</v>
      </c>
      <c r="I36" s="284" t="s">
        <v>31</v>
      </c>
      <c r="J36" s="284" t="s">
        <v>32</v>
      </c>
      <c r="K36" s="287"/>
      <c r="L36" s="160"/>
      <c r="M36" s="177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177">
        <f>SUM(N36:Y36)</f>
        <v>0</v>
      </c>
    </row>
    <row r="37" spans="2:27" ht="14.4">
      <c r="B37" s="153"/>
      <c r="C37" s="313"/>
      <c r="D37" s="284"/>
      <c r="E37" s="285"/>
      <c r="F37" s="286" t="s">
        <v>139</v>
      </c>
      <c r="G37" s="286" t="s">
        <v>264</v>
      </c>
      <c r="H37" s="284" t="s">
        <v>713</v>
      </c>
      <c r="I37" s="284" t="s">
        <v>714</v>
      </c>
      <c r="J37" s="284" t="s">
        <v>32</v>
      </c>
      <c r="K37" s="287"/>
      <c r="L37" s="160"/>
      <c r="M37" s="179"/>
      <c r="N37" s="291">
        <v>200</v>
      </c>
      <c r="O37" s="291">
        <v>1200</v>
      </c>
      <c r="P37" s="291">
        <v>0</v>
      </c>
      <c r="Q37" s="291">
        <v>0</v>
      </c>
      <c r="R37" s="291">
        <v>600</v>
      </c>
      <c r="S37" s="291">
        <v>600</v>
      </c>
      <c r="T37" s="291"/>
      <c r="U37" s="291"/>
      <c r="V37" s="291"/>
      <c r="W37" s="291"/>
      <c r="X37" s="291"/>
      <c r="Y37" s="291"/>
      <c r="Z37" s="177">
        <f>SUM(N37:Y37)</f>
        <v>2600</v>
      </c>
    </row>
    <row r="38" spans="2:27" ht="15.6">
      <c r="B38" s="153"/>
      <c r="C38" s="314" t="s">
        <v>1023</v>
      </c>
      <c r="D38" s="174" t="s">
        <v>22</v>
      </c>
      <c r="E38" s="181">
        <f>SUM(N38:Y38)</f>
        <v>0</v>
      </c>
      <c r="F38" s="404" t="s">
        <v>416</v>
      </c>
      <c r="G38" s="183" t="s">
        <v>264</v>
      </c>
      <c r="H38" s="309"/>
      <c r="I38" s="309"/>
      <c r="J38" s="309"/>
      <c r="K38" s="182"/>
      <c r="L38" s="182"/>
      <c r="M38" s="181"/>
      <c r="N38" s="181">
        <f>SUMIFS('FCST data'!Q:Q,'FCST data'!$D:$D,$F38,'FCST data'!$K:$K,$G38)</f>
        <v>0</v>
      </c>
      <c r="O38" s="181">
        <f>SUMIFS('FCST data'!R:R,'FCST data'!$D:$D,$F38,'FCST data'!$K:$K,$G38)</f>
        <v>0</v>
      </c>
      <c r="P38" s="181">
        <f>SUMIFS('FCST data'!S:S,'FCST data'!$D:$D,$F38,'FCST data'!$K:$K,$G38)</f>
        <v>0</v>
      </c>
      <c r="Q38" s="181">
        <f>SUMIFS('FCST data'!T:T,'FCST data'!$D:$D,$F38,'FCST data'!$K:$K,$G38)</f>
        <v>0</v>
      </c>
      <c r="R38" s="181">
        <f>SUMIFS('FCST data'!U:U,'FCST data'!$D:$D,$F38,'FCST data'!$K:$K,$G38)</f>
        <v>0</v>
      </c>
      <c r="S38" s="181">
        <f>SUMIFS('FCST data'!V:V,'FCST data'!$D:$D,$F38,'FCST data'!$K:$K,$G38)</f>
        <v>0</v>
      </c>
      <c r="T38" s="181">
        <f>SUMIFS('FCST data'!W:W,'FCST data'!$D:$D,$F38,'FCST data'!$K:$K,$G38)</f>
        <v>0</v>
      </c>
      <c r="U38" s="181">
        <f>SUMIFS('FCST data'!X:X,'FCST data'!$D:$D,$F38,'FCST data'!$K:$K,$G38)</f>
        <v>0</v>
      </c>
      <c r="V38" s="181">
        <f>SUMIFS('FCST data'!Y:Y,'FCST data'!$D:$D,$F38,'FCST data'!$K:$K,$G38)</f>
        <v>0</v>
      </c>
      <c r="W38" s="181">
        <f>SUMIFS('FCST data'!Z:Z,'FCST data'!$D:$D,$F38,'FCST data'!$K:$K,$G38)</f>
        <v>0</v>
      </c>
      <c r="X38" s="181">
        <f>SUMIFS('FCST data'!AA:AA,'FCST data'!$D:$D,$F38,'FCST data'!$K:$K,$G38)</f>
        <v>0</v>
      </c>
      <c r="Y38" s="181">
        <f>SUMIFS('FCST data'!AB:AB,'FCST data'!$D:$D,$F38,'FCST data'!$K:$K,$G38)</f>
        <v>0</v>
      </c>
      <c r="Z38" s="148"/>
      <c r="AA38" s="290">
        <f>E38-Z39-Z40</f>
        <v>0</v>
      </c>
    </row>
    <row r="39" spans="2:27" ht="14.4">
      <c r="B39" s="153"/>
      <c r="C39" s="313"/>
      <c r="D39" s="284"/>
      <c r="E39" s="285"/>
      <c r="F39" s="286" t="s">
        <v>416</v>
      </c>
      <c r="G39" s="286" t="s">
        <v>264</v>
      </c>
      <c r="H39" s="284" t="s">
        <v>712</v>
      </c>
      <c r="I39" s="284" t="s">
        <v>31</v>
      </c>
      <c r="J39" s="284" t="s">
        <v>32</v>
      </c>
      <c r="K39" s="287"/>
      <c r="L39" s="160"/>
      <c r="M39" s="177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177">
        <f>SUM(N39:Y39)</f>
        <v>0</v>
      </c>
    </row>
    <row r="40" spans="2:27" ht="14.4">
      <c r="B40" s="153"/>
      <c r="C40" s="313"/>
      <c r="D40" s="284"/>
      <c r="E40" s="285"/>
      <c r="F40" s="332" t="s">
        <v>416</v>
      </c>
      <c r="G40" s="332" t="s">
        <v>264</v>
      </c>
      <c r="H40" s="284" t="s">
        <v>713</v>
      </c>
      <c r="I40" s="284" t="s">
        <v>714</v>
      </c>
      <c r="J40" s="333" t="s">
        <v>32</v>
      </c>
      <c r="K40" s="334"/>
      <c r="L40" s="335"/>
      <c r="M40" s="336"/>
      <c r="N40" s="337"/>
      <c r="O40" s="337">
        <v>0</v>
      </c>
      <c r="P40" s="337">
        <v>0</v>
      </c>
      <c r="Q40" s="337">
        <v>0</v>
      </c>
      <c r="R40" s="337">
        <v>0</v>
      </c>
      <c r="S40" s="337"/>
      <c r="T40" s="337"/>
      <c r="U40" s="337"/>
      <c r="V40" s="337"/>
      <c r="W40" s="337"/>
      <c r="X40" s="337"/>
      <c r="Y40" s="337"/>
      <c r="Z40" s="177">
        <f>SUM(N40:Y40)</f>
        <v>0</v>
      </c>
    </row>
    <row r="41" spans="2:27" ht="15.6">
      <c r="B41" s="153"/>
      <c r="C41" s="314" t="s">
        <v>293</v>
      </c>
      <c r="D41" s="174" t="s">
        <v>22</v>
      </c>
      <c r="E41" s="181">
        <f>SUM(N41:Y41)</f>
        <v>950</v>
      </c>
      <c r="F41" s="175" t="s">
        <v>198</v>
      </c>
      <c r="G41" s="175" t="s">
        <v>373</v>
      </c>
      <c r="H41" s="309"/>
      <c r="I41" s="309"/>
      <c r="J41" s="309"/>
      <c r="K41" s="182"/>
      <c r="L41" s="182"/>
      <c r="M41" s="181"/>
      <c r="N41" s="181">
        <f>SUMIFS('FCST data'!Q:Q,'FCST data'!$D:$D,$F41,'FCST data'!$K:$K,$G41)</f>
        <v>150</v>
      </c>
      <c r="O41" s="181">
        <f>SUMIFS('FCST data'!R:R,'FCST data'!$D:$D,$F41,'FCST data'!$K:$K,$G41)</f>
        <v>800</v>
      </c>
      <c r="P41" s="181">
        <f>SUMIFS('FCST data'!S:S,'FCST data'!$D:$D,$F41,'FCST data'!$K:$K,$G41)</f>
        <v>0</v>
      </c>
      <c r="Q41" s="181">
        <f>SUMIFS('FCST data'!T:T,'FCST data'!$D:$D,$F41,'FCST data'!$K:$K,$G41)</f>
        <v>0</v>
      </c>
      <c r="R41" s="181">
        <f>SUMIFS('FCST data'!U:U,'FCST data'!$D:$D,$F41,'FCST data'!$K:$K,$G41)</f>
        <v>0</v>
      </c>
      <c r="S41" s="181">
        <f>SUMIFS('FCST data'!V:V,'FCST data'!$D:$D,$F41,'FCST data'!$K:$K,$G41)</f>
        <v>0</v>
      </c>
      <c r="T41" s="181">
        <f>SUMIFS('FCST data'!W:W,'FCST data'!$D:$D,$F41,'FCST data'!$K:$K,$G41)</f>
        <v>0</v>
      </c>
      <c r="U41" s="181">
        <f>SUMIFS('FCST data'!X:X,'FCST data'!$D:$D,$F41,'FCST data'!$K:$K,$G41)</f>
        <v>0</v>
      </c>
      <c r="V41" s="181">
        <f>SUMIFS('FCST data'!Y:Y,'FCST data'!$D:$D,$F41,'FCST data'!$K:$K,$G41)</f>
        <v>0</v>
      </c>
      <c r="W41" s="181">
        <f>SUMIFS('FCST data'!Z:Z,'FCST data'!$D:$D,$F41,'FCST data'!$K:$K,$G41)</f>
        <v>0</v>
      </c>
      <c r="X41" s="181">
        <f>SUMIFS('FCST data'!AA:AA,'FCST data'!$D:$D,$F41,'FCST data'!$K:$K,$G41)</f>
        <v>0</v>
      </c>
      <c r="Y41" s="181">
        <f>SUMIFS('FCST data'!AB:AB,'FCST data'!$D:$D,$F41,'FCST data'!$K:$K,$G41)</f>
        <v>0</v>
      </c>
      <c r="Z41" s="148"/>
      <c r="AA41" s="290">
        <f>E41-Z42-Z43</f>
        <v>0</v>
      </c>
    </row>
    <row r="42" spans="2:27" ht="14.4">
      <c r="B42" s="153"/>
      <c r="C42" s="312"/>
      <c r="D42" s="284"/>
      <c r="E42" s="285"/>
      <c r="F42" s="286" t="s">
        <v>198</v>
      </c>
      <c r="G42" s="286" t="s">
        <v>373</v>
      </c>
      <c r="H42" s="284" t="s">
        <v>712</v>
      </c>
      <c r="I42" s="284" t="s">
        <v>31</v>
      </c>
      <c r="J42" s="284" t="s">
        <v>32</v>
      </c>
      <c r="K42" s="287"/>
      <c r="L42" s="160"/>
      <c r="M42" s="147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177">
        <f>SUM(N42:Y42)</f>
        <v>0</v>
      </c>
      <c r="AA42" s="184"/>
    </row>
    <row r="43" spans="2:27" ht="14.4">
      <c r="B43" s="153"/>
      <c r="C43" s="312"/>
      <c r="D43" s="284"/>
      <c r="E43" s="285"/>
      <c r="F43" s="286" t="s">
        <v>198</v>
      </c>
      <c r="G43" s="286" t="s">
        <v>373</v>
      </c>
      <c r="H43" s="284" t="s">
        <v>713</v>
      </c>
      <c r="I43" s="284" t="s">
        <v>714</v>
      </c>
      <c r="J43" s="284" t="s">
        <v>32</v>
      </c>
      <c r="K43" s="287"/>
      <c r="L43" s="160"/>
      <c r="M43" s="147"/>
      <c r="N43" s="291">
        <v>150</v>
      </c>
      <c r="O43" s="291">
        <v>800</v>
      </c>
      <c r="P43" s="291">
        <v>0</v>
      </c>
      <c r="Q43" s="291">
        <v>0</v>
      </c>
      <c r="R43" s="291">
        <v>0</v>
      </c>
      <c r="S43" s="291"/>
      <c r="T43" s="291"/>
      <c r="U43" s="291"/>
      <c r="V43" s="291"/>
      <c r="W43" s="291"/>
      <c r="X43" s="291"/>
      <c r="Y43" s="291"/>
      <c r="Z43" s="177">
        <f>SUM(N43:Y43)</f>
        <v>950</v>
      </c>
      <c r="AA43" s="184"/>
    </row>
    <row r="44" spans="2:27" ht="15.6">
      <c r="B44" s="153"/>
      <c r="C44" s="314" t="s">
        <v>293</v>
      </c>
      <c r="D44" s="174" t="s">
        <v>22</v>
      </c>
      <c r="E44" s="181">
        <f>SUM(N44:Y44)</f>
        <v>750</v>
      </c>
      <c r="F44" s="175" t="s">
        <v>198</v>
      </c>
      <c r="G44" s="175" t="s">
        <v>382</v>
      </c>
      <c r="H44" s="309"/>
      <c r="I44" s="309"/>
      <c r="J44" s="309"/>
      <c r="K44" s="182"/>
      <c r="L44" s="182"/>
      <c r="M44" s="181"/>
      <c r="N44" s="181">
        <f>SUMIFS('FCST data'!Q:Q,'FCST data'!$D:$D,$F44,'FCST data'!$K:$K,$G44)</f>
        <v>150</v>
      </c>
      <c r="O44" s="181">
        <f>SUMIFS('FCST data'!R:R,'FCST data'!$D:$D,$F44,'FCST data'!$K:$K,$G44)</f>
        <v>600</v>
      </c>
      <c r="P44" s="181">
        <f>SUMIFS('FCST data'!S:S,'FCST data'!$D:$D,$F44,'FCST data'!$K:$K,$G44)</f>
        <v>0</v>
      </c>
      <c r="Q44" s="181">
        <f>SUMIFS('FCST data'!T:T,'FCST data'!$D:$D,$F44,'FCST data'!$K:$K,$G44)</f>
        <v>0</v>
      </c>
      <c r="R44" s="181">
        <f>SUMIFS('FCST data'!U:U,'FCST data'!$D:$D,$F44,'FCST data'!$K:$K,$G44)</f>
        <v>0</v>
      </c>
      <c r="S44" s="181">
        <f>SUMIFS('FCST data'!V:V,'FCST data'!$D:$D,$F44,'FCST data'!$K:$K,$G44)</f>
        <v>0</v>
      </c>
      <c r="T44" s="181">
        <f>SUMIFS('FCST data'!W:W,'FCST data'!$D:$D,$F44,'FCST data'!$K:$K,$G44)</f>
        <v>0</v>
      </c>
      <c r="U44" s="181">
        <f>SUMIFS('FCST data'!X:X,'FCST data'!$D:$D,$F44,'FCST data'!$K:$K,$G44)</f>
        <v>0</v>
      </c>
      <c r="V44" s="181">
        <f>SUMIFS('FCST data'!Y:Y,'FCST data'!$D:$D,$F44,'FCST data'!$K:$K,$G44)</f>
        <v>0</v>
      </c>
      <c r="W44" s="181">
        <f>SUMIFS('FCST data'!Z:Z,'FCST data'!$D:$D,$F44,'FCST data'!$K:$K,$G44)</f>
        <v>0</v>
      </c>
      <c r="X44" s="181">
        <f>SUMIFS('FCST data'!AA:AA,'FCST data'!$D:$D,$F44,'FCST data'!$K:$K,$G44)</f>
        <v>0</v>
      </c>
      <c r="Y44" s="181">
        <f>SUMIFS('FCST data'!AB:AB,'FCST data'!$D:$D,$F44,'FCST data'!$K:$K,$G44)</f>
        <v>0</v>
      </c>
      <c r="Z44" s="148"/>
      <c r="AA44" s="290">
        <f>E44-Z45-Z46</f>
        <v>0</v>
      </c>
    </row>
    <row r="45" spans="2:27" ht="14.4">
      <c r="B45" s="153"/>
      <c r="C45" s="312"/>
      <c r="D45" s="284"/>
      <c r="E45" s="285"/>
      <c r="F45" s="286" t="s">
        <v>198</v>
      </c>
      <c r="G45" s="286" t="s">
        <v>382</v>
      </c>
      <c r="H45" s="284" t="s">
        <v>712</v>
      </c>
      <c r="I45" s="284" t="s">
        <v>31</v>
      </c>
      <c r="J45" s="284" t="s">
        <v>32</v>
      </c>
      <c r="K45" s="287"/>
      <c r="L45" s="160"/>
      <c r="M45" s="147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177">
        <f>SUM(N45:Y45)</f>
        <v>0</v>
      </c>
      <c r="AA45" s="184"/>
    </row>
    <row r="46" spans="2:27" ht="14.4">
      <c r="B46" s="153"/>
      <c r="C46" s="312"/>
      <c r="D46" s="284"/>
      <c r="E46" s="285"/>
      <c r="F46" s="286" t="s">
        <v>198</v>
      </c>
      <c r="G46" s="286" t="s">
        <v>382</v>
      </c>
      <c r="H46" s="284" t="s">
        <v>713</v>
      </c>
      <c r="I46" s="284" t="s">
        <v>714</v>
      </c>
      <c r="J46" s="284" t="s">
        <v>32</v>
      </c>
      <c r="K46" s="287"/>
      <c r="L46" s="160"/>
      <c r="M46" s="177"/>
      <c r="N46" s="291">
        <v>150</v>
      </c>
      <c r="O46" s="291">
        <v>600</v>
      </c>
      <c r="P46" s="291">
        <v>0</v>
      </c>
      <c r="Q46" s="291">
        <v>0</v>
      </c>
      <c r="R46" s="291">
        <v>0</v>
      </c>
      <c r="S46" s="291"/>
      <c r="T46" s="291"/>
      <c r="U46" s="291"/>
      <c r="V46" s="291"/>
      <c r="W46" s="291"/>
      <c r="X46" s="291"/>
      <c r="Y46" s="291"/>
      <c r="Z46" s="177">
        <f>SUM(N46:Y46)</f>
        <v>750</v>
      </c>
      <c r="AA46" s="184"/>
    </row>
    <row r="47" spans="2:27" ht="15.6">
      <c r="B47" s="153"/>
      <c r="C47" s="314" t="s">
        <v>1023</v>
      </c>
      <c r="D47" s="174" t="s">
        <v>22</v>
      </c>
      <c r="E47" s="181">
        <f>SUM(N47:Y47)</f>
        <v>0</v>
      </c>
      <c r="F47" s="403" t="s">
        <v>623</v>
      </c>
      <c r="G47" s="175" t="s">
        <v>382</v>
      </c>
      <c r="H47" s="309"/>
      <c r="I47" s="309"/>
      <c r="J47" s="309"/>
      <c r="K47" s="182"/>
      <c r="L47" s="182"/>
      <c r="M47" s="181"/>
      <c r="N47" s="181">
        <f>SUMIFS('FCST data'!Q:Q,'FCST data'!$D:$D,$F47,'FCST data'!$K:$K,$G47)</f>
        <v>0</v>
      </c>
      <c r="O47" s="181">
        <f>SUMIFS('FCST data'!R:R,'FCST data'!$D:$D,$F47,'FCST data'!$K:$K,$G47)</f>
        <v>0</v>
      </c>
      <c r="P47" s="181">
        <f>SUMIFS('FCST data'!S:S,'FCST data'!$D:$D,$F47,'FCST data'!$K:$K,$G47)</f>
        <v>0</v>
      </c>
      <c r="Q47" s="181">
        <f>SUMIFS('FCST data'!T:T,'FCST data'!$D:$D,$F47,'FCST data'!$K:$K,$G47)</f>
        <v>0</v>
      </c>
      <c r="R47" s="181">
        <f>SUMIFS('FCST data'!U:U,'FCST data'!$D:$D,$F47,'FCST data'!$K:$K,$G47)</f>
        <v>0</v>
      </c>
      <c r="S47" s="181">
        <f>SUMIFS('FCST data'!V:V,'FCST data'!$D:$D,$F47,'FCST data'!$K:$K,$G47)</f>
        <v>0</v>
      </c>
      <c r="T47" s="181">
        <f>SUMIFS('FCST data'!W:W,'FCST data'!$D:$D,$F47,'FCST data'!$K:$K,$G47)</f>
        <v>0</v>
      </c>
      <c r="U47" s="181">
        <f>SUMIFS('FCST data'!X:X,'FCST data'!$D:$D,$F47,'FCST data'!$K:$K,$G47)</f>
        <v>0</v>
      </c>
      <c r="V47" s="181">
        <f>SUMIFS('FCST data'!Y:Y,'FCST data'!$D:$D,$F47,'FCST data'!$K:$K,$G47)</f>
        <v>0</v>
      </c>
      <c r="W47" s="181">
        <f>SUMIFS('FCST data'!Z:Z,'FCST data'!$D:$D,$F47,'FCST data'!$K:$K,$G47)</f>
        <v>0</v>
      </c>
      <c r="X47" s="181">
        <f>SUMIFS('FCST data'!AA:AA,'FCST data'!$D:$D,$F47,'FCST data'!$K:$K,$G47)</f>
        <v>0</v>
      </c>
      <c r="Y47" s="181">
        <f>SUMIFS('FCST data'!AB:AB,'FCST data'!$D:$D,$F47,'FCST data'!$K:$K,$G47)</f>
        <v>0</v>
      </c>
      <c r="Z47" s="148"/>
      <c r="AA47" s="290">
        <f>E47-Z48-Z49</f>
        <v>0</v>
      </c>
    </row>
    <row r="48" spans="2:27" ht="14.4">
      <c r="B48" s="153"/>
      <c r="C48" s="312"/>
      <c r="D48" s="284"/>
      <c r="E48" s="285"/>
      <c r="F48" s="286" t="s">
        <v>623</v>
      </c>
      <c r="G48" s="286" t="s">
        <v>382</v>
      </c>
      <c r="H48" s="284" t="s">
        <v>712</v>
      </c>
      <c r="I48" s="284" t="s">
        <v>31</v>
      </c>
      <c r="J48" s="284" t="s">
        <v>32</v>
      </c>
      <c r="K48" s="287"/>
      <c r="L48" s="160"/>
      <c r="M48" s="147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177">
        <f>SUM(N48:Y48)</f>
        <v>0</v>
      </c>
      <c r="AA48" s="184"/>
    </row>
    <row r="49" spans="2:27" ht="14.4">
      <c r="B49" s="153"/>
      <c r="C49" s="312"/>
      <c r="D49" s="284"/>
      <c r="E49" s="285"/>
      <c r="F49" s="286" t="s">
        <v>623</v>
      </c>
      <c r="G49" s="286" t="s">
        <v>382</v>
      </c>
      <c r="H49" s="284" t="s">
        <v>713</v>
      </c>
      <c r="I49" s="284" t="s">
        <v>714</v>
      </c>
      <c r="J49" s="284" t="s">
        <v>32</v>
      </c>
      <c r="K49" s="287"/>
      <c r="L49" s="160"/>
      <c r="M49" s="177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177">
        <f>SUM(N49:Y49)</f>
        <v>0</v>
      </c>
      <c r="AA49" s="184"/>
    </row>
    <row r="50" spans="2:27" ht="15.6">
      <c r="B50" s="153"/>
      <c r="C50" s="314" t="s">
        <v>1023</v>
      </c>
      <c r="D50" s="174" t="s">
        <v>22</v>
      </c>
      <c r="E50" s="181">
        <f>SUM(N50:Y50)</f>
        <v>0</v>
      </c>
      <c r="F50" s="403" t="s">
        <v>207</v>
      </c>
      <c r="G50" s="175" t="s">
        <v>382</v>
      </c>
      <c r="H50" s="309"/>
      <c r="I50" s="309"/>
      <c r="J50" s="309"/>
      <c r="K50" s="182"/>
      <c r="L50" s="182"/>
      <c r="M50" s="181"/>
      <c r="N50" s="181">
        <f>SUMIFS('FCST data'!Q:Q,'FCST data'!$D:$D,$F50,'FCST data'!$K:$K,$G50)</f>
        <v>0</v>
      </c>
      <c r="O50" s="181">
        <f>SUMIFS('FCST data'!R:R,'FCST data'!$D:$D,$F50,'FCST data'!$K:$K,$G50)</f>
        <v>0</v>
      </c>
      <c r="P50" s="181">
        <f>SUMIFS('FCST data'!S:S,'FCST data'!$D:$D,$F50,'FCST data'!$K:$K,$G50)</f>
        <v>0</v>
      </c>
      <c r="Q50" s="181">
        <f>SUMIFS('FCST data'!T:T,'FCST data'!$D:$D,$F50,'FCST data'!$K:$K,$G50)</f>
        <v>0</v>
      </c>
      <c r="R50" s="181">
        <f>SUMIFS('FCST data'!U:U,'FCST data'!$D:$D,$F50,'FCST data'!$K:$K,$G50)</f>
        <v>0</v>
      </c>
      <c r="S50" s="181">
        <f>SUMIFS('FCST data'!V:V,'FCST data'!$D:$D,$F50,'FCST data'!$K:$K,$G50)</f>
        <v>0</v>
      </c>
      <c r="T50" s="181">
        <f>SUMIFS('FCST data'!W:W,'FCST data'!$D:$D,$F50,'FCST data'!$K:$K,$G50)</f>
        <v>0</v>
      </c>
      <c r="U50" s="181">
        <f>SUMIFS('FCST data'!X:X,'FCST data'!$D:$D,$F50,'FCST data'!$K:$K,$G50)</f>
        <v>0</v>
      </c>
      <c r="V50" s="181">
        <f>SUMIFS('FCST data'!Y:Y,'FCST data'!$D:$D,$F50,'FCST data'!$K:$K,$G50)</f>
        <v>0</v>
      </c>
      <c r="W50" s="181">
        <f>SUMIFS('FCST data'!Z:Z,'FCST data'!$D:$D,$F50,'FCST data'!$K:$K,$G50)</f>
        <v>0</v>
      </c>
      <c r="X50" s="181">
        <f>SUMIFS('FCST data'!AA:AA,'FCST data'!$D:$D,$F50,'FCST data'!$K:$K,$G50)</f>
        <v>0</v>
      </c>
      <c r="Y50" s="181">
        <f>SUMIFS('FCST data'!AB:AB,'FCST data'!$D:$D,$F50,'FCST data'!$K:$K,$G50)</f>
        <v>0</v>
      </c>
      <c r="Z50" s="148"/>
      <c r="AA50" s="290">
        <f>E50-Z51-Z52</f>
        <v>0</v>
      </c>
    </row>
    <row r="51" spans="2:27" ht="14.4">
      <c r="B51" s="153"/>
      <c r="C51" s="312"/>
      <c r="D51" s="284"/>
      <c r="E51" s="285"/>
      <c r="F51" s="286" t="s">
        <v>207</v>
      </c>
      <c r="G51" s="286" t="s">
        <v>382</v>
      </c>
      <c r="H51" s="284" t="s">
        <v>712</v>
      </c>
      <c r="I51" s="284" t="s">
        <v>31</v>
      </c>
      <c r="J51" s="284" t="s">
        <v>32</v>
      </c>
      <c r="K51" s="287"/>
      <c r="L51" s="160"/>
      <c r="M51" s="179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177">
        <f>SUM(N51:Y51)</f>
        <v>0</v>
      </c>
      <c r="AA51" s="184"/>
    </row>
    <row r="52" spans="2:27" ht="14.4">
      <c r="B52" s="153"/>
      <c r="C52" s="312"/>
      <c r="D52" s="284"/>
      <c r="E52" s="285"/>
      <c r="F52" s="286" t="s">
        <v>207</v>
      </c>
      <c r="G52" s="286" t="s">
        <v>382</v>
      </c>
      <c r="H52" s="284" t="s">
        <v>713</v>
      </c>
      <c r="I52" s="284" t="s">
        <v>714</v>
      </c>
      <c r="J52" s="284" t="s">
        <v>32</v>
      </c>
      <c r="K52" s="287"/>
      <c r="L52" s="160"/>
      <c r="M52" s="177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177">
        <f>SUM(N52:Y52)</f>
        <v>0</v>
      </c>
      <c r="AA52" s="184"/>
    </row>
    <row r="53" spans="2:27" ht="15.6">
      <c r="B53" s="153"/>
      <c r="C53" s="314" t="s">
        <v>1023</v>
      </c>
      <c r="D53" s="174" t="s">
        <v>22</v>
      </c>
      <c r="E53" s="181">
        <f>SUM(N53:Y53)</f>
        <v>0</v>
      </c>
      <c r="F53" s="404" t="s">
        <v>411</v>
      </c>
      <c r="G53" s="183" t="s">
        <v>527</v>
      </c>
      <c r="H53" s="309"/>
      <c r="I53" s="309"/>
      <c r="J53" s="309"/>
      <c r="K53" s="182"/>
      <c r="L53" s="182"/>
      <c r="M53" s="181"/>
      <c r="N53" s="181">
        <f>SUMIFS('FCST data'!Q:Q,'FCST data'!$D:$D,$F53,'FCST data'!$K:$K,$G53)</f>
        <v>0</v>
      </c>
      <c r="O53" s="181">
        <f>SUMIFS('FCST data'!R:R,'FCST data'!$D:$D,$F53,'FCST data'!$K:$K,$G53)</f>
        <v>0</v>
      </c>
      <c r="P53" s="181">
        <f>SUMIFS('FCST data'!S:S,'FCST data'!$D:$D,$F53,'FCST data'!$K:$K,$G53)</f>
        <v>0</v>
      </c>
      <c r="Q53" s="181">
        <f>SUMIFS('FCST data'!T:T,'FCST data'!$D:$D,$F53,'FCST data'!$K:$K,$G53)</f>
        <v>0</v>
      </c>
      <c r="R53" s="181">
        <f>SUMIFS('FCST data'!U:U,'FCST data'!$D:$D,$F53,'FCST data'!$K:$K,$G53)</f>
        <v>0</v>
      </c>
      <c r="S53" s="181">
        <f>SUMIFS('FCST data'!V:V,'FCST data'!$D:$D,$F53,'FCST data'!$K:$K,$G53)</f>
        <v>0</v>
      </c>
      <c r="T53" s="181">
        <f>SUMIFS('FCST data'!W:W,'FCST data'!$D:$D,$F53,'FCST data'!$K:$K,$G53)</f>
        <v>0</v>
      </c>
      <c r="U53" s="181">
        <f>SUMIFS('FCST data'!X:X,'FCST data'!$D:$D,$F53,'FCST data'!$K:$K,$G53)</f>
        <v>0</v>
      </c>
      <c r="V53" s="181">
        <f>SUMIFS('FCST data'!Y:Y,'FCST data'!$D:$D,$F53,'FCST data'!$K:$K,$G53)</f>
        <v>0</v>
      </c>
      <c r="W53" s="181">
        <f>SUMIFS('FCST data'!Z:Z,'FCST data'!$D:$D,$F53,'FCST data'!$K:$K,$G53)</f>
        <v>0</v>
      </c>
      <c r="X53" s="181">
        <f>SUMIFS('FCST data'!AA:AA,'FCST data'!$D:$D,$F53,'FCST data'!$K:$K,$G53)</f>
        <v>0</v>
      </c>
      <c r="Y53" s="181">
        <f>SUMIFS('FCST data'!AB:AB,'FCST data'!$D:$D,$F53,'FCST data'!$K:$K,$G53)</f>
        <v>0</v>
      </c>
      <c r="Z53" s="148"/>
      <c r="AA53" s="290">
        <f>E53-Z54-Z55</f>
        <v>0</v>
      </c>
    </row>
    <row r="54" spans="2:27" ht="14.4">
      <c r="C54" s="313"/>
      <c r="D54" s="284"/>
      <c r="E54" s="285"/>
      <c r="F54" s="286" t="s">
        <v>411</v>
      </c>
      <c r="G54" s="286" t="s">
        <v>527</v>
      </c>
      <c r="H54" s="284" t="s">
        <v>712</v>
      </c>
      <c r="I54" s="284" t="s">
        <v>31</v>
      </c>
      <c r="J54" s="284" t="s">
        <v>32</v>
      </c>
      <c r="K54" s="310" t="s">
        <v>292</v>
      </c>
      <c r="L54" s="160"/>
      <c r="M54" s="177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177">
        <f>SUM(N54:Y54)</f>
        <v>0</v>
      </c>
    </row>
    <row r="55" spans="2:27" ht="14.4">
      <c r="C55" s="313"/>
      <c r="D55" s="284"/>
      <c r="E55" s="285"/>
      <c r="F55" s="286" t="s">
        <v>411</v>
      </c>
      <c r="G55" s="286" t="s">
        <v>527</v>
      </c>
      <c r="H55" s="284" t="s">
        <v>713</v>
      </c>
      <c r="I55" s="284" t="s">
        <v>714</v>
      </c>
      <c r="J55" s="284" t="s">
        <v>32</v>
      </c>
      <c r="K55" s="310" t="s">
        <v>292</v>
      </c>
      <c r="L55" s="160"/>
      <c r="M55" s="179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177">
        <f>SUM(N55:Y55)</f>
        <v>0</v>
      </c>
    </row>
    <row r="56" spans="2:27" ht="15.6">
      <c r="B56" s="153"/>
      <c r="C56" s="314" t="s">
        <v>1023</v>
      </c>
      <c r="D56" s="174" t="s">
        <v>22</v>
      </c>
      <c r="E56" s="181">
        <f>SUM(N56:Y56)</f>
        <v>0</v>
      </c>
      <c r="F56" s="404" t="s">
        <v>411</v>
      </c>
      <c r="G56" s="183" t="s">
        <v>528</v>
      </c>
      <c r="H56" s="309"/>
      <c r="I56" s="309"/>
      <c r="J56" s="309"/>
      <c r="K56" s="182"/>
      <c r="L56" s="182"/>
      <c r="M56" s="181"/>
      <c r="N56" s="181">
        <f>SUMIFS('FCST data'!Q:Q,'FCST data'!$D:$D,$F56,'FCST data'!$K:$K,$G56)</f>
        <v>0</v>
      </c>
      <c r="O56" s="181">
        <f>SUMIFS('FCST data'!R:R,'FCST data'!$D:$D,$F56,'FCST data'!$K:$K,$G56)</f>
        <v>0</v>
      </c>
      <c r="P56" s="181">
        <f>SUMIFS('FCST data'!S:S,'FCST data'!$D:$D,$F56,'FCST data'!$K:$K,$G56)</f>
        <v>0</v>
      </c>
      <c r="Q56" s="181">
        <f>SUMIFS('FCST data'!T:T,'FCST data'!$D:$D,$F56,'FCST data'!$K:$K,$G56)</f>
        <v>0</v>
      </c>
      <c r="R56" s="181">
        <f>SUMIFS('FCST data'!U:U,'FCST data'!$D:$D,$F56,'FCST data'!$K:$K,$G56)</f>
        <v>0</v>
      </c>
      <c r="S56" s="181">
        <f>SUMIFS('FCST data'!V:V,'FCST data'!$D:$D,$F56,'FCST data'!$K:$K,$G56)</f>
        <v>0</v>
      </c>
      <c r="T56" s="181">
        <f>SUMIFS('FCST data'!W:W,'FCST data'!$D:$D,$F56,'FCST data'!$K:$K,$G56)</f>
        <v>0</v>
      </c>
      <c r="U56" s="181">
        <f>SUMIFS('FCST data'!X:X,'FCST data'!$D:$D,$F56,'FCST data'!$K:$K,$G56)</f>
        <v>0</v>
      </c>
      <c r="V56" s="181">
        <f>SUMIFS('FCST data'!Y:Y,'FCST data'!$D:$D,$F56,'FCST data'!$K:$K,$G56)</f>
        <v>0</v>
      </c>
      <c r="W56" s="181">
        <f>SUMIFS('FCST data'!Z:Z,'FCST data'!$D:$D,$F56,'FCST data'!$K:$K,$G56)</f>
        <v>0</v>
      </c>
      <c r="X56" s="181">
        <f>SUMIFS('FCST data'!AA:AA,'FCST data'!$D:$D,$F56,'FCST data'!$K:$K,$G56)</f>
        <v>0</v>
      </c>
      <c r="Y56" s="181">
        <f>SUMIFS('FCST data'!AB:AB,'FCST data'!$D:$D,$F56,'FCST data'!$K:$K,$G56)</f>
        <v>0</v>
      </c>
      <c r="Z56" s="148"/>
      <c r="AA56" s="290">
        <f>E56-Z57-Z58</f>
        <v>0</v>
      </c>
    </row>
    <row r="57" spans="2:27" ht="14.4">
      <c r="C57" s="313"/>
      <c r="D57" s="284"/>
      <c r="E57" s="285"/>
      <c r="F57" s="286" t="s">
        <v>411</v>
      </c>
      <c r="G57" s="286" t="s">
        <v>528</v>
      </c>
      <c r="H57" s="284" t="s">
        <v>712</v>
      </c>
      <c r="I57" s="284" t="s">
        <v>31</v>
      </c>
      <c r="J57" s="284" t="s">
        <v>32</v>
      </c>
      <c r="K57" s="310" t="s">
        <v>292</v>
      </c>
      <c r="L57" s="160"/>
      <c r="M57" s="177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177">
        <f>SUM(N57:Y57)</f>
        <v>0</v>
      </c>
    </row>
    <row r="58" spans="2:27" ht="14.4">
      <c r="C58" s="313"/>
      <c r="D58" s="284"/>
      <c r="E58" s="285"/>
      <c r="F58" s="286" t="s">
        <v>411</v>
      </c>
      <c r="G58" s="286" t="s">
        <v>528</v>
      </c>
      <c r="H58" s="284" t="s">
        <v>713</v>
      </c>
      <c r="I58" s="284" t="s">
        <v>714</v>
      </c>
      <c r="J58" s="284" t="s">
        <v>32</v>
      </c>
      <c r="K58" s="310" t="s">
        <v>292</v>
      </c>
      <c r="L58" s="160"/>
      <c r="M58" s="179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177">
        <f>SUM(N58:Y58)</f>
        <v>0</v>
      </c>
    </row>
    <row r="59" spans="2:27" ht="15.6">
      <c r="B59" s="153"/>
      <c r="C59" s="314" t="s">
        <v>1023</v>
      </c>
      <c r="D59" s="174" t="s">
        <v>22</v>
      </c>
      <c r="E59" s="181">
        <f>SUM(N59:Y59)</f>
        <v>0</v>
      </c>
      <c r="F59" s="404" t="s">
        <v>244</v>
      </c>
      <c r="G59" s="183" t="s">
        <v>527</v>
      </c>
      <c r="H59" s="309"/>
      <c r="I59" s="309"/>
      <c r="J59" s="309"/>
      <c r="K59" s="182"/>
      <c r="L59" s="182"/>
      <c r="M59" s="181"/>
      <c r="N59" s="181">
        <f>SUMIFS('FCST data'!Q:Q,'FCST data'!$D:$D,$F59,'FCST data'!$K:$K,$G59)</f>
        <v>0</v>
      </c>
      <c r="O59" s="181">
        <f>SUMIFS('FCST data'!R:R,'FCST data'!$D:$D,$F59,'FCST data'!$K:$K,$G59)</f>
        <v>0</v>
      </c>
      <c r="P59" s="181">
        <f>SUMIFS('FCST data'!S:S,'FCST data'!$D:$D,$F59,'FCST data'!$K:$K,$G59)</f>
        <v>0</v>
      </c>
      <c r="Q59" s="181">
        <f>SUMIFS('FCST data'!T:T,'FCST data'!$D:$D,$F59,'FCST data'!$K:$K,$G59)</f>
        <v>0</v>
      </c>
      <c r="R59" s="181">
        <f>SUMIFS('FCST data'!U:U,'FCST data'!$D:$D,$F59,'FCST data'!$K:$K,$G59)</f>
        <v>0</v>
      </c>
      <c r="S59" s="181">
        <f>SUMIFS('FCST data'!V:V,'FCST data'!$D:$D,$F59,'FCST data'!$K:$K,$G59)</f>
        <v>0</v>
      </c>
      <c r="T59" s="181">
        <f>SUMIFS('FCST data'!W:W,'FCST data'!$D:$D,$F59,'FCST data'!$K:$K,$G59)</f>
        <v>0</v>
      </c>
      <c r="U59" s="181">
        <f>SUMIFS('FCST data'!X:X,'FCST data'!$D:$D,$F59,'FCST data'!$K:$K,$G59)</f>
        <v>0</v>
      </c>
      <c r="V59" s="181">
        <f>SUMIFS('FCST data'!Y:Y,'FCST data'!$D:$D,$F59,'FCST data'!$K:$K,$G59)</f>
        <v>0</v>
      </c>
      <c r="W59" s="181">
        <f>SUMIFS('FCST data'!Z:Z,'FCST data'!$D:$D,$F59,'FCST data'!$K:$K,$G59)</f>
        <v>0</v>
      </c>
      <c r="X59" s="181">
        <f>SUMIFS('FCST data'!AA:AA,'FCST data'!$D:$D,$F59,'FCST data'!$K:$K,$G59)</f>
        <v>0</v>
      </c>
      <c r="Y59" s="181">
        <f>SUMIFS('FCST data'!AB:AB,'FCST data'!$D:$D,$F59,'FCST data'!$K:$K,$G59)</f>
        <v>0</v>
      </c>
      <c r="Z59" s="148"/>
      <c r="AA59" s="290">
        <f>E59-Z60-Z61</f>
        <v>0</v>
      </c>
    </row>
    <row r="60" spans="2:27" ht="14.4">
      <c r="C60" s="313"/>
      <c r="D60" s="284"/>
      <c r="E60" s="285"/>
      <c r="F60" s="286" t="s">
        <v>244</v>
      </c>
      <c r="G60" s="286" t="s">
        <v>527</v>
      </c>
      <c r="H60" s="284" t="s">
        <v>712</v>
      </c>
      <c r="I60" s="284" t="s">
        <v>31</v>
      </c>
      <c r="J60" s="284" t="s">
        <v>32</v>
      </c>
      <c r="K60" s="310" t="s">
        <v>292</v>
      </c>
      <c r="L60" s="160"/>
      <c r="M60" s="177"/>
      <c r="N60" s="291"/>
      <c r="O60" s="291"/>
      <c r="P60" s="291"/>
      <c r="Q60" s="291"/>
      <c r="R60" s="291"/>
      <c r="S60" s="291"/>
      <c r="T60" s="291"/>
      <c r="U60" s="291"/>
      <c r="V60" s="291"/>
      <c r="W60" s="291"/>
      <c r="X60" s="291"/>
      <c r="Y60" s="291"/>
      <c r="Z60" s="177">
        <f>SUM(N60:Y60)</f>
        <v>0</v>
      </c>
    </row>
    <row r="61" spans="2:27" ht="14.4">
      <c r="C61" s="313"/>
      <c r="D61" s="284"/>
      <c r="E61" s="285"/>
      <c r="F61" s="286" t="s">
        <v>244</v>
      </c>
      <c r="G61" s="286" t="s">
        <v>527</v>
      </c>
      <c r="H61" s="284" t="s">
        <v>713</v>
      </c>
      <c r="I61" s="284" t="s">
        <v>714</v>
      </c>
      <c r="J61" s="284" t="s">
        <v>32</v>
      </c>
      <c r="K61" s="310" t="s">
        <v>292</v>
      </c>
      <c r="L61" s="160"/>
      <c r="M61" s="179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177">
        <f>SUM(N61:Y61)</f>
        <v>0</v>
      </c>
    </row>
    <row r="62" spans="2:27" ht="15.6">
      <c r="B62" s="153"/>
      <c r="C62" s="314" t="s">
        <v>1023</v>
      </c>
      <c r="D62" s="174" t="s">
        <v>22</v>
      </c>
      <c r="E62" s="181">
        <f>SUM(N62:Y62)</f>
        <v>0</v>
      </c>
      <c r="F62" s="404" t="s">
        <v>446</v>
      </c>
      <c r="G62" s="183" t="s">
        <v>441</v>
      </c>
      <c r="H62" s="309"/>
      <c r="I62" s="309"/>
      <c r="J62" s="309"/>
      <c r="K62" s="182"/>
      <c r="L62" s="182"/>
      <c r="M62" s="181"/>
      <c r="N62" s="181">
        <f>SUMIFS('FCST data'!Q:Q,'FCST data'!$D:$D,$F62,'FCST data'!$K:$K,$G62)</f>
        <v>0</v>
      </c>
      <c r="O62" s="181">
        <f>SUMIFS('FCST data'!R:R,'FCST data'!$D:$D,$F62,'FCST data'!$K:$K,$G62)</f>
        <v>0</v>
      </c>
      <c r="P62" s="181">
        <f>SUMIFS('FCST data'!S:S,'FCST data'!$D:$D,$F62,'FCST data'!$K:$K,$G62)</f>
        <v>0</v>
      </c>
      <c r="Q62" s="181">
        <f>SUMIFS('FCST data'!T:T,'FCST data'!$D:$D,$F62,'FCST data'!$K:$K,$G62)</f>
        <v>0</v>
      </c>
      <c r="R62" s="181">
        <f>SUMIFS('FCST data'!U:U,'FCST data'!$D:$D,$F62,'FCST data'!$K:$K,$G62)</f>
        <v>0</v>
      </c>
      <c r="S62" s="181">
        <f>SUMIFS('FCST data'!V:V,'FCST data'!$D:$D,$F62,'FCST data'!$K:$K,$G62)</f>
        <v>0</v>
      </c>
      <c r="T62" s="181">
        <f>SUMIFS('FCST data'!W:W,'FCST data'!$D:$D,$F62,'FCST data'!$K:$K,$G62)</f>
        <v>0</v>
      </c>
      <c r="U62" s="181">
        <f>SUMIFS('FCST data'!X:X,'FCST data'!$D:$D,$F62,'FCST data'!$K:$K,$G62)</f>
        <v>0</v>
      </c>
      <c r="V62" s="181">
        <f>SUMIFS('FCST data'!Y:Y,'FCST data'!$D:$D,$F62,'FCST data'!$K:$K,$G62)</f>
        <v>0</v>
      </c>
      <c r="W62" s="181">
        <f>SUMIFS('FCST data'!Z:Z,'FCST data'!$D:$D,$F62,'FCST data'!$K:$K,$G62)</f>
        <v>0</v>
      </c>
      <c r="X62" s="181">
        <f>SUMIFS('FCST data'!AA:AA,'FCST data'!$D:$D,$F62,'FCST data'!$K:$K,$G62)</f>
        <v>0</v>
      </c>
      <c r="Y62" s="181">
        <f>SUMIFS('FCST data'!AB:AB,'FCST data'!$D:$D,$F62,'FCST data'!$K:$K,$G62)</f>
        <v>0</v>
      </c>
      <c r="Z62" s="148"/>
      <c r="AA62" s="290">
        <f>E62-Z63-Z64</f>
        <v>0</v>
      </c>
    </row>
    <row r="63" spans="2:27" ht="14.4">
      <c r="C63" s="313"/>
      <c r="D63" s="284"/>
      <c r="E63" s="285"/>
      <c r="F63" s="286" t="s">
        <v>446</v>
      </c>
      <c r="G63" s="286" t="s">
        <v>441</v>
      </c>
      <c r="H63" s="284" t="s">
        <v>712</v>
      </c>
      <c r="I63" s="284" t="s">
        <v>31</v>
      </c>
      <c r="J63" s="284" t="s">
        <v>32</v>
      </c>
      <c r="K63" s="310" t="s">
        <v>292</v>
      </c>
      <c r="L63" s="160"/>
      <c r="M63" s="177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177">
        <f>SUM(N63:Y63)</f>
        <v>0</v>
      </c>
    </row>
    <row r="64" spans="2:27" ht="14.4">
      <c r="C64" s="313"/>
      <c r="D64" s="284"/>
      <c r="E64" s="285"/>
      <c r="F64" s="286" t="s">
        <v>446</v>
      </c>
      <c r="G64" s="286" t="s">
        <v>441</v>
      </c>
      <c r="H64" s="284" t="s">
        <v>713</v>
      </c>
      <c r="I64" s="284" t="s">
        <v>714</v>
      </c>
      <c r="J64" s="284" t="s">
        <v>32</v>
      </c>
      <c r="K64" s="310" t="s">
        <v>292</v>
      </c>
      <c r="L64" s="160"/>
      <c r="M64" s="179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177">
        <f>SUM(N64:Y64)</f>
        <v>0</v>
      </c>
    </row>
    <row r="65" spans="2:27" ht="15.6">
      <c r="B65" s="153"/>
      <c r="C65" s="314"/>
      <c r="D65" s="174" t="s">
        <v>22</v>
      </c>
      <c r="E65" s="181">
        <f>SUM(N65:Y65)</f>
        <v>23900</v>
      </c>
      <c r="F65" s="175" t="s">
        <v>627</v>
      </c>
      <c r="G65" s="175" t="s">
        <v>619</v>
      </c>
      <c r="H65" s="309"/>
      <c r="I65" s="309"/>
      <c r="J65" s="309"/>
      <c r="K65" s="176"/>
      <c r="L65" s="176"/>
      <c r="M65" s="148"/>
      <c r="N65" s="181">
        <f>SUMIFS('FCST data'!Q:Q,'FCST data'!$D:$D,$F65,'FCST data'!$K:$K,$G65)</f>
        <v>0</v>
      </c>
      <c r="O65" s="181">
        <f>SUMIFS('FCST data'!R:R,'FCST data'!$D:$D,$F65,'FCST data'!$K:$K,$G65)</f>
        <v>0</v>
      </c>
      <c r="P65" s="181">
        <f>SUMIFS('FCST data'!S:S,'FCST data'!$D:$D,$F65,'FCST data'!$K:$K,$G65)</f>
        <v>0</v>
      </c>
      <c r="Q65" s="181">
        <f>SUMIFS('FCST data'!T:T,'FCST data'!$D:$D,$F65,'FCST data'!$K:$K,$G65)</f>
        <v>0</v>
      </c>
      <c r="R65" s="181">
        <f>SUMIFS('FCST data'!U:U,'FCST data'!$D:$D,$F65,'FCST data'!$K:$K,$G65)</f>
        <v>700</v>
      </c>
      <c r="S65" s="181">
        <f>SUMIFS('FCST data'!V:V,'FCST data'!$D:$D,$F65,'FCST data'!$K:$K,$G65)</f>
        <v>4300</v>
      </c>
      <c r="T65" s="181">
        <f>SUMIFS('FCST data'!W:W,'FCST data'!$D:$D,$F65,'FCST data'!$K:$K,$G65)</f>
        <v>6300</v>
      </c>
      <c r="U65" s="181">
        <f>SUMIFS('FCST data'!X:X,'FCST data'!$D:$D,$F65,'FCST data'!$K:$K,$G65)</f>
        <v>6300</v>
      </c>
      <c r="V65" s="181">
        <f>SUMIFS('FCST data'!Y:Y,'FCST data'!$D:$D,$F65,'FCST data'!$K:$K,$G65)</f>
        <v>6300</v>
      </c>
      <c r="W65" s="181">
        <f>SUMIFS('FCST data'!Z:Z,'FCST data'!$D:$D,$F65,'FCST data'!$K:$K,$G65)</f>
        <v>0</v>
      </c>
      <c r="X65" s="181">
        <f>SUMIFS('FCST data'!AA:AA,'FCST data'!$D:$D,$F65,'FCST data'!$K:$K,$G65)</f>
        <v>0</v>
      </c>
      <c r="Y65" s="181">
        <f>SUMIFS('FCST data'!AB:AB,'FCST data'!$D:$D,$F65,'FCST data'!$K:$K,$G65)</f>
        <v>0</v>
      </c>
      <c r="Z65" s="148"/>
      <c r="AA65" s="290">
        <f>E65-Z66-Z67</f>
        <v>0</v>
      </c>
    </row>
    <row r="66" spans="2:27" ht="14.4">
      <c r="B66" s="153"/>
      <c r="C66" s="313"/>
      <c r="D66" s="284"/>
      <c r="E66" s="285"/>
      <c r="F66" s="286" t="s">
        <v>445</v>
      </c>
      <c r="G66" s="286" t="s">
        <v>619</v>
      </c>
      <c r="H66" s="284" t="s">
        <v>712</v>
      </c>
      <c r="I66" s="284" t="s">
        <v>31</v>
      </c>
      <c r="J66" s="284" t="s">
        <v>32</v>
      </c>
      <c r="K66" s="287"/>
      <c r="L66" s="160"/>
      <c r="M66" s="177"/>
      <c r="N66" s="291"/>
      <c r="O66" s="291"/>
      <c r="P66" s="291"/>
      <c r="Q66" s="291"/>
      <c r="R66" s="291"/>
      <c r="S66" s="291"/>
      <c r="T66" s="291"/>
      <c r="U66" s="291"/>
      <c r="V66" s="291"/>
      <c r="W66" s="291"/>
      <c r="X66" s="291"/>
      <c r="Y66" s="291"/>
      <c r="Z66" s="177">
        <f>SUM(N66:Y66)</f>
        <v>0</v>
      </c>
    </row>
    <row r="67" spans="2:27" ht="14.4">
      <c r="B67" s="153"/>
      <c r="C67" s="313"/>
      <c r="D67" s="284"/>
      <c r="E67" s="285"/>
      <c r="F67" s="286" t="s">
        <v>445</v>
      </c>
      <c r="G67" s="286" t="s">
        <v>619</v>
      </c>
      <c r="H67" s="284" t="s">
        <v>713</v>
      </c>
      <c r="I67" s="284" t="s">
        <v>714</v>
      </c>
      <c r="J67" s="284" t="s">
        <v>32</v>
      </c>
      <c r="K67" s="287"/>
      <c r="L67" s="160"/>
      <c r="M67" s="179"/>
      <c r="N67" s="291"/>
      <c r="O67" s="291"/>
      <c r="P67" s="291"/>
      <c r="Q67" s="291"/>
      <c r="R67" s="291">
        <v>700</v>
      </c>
      <c r="S67" s="291">
        <v>4300</v>
      </c>
      <c r="T67" s="291">
        <v>6300</v>
      </c>
      <c r="U67" s="291">
        <v>6300</v>
      </c>
      <c r="V67" s="291">
        <v>6300</v>
      </c>
      <c r="W67" s="291"/>
      <c r="X67" s="291"/>
      <c r="Y67" s="291"/>
      <c r="Z67" s="177">
        <f>SUM(N67:Y67)</f>
        <v>23900</v>
      </c>
    </row>
    <row r="68" spans="2:27" ht="15.6">
      <c r="B68" s="153"/>
      <c r="C68" s="314"/>
      <c r="D68" s="174" t="s">
        <v>22</v>
      </c>
      <c r="E68" s="181">
        <f>SUM(N68:Y68)</f>
        <v>1970</v>
      </c>
      <c r="F68" s="175" t="s">
        <v>445</v>
      </c>
      <c r="G68" s="175" t="s">
        <v>620</v>
      </c>
      <c r="H68" s="309"/>
      <c r="I68" s="309"/>
      <c r="J68" s="309"/>
      <c r="K68" s="176"/>
      <c r="L68" s="176"/>
      <c r="M68" s="148"/>
      <c r="N68" s="181">
        <f>SUMIFS('FCST data'!Q:Q,'FCST data'!$D:$D,$F68,'FCST data'!$K:$K,$G68)</f>
        <v>0</v>
      </c>
      <c r="O68" s="181">
        <f>SUMIFS('FCST data'!R:R,'FCST data'!$D:$D,$F68,'FCST data'!$K:$K,$G68)</f>
        <v>0</v>
      </c>
      <c r="P68" s="181">
        <f>SUMIFS('FCST data'!S:S,'FCST data'!$D:$D,$F68,'FCST data'!$K:$K,$G68)</f>
        <v>0</v>
      </c>
      <c r="Q68" s="181">
        <f>SUMIFS('FCST data'!T:T,'FCST data'!$D:$D,$F68,'FCST data'!$K:$K,$G68)</f>
        <v>0</v>
      </c>
      <c r="R68" s="181">
        <f>SUMIFS('FCST data'!U:U,'FCST data'!$D:$D,$F68,'FCST data'!$K:$K,$G68)</f>
        <v>180</v>
      </c>
      <c r="S68" s="181">
        <f>SUMIFS('FCST data'!V:V,'FCST data'!$D:$D,$F68,'FCST data'!$K:$K,$G68)</f>
        <v>200</v>
      </c>
      <c r="T68" s="181">
        <f>SUMIFS('FCST data'!W:W,'FCST data'!$D:$D,$F68,'FCST data'!$K:$K,$G68)</f>
        <v>530</v>
      </c>
      <c r="U68" s="181">
        <f>SUMIFS('FCST data'!X:X,'FCST data'!$D:$D,$F68,'FCST data'!$K:$K,$G68)</f>
        <v>530</v>
      </c>
      <c r="V68" s="181">
        <f>SUMIFS('FCST data'!Y:Y,'FCST data'!$D:$D,$F68,'FCST data'!$K:$K,$G68)</f>
        <v>530</v>
      </c>
      <c r="W68" s="181">
        <f>SUMIFS('FCST data'!Z:Z,'FCST data'!$D:$D,$F68,'FCST data'!$K:$K,$G68)</f>
        <v>0</v>
      </c>
      <c r="X68" s="181">
        <f>SUMIFS('FCST data'!AA:AA,'FCST data'!$D:$D,$F68,'FCST data'!$K:$K,$G68)</f>
        <v>0</v>
      </c>
      <c r="Y68" s="181">
        <f>SUMIFS('FCST data'!AB:AB,'FCST data'!$D:$D,$F68,'FCST data'!$K:$K,$G68)</f>
        <v>0</v>
      </c>
      <c r="Z68" s="148"/>
      <c r="AA68" s="290">
        <f>E68-Z69-Z70</f>
        <v>0</v>
      </c>
    </row>
    <row r="69" spans="2:27" ht="14.4">
      <c r="B69" s="153"/>
      <c r="C69" s="313"/>
      <c r="D69" s="284"/>
      <c r="E69" s="285"/>
      <c r="F69" s="286" t="s">
        <v>445</v>
      </c>
      <c r="G69" s="286" t="s">
        <v>620</v>
      </c>
      <c r="H69" s="284" t="s">
        <v>712</v>
      </c>
      <c r="I69" s="284" t="s">
        <v>31</v>
      </c>
      <c r="J69" s="284" t="s">
        <v>32</v>
      </c>
      <c r="K69" s="287"/>
      <c r="L69" s="160"/>
      <c r="M69" s="177"/>
      <c r="N69" s="291"/>
      <c r="O69" s="291"/>
      <c r="P69" s="291"/>
      <c r="Q69" s="291"/>
      <c r="R69" s="291"/>
      <c r="S69" s="291"/>
      <c r="T69" s="291"/>
      <c r="U69" s="291"/>
      <c r="V69" s="291"/>
      <c r="W69" s="291"/>
      <c r="X69" s="291"/>
      <c r="Y69" s="291"/>
      <c r="Z69" s="177">
        <f>SUM(N69:Y69)</f>
        <v>0</v>
      </c>
    </row>
    <row r="70" spans="2:27" ht="14.4">
      <c r="B70" s="153"/>
      <c r="C70" s="313"/>
      <c r="D70" s="284"/>
      <c r="E70" s="285"/>
      <c r="F70" s="286" t="s">
        <v>445</v>
      </c>
      <c r="G70" s="286" t="s">
        <v>620</v>
      </c>
      <c r="H70" s="284" t="s">
        <v>713</v>
      </c>
      <c r="I70" s="284" t="s">
        <v>714</v>
      </c>
      <c r="J70" s="284" t="s">
        <v>32</v>
      </c>
      <c r="K70" s="287"/>
      <c r="L70" s="160"/>
      <c r="M70" s="179"/>
      <c r="N70" s="291"/>
      <c r="O70" s="291"/>
      <c r="P70" s="291"/>
      <c r="Q70" s="291"/>
      <c r="R70" s="291">
        <v>180</v>
      </c>
      <c r="S70" s="291">
        <v>200</v>
      </c>
      <c r="T70" s="291">
        <v>530</v>
      </c>
      <c r="U70" s="291">
        <v>530</v>
      </c>
      <c r="V70" s="291">
        <v>530</v>
      </c>
      <c r="W70" s="291"/>
      <c r="X70" s="291"/>
      <c r="Y70" s="291"/>
      <c r="Z70" s="177">
        <f>SUM(N70:Y70)</f>
        <v>1970</v>
      </c>
    </row>
    <row r="71" spans="2:27" ht="15.6">
      <c r="B71" s="153"/>
      <c r="C71" s="314" t="s">
        <v>293</v>
      </c>
      <c r="D71" s="174" t="s">
        <v>22</v>
      </c>
      <c r="E71" s="181">
        <f>SUM(N71:Y71)</f>
        <v>100</v>
      </c>
      <c r="F71" s="175" t="s">
        <v>444</v>
      </c>
      <c r="G71" s="175" t="s">
        <v>621</v>
      </c>
      <c r="H71" s="309"/>
      <c r="I71" s="309"/>
      <c r="J71" s="309"/>
      <c r="K71" s="176"/>
      <c r="L71" s="176"/>
      <c r="M71" s="148"/>
      <c r="N71" s="181">
        <f>SUMIFS('FCST data'!Q:Q,'FCST data'!$D:$D,$F71,'FCST data'!$K:$K,$G71)</f>
        <v>0</v>
      </c>
      <c r="O71" s="181">
        <f>SUMIFS('FCST data'!R:R,'FCST data'!$D:$D,$F71,'FCST data'!$K:$K,$G71)</f>
        <v>100</v>
      </c>
      <c r="P71" s="181">
        <f>SUMIFS('FCST data'!S:S,'FCST data'!$D:$D,$F71,'FCST data'!$K:$K,$G71)</f>
        <v>0</v>
      </c>
      <c r="Q71" s="181">
        <f>SUMIFS('FCST data'!T:T,'FCST data'!$D:$D,$F71,'FCST data'!$K:$K,$G71)</f>
        <v>0</v>
      </c>
      <c r="R71" s="181">
        <f>SUMIFS('FCST data'!U:U,'FCST data'!$D:$D,$F71,'FCST data'!$K:$K,$G71)</f>
        <v>0</v>
      </c>
      <c r="S71" s="181">
        <f>SUMIFS('FCST data'!V:V,'FCST data'!$D:$D,$F71,'FCST data'!$K:$K,$G71)</f>
        <v>0</v>
      </c>
      <c r="T71" s="181">
        <f>SUMIFS('FCST data'!W:W,'FCST data'!$D:$D,$F71,'FCST data'!$K:$K,$G71)</f>
        <v>0</v>
      </c>
      <c r="U71" s="181">
        <f>SUMIFS('FCST data'!X:X,'FCST data'!$D:$D,$F71,'FCST data'!$K:$K,$G71)</f>
        <v>0</v>
      </c>
      <c r="V71" s="181">
        <f>SUMIFS('FCST data'!Y:Y,'FCST data'!$D:$D,$F71,'FCST data'!$K:$K,$G71)</f>
        <v>0</v>
      </c>
      <c r="W71" s="181">
        <f>SUMIFS('FCST data'!Z:Z,'FCST data'!$D:$D,$F71,'FCST data'!$K:$K,$G71)</f>
        <v>0</v>
      </c>
      <c r="X71" s="181">
        <f>SUMIFS('FCST data'!AA:AA,'FCST data'!$D:$D,$F71,'FCST data'!$K:$K,$G71)</f>
        <v>0</v>
      </c>
      <c r="Y71" s="181">
        <f>SUMIFS('FCST data'!AB:AB,'FCST data'!$D:$D,$F71,'FCST data'!$K:$K,$G71)</f>
        <v>0</v>
      </c>
      <c r="Z71" s="148"/>
      <c r="AA71" s="290">
        <f>E71-Z72-Z73</f>
        <v>0</v>
      </c>
    </row>
    <row r="72" spans="2:27" ht="14.4">
      <c r="B72" s="153"/>
      <c r="C72" s="313"/>
      <c r="D72" s="284"/>
      <c r="E72" s="285"/>
      <c r="F72" s="286" t="s">
        <v>444</v>
      </c>
      <c r="G72" s="286" t="s">
        <v>621</v>
      </c>
      <c r="H72" s="284" t="s">
        <v>712</v>
      </c>
      <c r="I72" s="284" t="s">
        <v>31</v>
      </c>
      <c r="J72" s="284" t="s">
        <v>32</v>
      </c>
      <c r="K72" s="287"/>
      <c r="L72" s="160"/>
      <c r="M72" s="177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177">
        <f>SUM(N72:Y72)</f>
        <v>0</v>
      </c>
    </row>
    <row r="73" spans="2:27" ht="14.4">
      <c r="B73" s="153"/>
      <c r="C73" s="313"/>
      <c r="D73" s="284"/>
      <c r="E73" s="285"/>
      <c r="F73" s="286" t="s">
        <v>444</v>
      </c>
      <c r="G73" s="286" t="s">
        <v>621</v>
      </c>
      <c r="H73" s="284" t="s">
        <v>713</v>
      </c>
      <c r="I73" s="284" t="s">
        <v>714</v>
      </c>
      <c r="J73" s="284" t="s">
        <v>32</v>
      </c>
      <c r="K73" s="287"/>
      <c r="L73" s="160"/>
      <c r="M73" s="179"/>
      <c r="N73" s="291">
        <v>0</v>
      </c>
      <c r="O73" s="291">
        <v>100</v>
      </c>
      <c r="P73" s="291">
        <v>0</v>
      </c>
      <c r="Q73" s="291">
        <v>0</v>
      </c>
      <c r="R73" s="291">
        <v>0</v>
      </c>
      <c r="S73" s="291"/>
      <c r="T73" s="291"/>
      <c r="U73" s="291"/>
      <c r="V73" s="291"/>
      <c r="W73" s="291"/>
      <c r="X73" s="291"/>
      <c r="Y73" s="291"/>
      <c r="Z73" s="177">
        <f>SUM(N73:Y73)</f>
        <v>100</v>
      </c>
    </row>
    <row r="74" spans="2:27" ht="15.6">
      <c r="B74" s="153"/>
      <c r="C74" s="314"/>
      <c r="D74" s="174" t="s">
        <v>22</v>
      </c>
      <c r="E74" s="181">
        <f>SUM(N74:Y74)</f>
        <v>600</v>
      </c>
      <c r="F74" s="175" t="s">
        <v>444</v>
      </c>
      <c r="G74" s="175" t="s">
        <v>622</v>
      </c>
      <c r="H74" s="309"/>
      <c r="I74" s="309"/>
      <c r="J74" s="309"/>
      <c r="K74" s="176"/>
      <c r="L74" s="176"/>
      <c r="M74" s="148"/>
      <c r="N74" s="181">
        <f>SUMIFS('FCST data'!Q:Q,'FCST data'!$D:$D,$F74,'FCST data'!$K:$K,$G74)</f>
        <v>200</v>
      </c>
      <c r="O74" s="181">
        <f>SUMIFS('FCST data'!R:R,'FCST data'!$D:$D,$F74,'FCST data'!$K:$K,$G74)</f>
        <v>200</v>
      </c>
      <c r="P74" s="181">
        <f>SUMIFS('FCST data'!S:S,'FCST data'!$D:$D,$F74,'FCST data'!$K:$K,$G74)</f>
        <v>200</v>
      </c>
      <c r="Q74" s="181">
        <f>SUMIFS('FCST data'!T:T,'FCST data'!$D:$D,$F74,'FCST data'!$K:$K,$G74)</f>
        <v>0</v>
      </c>
      <c r="R74" s="181">
        <f>SUMIFS('FCST data'!U:U,'FCST data'!$D:$D,$F74,'FCST data'!$K:$K,$G74)</f>
        <v>0</v>
      </c>
      <c r="S74" s="181">
        <f>SUMIFS('FCST data'!V:V,'FCST data'!$D:$D,$F74,'FCST data'!$K:$K,$G74)</f>
        <v>0</v>
      </c>
      <c r="T74" s="181">
        <f>SUMIFS('FCST data'!W:W,'FCST data'!$D:$D,$F74,'FCST data'!$K:$K,$G74)</f>
        <v>0</v>
      </c>
      <c r="U74" s="181">
        <f>SUMIFS('FCST data'!X:X,'FCST data'!$D:$D,$F74,'FCST data'!$K:$K,$G74)</f>
        <v>0</v>
      </c>
      <c r="V74" s="181">
        <f>SUMIFS('FCST data'!Y:Y,'FCST data'!$D:$D,$F74,'FCST data'!$K:$K,$G74)</f>
        <v>0</v>
      </c>
      <c r="W74" s="181">
        <f>SUMIFS('FCST data'!Z:Z,'FCST data'!$D:$D,$F74,'FCST data'!$K:$K,$G74)</f>
        <v>0</v>
      </c>
      <c r="X74" s="181">
        <f>SUMIFS('FCST data'!AA:AA,'FCST data'!$D:$D,$F74,'FCST data'!$K:$K,$G74)</f>
        <v>0</v>
      </c>
      <c r="Y74" s="181">
        <f>SUMIFS('FCST data'!AB:AB,'FCST data'!$D:$D,$F74,'FCST data'!$K:$K,$G74)</f>
        <v>0</v>
      </c>
      <c r="Z74" s="148"/>
      <c r="AA74" s="290">
        <f>E74-Z75-Z76</f>
        <v>0</v>
      </c>
    </row>
    <row r="75" spans="2:27" ht="14.4">
      <c r="B75" s="153"/>
      <c r="C75" s="313"/>
      <c r="D75" s="284"/>
      <c r="E75" s="285"/>
      <c r="F75" s="286" t="s">
        <v>444</v>
      </c>
      <c r="G75" s="286" t="s">
        <v>622</v>
      </c>
      <c r="H75" s="284" t="s">
        <v>712</v>
      </c>
      <c r="I75" s="284" t="s">
        <v>31</v>
      </c>
      <c r="J75" s="284" t="s">
        <v>32</v>
      </c>
      <c r="K75" s="287"/>
      <c r="L75" s="160"/>
      <c r="M75" s="177"/>
      <c r="N75" s="291"/>
      <c r="O75" s="291"/>
      <c r="P75" s="291"/>
      <c r="Q75" s="291"/>
      <c r="R75" s="291"/>
      <c r="S75" s="291"/>
      <c r="T75" s="291"/>
      <c r="U75" s="291"/>
      <c r="V75" s="291"/>
      <c r="W75" s="291"/>
      <c r="X75" s="291"/>
      <c r="Y75" s="291"/>
      <c r="Z75" s="177">
        <f>SUM(N75:Y75)</f>
        <v>0</v>
      </c>
    </row>
    <row r="76" spans="2:27" ht="14.4">
      <c r="B76" s="153"/>
      <c r="C76" s="313"/>
      <c r="D76" s="284"/>
      <c r="E76" s="285"/>
      <c r="F76" s="286" t="s">
        <v>444</v>
      </c>
      <c r="G76" s="286" t="s">
        <v>622</v>
      </c>
      <c r="H76" s="284" t="s">
        <v>713</v>
      </c>
      <c r="I76" s="284" t="s">
        <v>714</v>
      </c>
      <c r="J76" s="284" t="s">
        <v>32</v>
      </c>
      <c r="K76" s="287"/>
      <c r="L76" s="160"/>
      <c r="M76" s="179"/>
      <c r="N76" s="291">
        <v>200</v>
      </c>
      <c r="O76" s="291">
        <v>200</v>
      </c>
      <c r="P76" s="291">
        <v>200</v>
      </c>
      <c r="Q76" s="291"/>
      <c r="R76" s="291"/>
      <c r="S76" s="291"/>
      <c r="T76" s="291"/>
      <c r="U76" s="291"/>
      <c r="V76" s="291"/>
      <c r="W76" s="291"/>
      <c r="X76" s="291"/>
      <c r="Y76" s="291"/>
      <c r="Z76" s="177">
        <f>SUM(N76:Y76)</f>
        <v>600</v>
      </c>
    </row>
    <row r="77" spans="2:27" ht="15.6">
      <c r="B77" s="153"/>
      <c r="C77" s="314" t="s">
        <v>1023</v>
      </c>
      <c r="D77" s="174" t="s">
        <v>22</v>
      </c>
      <c r="E77" s="181">
        <f>SUM(N77:Y77)</f>
        <v>0</v>
      </c>
      <c r="F77" s="403" t="s">
        <v>624</v>
      </c>
      <c r="G77" s="175" t="s">
        <v>390</v>
      </c>
      <c r="H77" s="309"/>
      <c r="I77" s="309"/>
      <c r="J77" s="309"/>
      <c r="K77" s="176"/>
      <c r="L77" s="176"/>
      <c r="M77" s="148"/>
      <c r="N77" s="181">
        <f>SUMIFS('FCST data'!Q:Q,'FCST data'!$D:$D,$F77,'FCST data'!$K:$K,$G77)</f>
        <v>0</v>
      </c>
      <c r="O77" s="181">
        <f>SUMIFS('FCST data'!R:R,'FCST data'!$D:$D,$F77,'FCST data'!$K:$K,$G77)</f>
        <v>0</v>
      </c>
      <c r="P77" s="181">
        <f>SUMIFS('FCST data'!S:S,'FCST data'!$D:$D,$F77,'FCST data'!$K:$K,$G77)</f>
        <v>0</v>
      </c>
      <c r="Q77" s="181">
        <f>SUMIFS('FCST data'!T:T,'FCST data'!$D:$D,$F77,'FCST data'!$K:$K,$G77)</f>
        <v>0</v>
      </c>
      <c r="R77" s="181">
        <f>SUMIFS('FCST data'!U:U,'FCST data'!$D:$D,$F77,'FCST data'!$K:$K,$G77)</f>
        <v>0</v>
      </c>
      <c r="S77" s="181">
        <f>SUMIFS('FCST data'!V:V,'FCST data'!$D:$D,$F77,'FCST data'!$K:$K,$G77)</f>
        <v>0</v>
      </c>
      <c r="T77" s="181">
        <f>SUMIFS('FCST data'!W:W,'FCST data'!$D:$D,$F77,'FCST data'!$K:$K,$G77)</f>
        <v>0</v>
      </c>
      <c r="U77" s="181">
        <f>SUMIFS('FCST data'!X:X,'FCST data'!$D:$D,$F77,'FCST data'!$K:$K,$G77)</f>
        <v>0</v>
      </c>
      <c r="V77" s="181">
        <f>SUMIFS('FCST data'!Y:Y,'FCST data'!$D:$D,$F77,'FCST data'!$K:$K,$G77)</f>
        <v>0</v>
      </c>
      <c r="W77" s="181">
        <f>SUMIFS('FCST data'!Z:Z,'FCST data'!$D:$D,$F77,'FCST data'!$K:$K,$G77)</f>
        <v>0</v>
      </c>
      <c r="X77" s="181">
        <f>SUMIFS('FCST data'!AA:AA,'FCST data'!$D:$D,$F77,'FCST data'!$K:$K,$G77)</f>
        <v>0</v>
      </c>
      <c r="Y77" s="181">
        <f>SUMIFS('FCST data'!AB:AB,'FCST data'!$D:$D,$F77,'FCST data'!$K:$K,$G77)</f>
        <v>0</v>
      </c>
      <c r="Z77" s="148"/>
      <c r="AA77" s="290">
        <f>E77-Z78-Z79</f>
        <v>0</v>
      </c>
    </row>
    <row r="78" spans="2:27" ht="14.4">
      <c r="B78" s="153"/>
      <c r="C78" s="313"/>
      <c r="D78" s="284"/>
      <c r="E78" s="285"/>
      <c r="F78" s="286" t="s">
        <v>624</v>
      </c>
      <c r="G78" s="286" t="s">
        <v>390</v>
      </c>
      <c r="H78" s="284" t="s">
        <v>712</v>
      </c>
      <c r="I78" s="284" t="s">
        <v>31</v>
      </c>
      <c r="J78" s="284" t="s">
        <v>32</v>
      </c>
      <c r="K78" s="287"/>
      <c r="L78" s="160"/>
      <c r="M78" s="177"/>
      <c r="N78" s="291"/>
      <c r="O78" s="291"/>
      <c r="P78" s="291"/>
      <c r="Q78" s="291"/>
      <c r="R78" s="291"/>
      <c r="S78" s="291"/>
      <c r="T78" s="291"/>
      <c r="U78" s="291"/>
      <c r="V78" s="291"/>
      <c r="W78" s="291"/>
      <c r="X78" s="291"/>
      <c r="Y78" s="291"/>
      <c r="Z78" s="177">
        <f>SUM(N78:Y78)</f>
        <v>0</v>
      </c>
    </row>
    <row r="79" spans="2:27" ht="14.4">
      <c r="B79" s="153"/>
      <c r="C79" s="313"/>
      <c r="D79" s="284"/>
      <c r="E79" s="285"/>
      <c r="F79" s="286" t="s">
        <v>624</v>
      </c>
      <c r="G79" s="286" t="s">
        <v>390</v>
      </c>
      <c r="H79" s="284" t="s">
        <v>713</v>
      </c>
      <c r="I79" s="284" t="s">
        <v>714</v>
      </c>
      <c r="J79" s="284" t="s">
        <v>32</v>
      </c>
      <c r="K79" s="287"/>
      <c r="L79" s="160"/>
      <c r="M79" s="179"/>
      <c r="N79" s="291"/>
      <c r="O79" s="291"/>
      <c r="P79" s="291"/>
      <c r="Q79" s="291"/>
      <c r="R79" s="291"/>
      <c r="S79" s="291"/>
      <c r="T79" s="291"/>
      <c r="U79" s="291"/>
      <c r="V79" s="291"/>
      <c r="W79" s="291"/>
      <c r="X79" s="291"/>
      <c r="Y79" s="291"/>
      <c r="Z79" s="177">
        <f>SUM(N79:Y79)</f>
        <v>0</v>
      </c>
    </row>
    <row r="80" spans="2:27" ht="15.6">
      <c r="B80" s="153"/>
      <c r="C80" s="314" t="s">
        <v>1023</v>
      </c>
      <c r="D80" s="174" t="s">
        <v>22</v>
      </c>
      <c r="E80" s="181">
        <f>SUM(N80:Y80)</f>
        <v>0</v>
      </c>
      <c r="F80" s="403" t="s">
        <v>295</v>
      </c>
      <c r="G80" s="175" t="s">
        <v>297</v>
      </c>
      <c r="H80" s="309"/>
      <c r="I80" s="309"/>
      <c r="J80" s="309"/>
      <c r="K80" s="182"/>
      <c r="L80" s="182"/>
      <c r="M80" s="181"/>
      <c r="N80" s="181">
        <f>SUMIFS('FCST data'!Q:Q,'FCST data'!$D:$D,$F80,'FCST data'!$K:$K,$G80)</f>
        <v>0</v>
      </c>
      <c r="O80" s="181">
        <f>SUMIFS('FCST data'!R:R,'FCST data'!$D:$D,$F80,'FCST data'!$K:$K,$G80)</f>
        <v>0</v>
      </c>
      <c r="P80" s="181">
        <f>SUMIFS('FCST data'!S:S,'FCST data'!$D:$D,$F80,'FCST data'!$K:$K,$G80)</f>
        <v>0</v>
      </c>
      <c r="Q80" s="181">
        <f>SUMIFS('FCST data'!T:T,'FCST data'!$D:$D,$F80,'FCST data'!$K:$K,$G80)</f>
        <v>0</v>
      </c>
      <c r="R80" s="181">
        <f>SUMIFS('FCST data'!U:U,'FCST data'!$D:$D,$F80,'FCST data'!$K:$K,$G80)</f>
        <v>0</v>
      </c>
      <c r="S80" s="181">
        <f>SUMIFS('FCST data'!V:V,'FCST data'!$D:$D,$F80,'FCST data'!$K:$K,$G80)</f>
        <v>0</v>
      </c>
      <c r="T80" s="181">
        <f>SUMIFS('FCST data'!W:W,'FCST data'!$D:$D,$F80,'FCST data'!$K:$K,$G80)</f>
        <v>0</v>
      </c>
      <c r="U80" s="181">
        <f>SUMIFS('FCST data'!X:X,'FCST data'!$D:$D,$F80,'FCST data'!$K:$K,$G80)</f>
        <v>0</v>
      </c>
      <c r="V80" s="181">
        <f>SUMIFS('FCST data'!Y:Y,'FCST data'!$D:$D,$F80,'FCST data'!$K:$K,$G80)</f>
        <v>0</v>
      </c>
      <c r="W80" s="181">
        <f>SUMIFS('FCST data'!Z:Z,'FCST data'!$D:$D,$F80,'FCST data'!$K:$K,$G80)</f>
        <v>0</v>
      </c>
      <c r="X80" s="181">
        <f>SUMIFS('FCST data'!AA:AA,'FCST data'!$D:$D,$F80,'FCST data'!$K:$K,$G80)</f>
        <v>0</v>
      </c>
      <c r="Y80" s="181">
        <f>SUMIFS('FCST data'!AB:AB,'FCST data'!$D:$D,$F80,'FCST data'!$K:$K,$G80)</f>
        <v>0</v>
      </c>
      <c r="Z80" s="148"/>
      <c r="AA80" s="290">
        <f>E80-Z81-Z82</f>
        <v>0</v>
      </c>
    </row>
    <row r="81" spans="2:27" ht="14.4">
      <c r="B81" s="153"/>
      <c r="C81" s="313"/>
      <c r="D81" s="284"/>
      <c r="E81" s="285"/>
      <c r="F81" s="286" t="s">
        <v>295</v>
      </c>
      <c r="G81" s="286" t="s">
        <v>297</v>
      </c>
      <c r="H81" s="284" t="s">
        <v>712</v>
      </c>
      <c r="I81" s="284" t="s">
        <v>31</v>
      </c>
      <c r="J81" s="284" t="s">
        <v>32</v>
      </c>
      <c r="K81" s="310" t="s">
        <v>292</v>
      </c>
      <c r="L81" s="160"/>
      <c r="M81" s="177"/>
      <c r="N81" s="291"/>
      <c r="O81" s="291"/>
      <c r="P81" s="291"/>
      <c r="Q81" s="291"/>
      <c r="R81" s="291"/>
      <c r="S81" s="291"/>
      <c r="T81" s="291"/>
      <c r="U81" s="291"/>
      <c r="V81" s="291"/>
      <c r="W81" s="291"/>
      <c r="X81" s="291"/>
      <c r="Y81" s="291"/>
      <c r="Z81" s="177">
        <f>SUM(N81:Y81)</f>
        <v>0</v>
      </c>
    </row>
    <row r="82" spans="2:27" ht="14.4">
      <c r="B82" s="153"/>
      <c r="C82" s="313"/>
      <c r="D82" s="284"/>
      <c r="E82" s="285"/>
      <c r="F82" s="286" t="s">
        <v>295</v>
      </c>
      <c r="G82" s="286" t="s">
        <v>297</v>
      </c>
      <c r="H82" s="284" t="s">
        <v>713</v>
      </c>
      <c r="I82" s="284" t="s">
        <v>714</v>
      </c>
      <c r="J82" s="284" t="s">
        <v>32</v>
      </c>
      <c r="K82" s="310" t="s">
        <v>292</v>
      </c>
      <c r="L82" s="160"/>
      <c r="M82" s="179"/>
      <c r="N82" s="291"/>
      <c r="O82" s="291"/>
      <c r="P82" s="291"/>
      <c r="Q82" s="291"/>
      <c r="R82" s="291"/>
      <c r="S82" s="291"/>
      <c r="T82" s="291"/>
      <c r="U82" s="291"/>
      <c r="V82" s="291"/>
      <c r="W82" s="291"/>
      <c r="X82" s="291"/>
      <c r="Y82" s="291"/>
      <c r="Z82" s="177">
        <f>SUM(N82:Y82)</f>
        <v>0</v>
      </c>
    </row>
    <row r="83" spans="2:27" ht="15.6">
      <c r="B83" s="153"/>
      <c r="C83" s="314" t="s">
        <v>1023</v>
      </c>
      <c r="D83" s="174" t="s">
        <v>22</v>
      </c>
      <c r="E83" s="181">
        <f>SUM(N83:Y83)</f>
        <v>0</v>
      </c>
      <c r="F83" s="403" t="s">
        <v>625</v>
      </c>
      <c r="G83" s="175" t="s">
        <v>373</v>
      </c>
      <c r="H83" s="309"/>
      <c r="I83" s="309"/>
      <c r="J83" s="309"/>
      <c r="K83" s="182"/>
      <c r="L83" s="182"/>
      <c r="M83" s="181"/>
      <c r="N83" s="181">
        <f>SUMIFS('FCST data'!Q:Q,'FCST data'!$D:$D,$F83,'FCST data'!$K:$K,$G83)</f>
        <v>0</v>
      </c>
      <c r="O83" s="181">
        <f>SUMIFS('FCST data'!R:R,'FCST data'!$D:$D,$F83,'FCST data'!$K:$K,$G83)</f>
        <v>0</v>
      </c>
      <c r="P83" s="181">
        <f>SUMIFS('FCST data'!S:S,'FCST data'!$D:$D,$F83,'FCST data'!$K:$K,$G83)</f>
        <v>0</v>
      </c>
      <c r="Q83" s="181">
        <f>SUMIFS('FCST data'!T:T,'FCST data'!$D:$D,$F83,'FCST data'!$K:$K,$G83)</f>
        <v>0</v>
      </c>
      <c r="R83" s="181">
        <f>SUMIFS('FCST data'!U:U,'FCST data'!$D:$D,$F83,'FCST data'!$K:$K,$G83)</f>
        <v>0</v>
      </c>
      <c r="S83" s="181">
        <f>SUMIFS('FCST data'!V:V,'FCST data'!$D:$D,$F83,'FCST data'!$K:$K,$G83)</f>
        <v>0</v>
      </c>
      <c r="T83" s="181">
        <f>SUMIFS('FCST data'!W:W,'FCST data'!$D:$D,$F83,'FCST data'!$K:$K,$G83)</f>
        <v>0</v>
      </c>
      <c r="U83" s="181">
        <f>SUMIFS('FCST data'!X:X,'FCST data'!$D:$D,$F83,'FCST data'!$K:$K,$G83)</f>
        <v>0</v>
      </c>
      <c r="V83" s="181">
        <f>SUMIFS('FCST data'!Y:Y,'FCST data'!$D:$D,$F83,'FCST data'!$K:$K,$G83)</f>
        <v>0</v>
      </c>
      <c r="W83" s="181">
        <f>SUMIFS('FCST data'!Z:Z,'FCST data'!$D:$D,$F83,'FCST data'!$K:$K,$G83)</f>
        <v>0</v>
      </c>
      <c r="X83" s="181">
        <f>SUMIFS('FCST data'!AA:AA,'FCST data'!$D:$D,$F83,'FCST data'!$K:$K,$G83)</f>
        <v>0</v>
      </c>
      <c r="Y83" s="181">
        <f>SUMIFS('FCST data'!AB:AB,'FCST data'!$D:$D,$F83,'FCST data'!$K:$K,$G83)</f>
        <v>0</v>
      </c>
      <c r="Z83" s="148"/>
      <c r="AA83" s="290">
        <f>E83-Z84-Z85</f>
        <v>0</v>
      </c>
    </row>
    <row r="84" spans="2:27" ht="14.4">
      <c r="B84" s="153"/>
      <c r="C84" s="313"/>
      <c r="D84" s="284"/>
      <c r="E84" s="285"/>
      <c r="F84" s="286" t="s">
        <v>625</v>
      </c>
      <c r="G84" s="286" t="s">
        <v>373</v>
      </c>
      <c r="H84" s="284" t="s">
        <v>712</v>
      </c>
      <c r="I84" s="284" t="s">
        <v>31</v>
      </c>
      <c r="J84" s="284" t="s">
        <v>32</v>
      </c>
      <c r="K84" s="310" t="s">
        <v>292</v>
      </c>
      <c r="L84" s="160"/>
      <c r="M84" s="177"/>
      <c r="N84" s="291"/>
      <c r="O84" s="291"/>
      <c r="P84" s="291"/>
      <c r="Q84" s="291"/>
      <c r="R84" s="291"/>
      <c r="S84" s="291"/>
      <c r="T84" s="291"/>
      <c r="U84" s="291"/>
      <c r="V84" s="291"/>
      <c r="W84" s="291"/>
      <c r="X84" s="291"/>
      <c r="Y84" s="291"/>
      <c r="Z84" s="177">
        <f>SUM(N84:Y84)</f>
        <v>0</v>
      </c>
    </row>
    <row r="85" spans="2:27" ht="14.4">
      <c r="B85" s="153"/>
      <c r="C85" s="313"/>
      <c r="D85" s="284"/>
      <c r="E85" s="285"/>
      <c r="F85" s="286" t="s">
        <v>625</v>
      </c>
      <c r="G85" s="286" t="s">
        <v>373</v>
      </c>
      <c r="H85" s="284" t="s">
        <v>713</v>
      </c>
      <c r="I85" s="284" t="s">
        <v>714</v>
      </c>
      <c r="J85" s="284" t="s">
        <v>32</v>
      </c>
      <c r="K85" s="310" t="s">
        <v>292</v>
      </c>
      <c r="L85" s="160"/>
      <c r="M85" s="179"/>
      <c r="N85" s="291"/>
      <c r="O85" s="291"/>
      <c r="P85" s="291"/>
      <c r="Q85" s="291"/>
      <c r="R85" s="291"/>
      <c r="S85" s="291"/>
      <c r="T85" s="291"/>
      <c r="U85" s="291"/>
      <c r="V85" s="291"/>
      <c r="W85" s="291"/>
      <c r="X85" s="291"/>
      <c r="Y85" s="291"/>
      <c r="Z85" s="177">
        <f>SUM(N85:Y85)</f>
        <v>0</v>
      </c>
    </row>
    <row r="86" spans="2:27" ht="15.6">
      <c r="B86" s="153"/>
      <c r="C86" s="314" t="s">
        <v>1023</v>
      </c>
      <c r="D86" s="174" t="s">
        <v>22</v>
      </c>
      <c r="E86" s="181">
        <f>SUM(N86:Y86)</f>
        <v>0</v>
      </c>
      <c r="F86" s="404" t="s">
        <v>296</v>
      </c>
      <c r="G86" s="183" t="s">
        <v>529</v>
      </c>
      <c r="H86" s="309"/>
      <c r="I86" s="309"/>
      <c r="J86" s="309"/>
      <c r="K86" s="182"/>
      <c r="L86" s="182"/>
      <c r="M86" s="181"/>
      <c r="N86" s="181">
        <f>SUMIFS('FCST data'!Q:Q,'FCST data'!$D:$D,$F86,'FCST data'!$K:$K,$G86)</f>
        <v>0</v>
      </c>
      <c r="O86" s="181">
        <f>SUMIFS('FCST data'!R:R,'FCST data'!$D:$D,$F86,'FCST data'!$K:$K,$G86)</f>
        <v>0</v>
      </c>
      <c r="P86" s="181">
        <f>SUMIFS('FCST data'!S:S,'FCST data'!$D:$D,$F86,'FCST data'!$K:$K,$G86)</f>
        <v>0</v>
      </c>
      <c r="Q86" s="181">
        <f>SUMIFS('FCST data'!T:T,'FCST data'!$D:$D,$F86,'FCST data'!$K:$K,$G86)</f>
        <v>0</v>
      </c>
      <c r="R86" s="181">
        <f>SUMIFS('FCST data'!U:U,'FCST data'!$D:$D,$F86,'FCST data'!$K:$K,$G86)</f>
        <v>0</v>
      </c>
      <c r="S86" s="181">
        <f>SUMIFS('FCST data'!V:V,'FCST data'!$D:$D,$F86,'FCST data'!$K:$K,$G86)</f>
        <v>0</v>
      </c>
      <c r="T86" s="181">
        <f>SUMIFS('FCST data'!W:W,'FCST data'!$D:$D,$F86,'FCST data'!$K:$K,$G86)</f>
        <v>0</v>
      </c>
      <c r="U86" s="181">
        <f>SUMIFS('FCST data'!X:X,'FCST data'!$D:$D,$F86,'FCST data'!$K:$K,$G86)</f>
        <v>0</v>
      </c>
      <c r="V86" s="181">
        <f>SUMIFS('FCST data'!Y:Y,'FCST data'!$D:$D,$F86,'FCST data'!$K:$K,$G86)</f>
        <v>0</v>
      </c>
      <c r="W86" s="181">
        <f>SUMIFS('FCST data'!Z:Z,'FCST data'!$D:$D,$F86,'FCST data'!$K:$K,$G86)</f>
        <v>0</v>
      </c>
      <c r="X86" s="181">
        <f>SUMIFS('FCST data'!AA:AA,'FCST data'!$D:$D,$F86,'FCST data'!$K:$K,$G86)</f>
        <v>0</v>
      </c>
      <c r="Y86" s="181">
        <f>SUMIFS('FCST data'!AB:AB,'FCST data'!$D:$D,$F86,'FCST data'!$K:$K,$G86)</f>
        <v>0</v>
      </c>
      <c r="Z86" s="148"/>
      <c r="AA86" s="290">
        <f>E86-Z87-Z88</f>
        <v>0</v>
      </c>
    </row>
    <row r="87" spans="2:27" ht="14.4">
      <c r="C87" s="313"/>
      <c r="D87" s="284"/>
      <c r="E87" s="285"/>
      <c r="F87" s="286" t="s">
        <v>296</v>
      </c>
      <c r="G87" s="286" t="s">
        <v>529</v>
      </c>
      <c r="H87" s="284" t="s">
        <v>712</v>
      </c>
      <c r="I87" s="284" t="s">
        <v>31</v>
      </c>
      <c r="J87" s="284" t="s">
        <v>32</v>
      </c>
      <c r="K87" s="310" t="s">
        <v>292</v>
      </c>
      <c r="L87" s="209"/>
      <c r="M87" s="147"/>
      <c r="N87" s="291"/>
      <c r="O87" s="291"/>
      <c r="P87" s="291"/>
      <c r="Q87" s="291"/>
      <c r="R87" s="291"/>
      <c r="S87" s="291"/>
      <c r="T87" s="291"/>
      <c r="U87" s="291"/>
      <c r="V87" s="291"/>
      <c r="W87" s="291"/>
      <c r="X87" s="291"/>
      <c r="Y87" s="291"/>
      <c r="Z87" s="177">
        <f>SUM(N87:Y87)</f>
        <v>0</v>
      </c>
    </row>
    <row r="88" spans="2:27" ht="14.4">
      <c r="C88" s="313"/>
      <c r="D88" s="284"/>
      <c r="E88" s="285"/>
      <c r="F88" s="286" t="s">
        <v>296</v>
      </c>
      <c r="G88" s="286" t="s">
        <v>529</v>
      </c>
      <c r="H88" s="284" t="s">
        <v>713</v>
      </c>
      <c r="I88" s="284" t="s">
        <v>714</v>
      </c>
      <c r="J88" s="284" t="s">
        <v>32</v>
      </c>
      <c r="K88" s="310" t="s">
        <v>292</v>
      </c>
      <c r="L88" s="160"/>
      <c r="M88" s="179"/>
      <c r="N88" s="291"/>
      <c r="O88" s="291"/>
      <c r="P88" s="291"/>
      <c r="Q88" s="291"/>
      <c r="R88" s="291"/>
      <c r="S88" s="291"/>
      <c r="T88" s="291"/>
      <c r="U88" s="291"/>
      <c r="V88" s="291"/>
      <c r="W88" s="291"/>
      <c r="X88" s="291"/>
      <c r="Y88" s="291"/>
      <c r="Z88" s="177">
        <f>SUM(N88:Y88)</f>
        <v>0</v>
      </c>
    </row>
    <row r="89" spans="2:27" ht="15.6">
      <c r="B89" s="153"/>
      <c r="C89" s="314" t="s">
        <v>293</v>
      </c>
      <c r="D89" s="174" t="s">
        <v>22</v>
      </c>
      <c r="E89" s="181">
        <f>SUM(N89:Y89)</f>
        <v>450</v>
      </c>
      <c r="F89" s="175" t="s">
        <v>447</v>
      </c>
      <c r="G89" s="175" t="s">
        <v>710</v>
      </c>
      <c r="H89" s="309"/>
      <c r="I89" s="309"/>
      <c r="J89" s="309"/>
      <c r="K89" s="182"/>
      <c r="L89" s="182"/>
      <c r="M89" s="181"/>
      <c r="N89" s="181">
        <f>SUMIFS('FCST data'!Q:Q,'FCST data'!$D:$D,$F89,'FCST data'!$K:$K,$G89)</f>
        <v>50</v>
      </c>
      <c r="O89" s="181">
        <f>SUMIFS('FCST data'!R:R,'FCST data'!$D:$D,$F89,'FCST data'!$K:$K,$G89)</f>
        <v>100</v>
      </c>
      <c r="P89" s="181">
        <f>SUMIFS('FCST data'!S:S,'FCST data'!$D:$D,$F89,'FCST data'!$K:$K,$G89)</f>
        <v>0</v>
      </c>
      <c r="Q89" s="181">
        <f>SUMIFS('FCST data'!T:T,'FCST data'!$D:$D,$F89,'FCST data'!$K:$K,$G89)</f>
        <v>0</v>
      </c>
      <c r="R89" s="513">
        <f>SUMIFS('FCST data'!U:U,'FCST data'!$D:$D,$F89,'FCST data'!$K:$K,$G89)</f>
        <v>150</v>
      </c>
      <c r="S89" s="513">
        <f>SUMIFS('FCST data'!V:V,'FCST data'!$D:$D,$F89,'FCST data'!$K:$K,$G89)</f>
        <v>150</v>
      </c>
      <c r="T89" s="181">
        <f>SUMIFS('FCST data'!W:W,'FCST data'!$D:$D,$F89,'FCST data'!$K:$K,$G89)</f>
        <v>0</v>
      </c>
      <c r="U89" s="181">
        <f>SUMIFS('FCST data'!X:X,'FCST data'!$D:$D,$F89,'FCST data'!$K:$K,$G89)</f>
        <v>0</v>
      </c>
      <c r="V89" s="181">
        <f>SUMIFS('FCST data'!Y:Y,'FCST data'!$D:$D,$F89,'FCST data'!$K:$K,$G89)</f>
        <v>0</v>
      </c>
      <c r="W89" s="181">
        <f>SUMIFS('FCST data'!Z:Z,'FCST data'!$D:$D,$F89,'FCST data'!$K:$K,$G89)</f>
        <v>0</v>
      </c>
      <c r="X89" s="181">
        <f>SUMIFS('FCST data'!AA:AA,'FCST data'!$D:$D,$F89,'FCST data'!$K:$K,$G89)</f>
        <v>0</v>
      </c>
      <c r="Y89" s="181">
        <f>SUMIFS('FCST data'!AB:AB,'FCST data'!$D:$D,$F89,'FCST data'!$K:$K,$G89)</f>
        <v>0</v>
      </c>
      <c r="Z89" s="148"/>
      <c r="AA89" s="145">
        <f>E89-Z90-Z91</f>
        <v>0</v>
      </c>
    </row>
    <row r="90" spans="2:27" ht="14.4">
      <c r="B90" s="153"/>
      <c r="C90" s="313"/>
      <c r="D90" s="284"/>
      <c r="E90" s="285"/>
      <c r="F90" s="286" t="s">
        <v>447</v>
      </c>
      <c r="G90" s="286" t="s">
        <v>710</v>
      </c>
      <c r="H90" s="284" t="s">
        <v>712</v>
      </c>
      <c r="I90" s="284" t="s">
        <v>31</v>
      </c>
      <c r="J90" s="284" t="s">
        <v>32</v>
      </c>
      <c r="K90" s="310" t="s">
        <v>292</v>
      </c>
      <c r="L90" s="160"/>
      <c r="M90" s="177"/>
      <c r="N90" s="291">
        <f>SUMIFS('FCST data'!Q:Q,'FCST data'!$D:$D,$F90,'FCST data'!$K:$K,$G90)</f>
        <v>50</v>
      </c>
      <c r="O90" s="291">
        <f>SUMIFS('FCST data'!R:R,'FCST data'!$D:$D,$F90,'FCST data'!$K:$K,$G90)</f>
        <v>100</v>
      </c>
      <c r="P90" s="291">
        <f>SUMIFS('FCST data'!S:S,'FCST data'!$D:$D,$F90,'FCST data'!$K:$K,$G90)</f>
        <v>0</v>
      </c>
      <c r="Q90" s="291">
        <f>SUMIFS('FCST data'!T:T,'FCST data'!$D:$D,$F90,'FCST data'!$K:$K,$G90)</f>
        <v>0</v>
      </c>
      <c r="R90" s="291">
        <v>150</v>
      </c>
      <c r="S90" s="291">
        <v>150</v>
      </c>
      <c r="T90" s="291"/>
      <c r="U90" s="291"/>
      <c r="V90" s="291"/>
      <c r="W90" s="291"/>
      <c r="X90" s="291"/>
      <c r="Y90" s="291"/>
      <c r="Z90" s="177">
        <f>SUM(N90:Y90)</f>
        <v>450</v>
      </c>
    </row>
    <row r="91" spans="2:27" ht="14.4">
      <c r="B91" s="153"/>
      <c r="C91" s="313"/>
      <c r="D91" s="284"/>
      <c r="E91" s="285"/>
      <c r="F91" s="286" t="s">
        <v>447</v>
      </c>
      <c r="G91" s="286" t="s">
        <v>710</v>
      </c>
      <c r="H91" s="284" t="s">
        <v>713</v>
      </c>
      <c r="I91" s="284" t="s">
        <v>714</v>
      </c>
      <c r="J91" s="284" t="s">
        <v>32</v>
      </c>
      <c r="K91" s="310" t="s">
        <v>292</v>
      </c>
      <c r="L91" s="160"/>
      <c r="M91" s="179"/>
      <c r="N91" s="291"/>
      <c r="O91" s="291"/>
      <c r="P91" s="291"/>
      <c r="Q91" s="291"/>
      <c r="R91" s="291"/>
      <c r="S91" s="291"/>
      <c r="T91" s="291"/>
      <c r="U91" s="291"/>
      <c r="V91" s="291"/>
      <c r="W91" s="291"/>
      <c r="X91" s="291"/>
      <c r="Y91" s="291"/>
      <c r="Z91" s="177">
        <f>SUM(N91:Y91)</f>
        <v>0</v>
      </c>
    </row>
    <row r="92" spans="2:27" s="146" customFormat="1" ht="15.6">
      <c r="B92" s="153"/>
      <c r="C92" s="314" t="s">
        <v>1023</v>
      </c>
      <c r="D92" s="174" t="s">
        <v>22</v>
      </c>
      <c r="E92" s="181">
        <f>SUM(N92:Y92)</f>
        <v>0</v>
      </c>
      <c r="F92" s="403" t="s">
        <v>448</v>
      </c>
      <c r="G92" s="175" t="s">
        <v>530</v>
      </c>
      <c r="H92" s="309"/>
      <c r="I92" s="309"/>
      <c r="J92" s="309"/>
      <c r="K92" s="182"/>
      <c r="L92" s="182"/>
      <c r="M92" s="181"/>
      <c r="N92" s="181">
        <f>SUMIFS('FCST data'!Q:Q,'FCST data'!$D:$D,$F92,'FCST data'!$K:$K,$G92)</f>
        <v>0</v>
      </c>
      <c r="O92" s="181">
        <f>SUMIFS('FCST data'!R:R,'FCST data'!$D:$D,$F92,'FCST data'!$K:$K,$G92)</f>
        <v>0</v>
      </c>
      <c r="P92" s="181">
        <f>SUMIFS('FCST data'!S:S,'FCST data'!$D:$D,$F92,'FCST data'!$K:$K,$G92)</f>
        <v>0</v>
      </c>
      <c r="Q92" s="181">
        <f>SUMIFS('FCST data'!T:T,'FCST data'!$D:$D,$F92,'FCST data'!$K:$K,$G92)</f>
        <v>0</v>
      </c>
      <c r="R92" s="181">
        <f>SUMIFS('FCST data'!U:U,'FCST data'!$D:$D,$F92,'FCST data'!$K:$K,$G92)</f>
        <v>0</v>
      </c>
      <c r="S92" s="181">
        <f>SUMIFS('FCST data'!V:V,'FCST data'!$D:$D,$F92,'FCST data'!$K:$K,$G92)</f>
        <v>0</v>
      </c>
      <c r="T92" s="181">
        <f>SUMIFS('FCST data'!W:W,'FCST data'!$D:$D,$F92,'FCST data'!$K:$K,$G92)</f>
        <v>0</v>
      </c>
      <c r="U92" s="181">
        <f>SUMIFS('FCST data'!X:X,'FCST data'!$D:$D,$F92,'FCST data'!$K:$K,$G92)</f>
        <v>0</v>
      </c>
      <c r="V92" s="181">
        <f>SUMIFS('FCST data'!Y:Y,'FCST data'!$D:$D,$F92,'FCST data'!$K:$K,$G92)</f>
        <v>0</v>
      </c>
      <c r="W92" s="181">
        <f>SUMIFS('FCST data'!Z:Z,'FCST data'!$D:$D,$F92,'FCST data'!$K:$K,$G92)</f>
        <v>0</v>
      </c>
      <c r="X92" s="181">
        <f>SUMIFS('FCST data'!AA:AA,'FCST data'!$D:$D,$F92,'FCST data'!$K:$K,$G92)</f>
        <v>0</v>
      </c>
      <c r="Y92" s="181">
        <f>SUMIFS('FCST data'!AB:AB,'FCST data'!$D:$D,$F92,'FCST data'!$K:$K,$G92)</f>
        <v>0</v>
      </c>
      <c r="Z92" s="148"/>
      <c r="AA92" s="145">
        <f>E92-Z93-Z94</f>
        <v>0</v>
      </c>
    </row>
    <row r="93" spans="2:27" s="146" customFormat="1" ht="14.4">
      <c r="B93" s="153"/>
      <c r="C93" s="313"/>
      <c r="D93" s="284"/>
      <c r="E93" s="285"/>
      <c r="F93" s="286" t="s">
        <v>448</v>
      </c>
      <c r="G93" s="286" t="s">
        <v>530</v>
      </c>
      <c r="H93" s="284" t="s">
        <v>712</v>
      </c>
      <c r="I93" s="284" t="s">
        <v>31</v>
      </c>
      <c r="J93" s="284" t="s">
        <v>32</v>
      </c>
      <c r="K93" s="310" t="s">
        <v>292</v>
      </c>
      <c r="L93" s="160"/>
      <c r="M93" s="177"/>
      <c r="N93" s="291"/>
      <c r="O93" s="291"/>
      <c r="P93" s="291"/>
      <c r="Q93" s="291"/>
      <c r="R93" s="291"/>
      <c r="S93" s="291"/>
      <c r="T93" s="291"/>
      <c r="U93" s="291"/>
      <c r="V93" s="291"/>
      <c r="W93" s="291"/>
      <c r="X93" s="291"/>
      <c r="Y93" s="291"/>
      <c r="Z93" s="177">
        <f>SUM(N93:Y93)</f>
        <v>0</v>
      </c>
    </row>
    <row r="94" spans="2:27" s="146" customFormat="1" ht="14.4">
      <c r="B94" s="153"/>
      <c r="C94" s="313"/>
      <c r="D94" s="284"/>
      <c r="E94" s="285"/>
      <c r="F94" s="286" t="s">
        <v>448</v>
      </c>
      <c r="G94" s="286" t="s">
        <v>530</v>
      </c>
      <c r="H94" s="284" t="s">
        <v>713</v>
      </c>
      <c r="I94" s="284" t="s">
        <v>714</v>
      </c>
      <c r="J94" s="284" t="s">
        <v>32</v>
      </c>
      <c r="K94" s="310" t="s">
        <v>292</v>
      </c>
      <c r="L94" s="160"/>
      <c r="M94" s="179"/>
      <c r="N94" s="291"/>
      <c r="O94" s="291"/>
      <c r="P94" s="291"/>
      <c r="Q94" s="291"/>
      <c r="R94" s="291"/>
      <c r="S94" s="291"/>
      <c r="T94" s="291"/>
      <c r="U94" s="291"/>
      <c r="V94" s="291"/>
      <c r="W94" s="291"/>
      <c r="X94" s="291"/>
      <c r="Y94" s="291"/>
      <c r="Z94" s="177">
        <f>SUM(N94:Y94)</f>
        <v>0</v>
      </c>
    </row>
    <row r="95" spans="2:27" ht="15.6">
      <c r="C95" s="314" t="s">
        <v>267</v>
      </c>
      <c r="D95" s="174" t="s">
        <v>22</v>
      </c>
      <c r="E95" s="181">
        <f>SUM(N95:Y95)</f>
        <v>4450</v>
      </c>
      <c r="F95" s="175" t="s">
        <v>767</v>
      </c>
      <c r="G95" s="175" t="s">
        <v>1063</v>
      </c>
      <c r="H95" s="309"/>
      <c r="I95" s="309"/>
      <c r="J95" s="309"/>
      <c r="K95" s="182"/>
      <c r="L95" s="182"/>
      <c r="M95" s="181"/>
      <c r="N95" s="181">
        <f>SUMIFS('FCST data'!Q:Q,'FCST data'!$D:$D,$F95,'FCST data'!$K:$K,$G95)</f>
        <v>250</v>
      </c>
      <c r="O95" s="181">
        <f>SUMIFS('FCST data'!R:R,'FCST data'!$D:$D,$F95,'FCST data'!$K:$K,$G95)</f>
        <v>350</v>
      </c>
      <c r="P95" s="181">
        <f>SUMIFS('FCST data'!S:S,'FCST data'!$D:$D,$F95,'FCST data'!$K:$K,$G95)</f>
        <v>550</v>
      </c>
      <c r="Q95" s="181">
        <f>SUMIFS('FCST data'!T:T,'FCST data'!$D:$D,$F95,'FCST data'!$K:$K,$G95)</f>
        <v>700</v>
      </c>
      <c r="R95" s="181">
        <f>SUMIFS('FCST data'!U:U,'FCST data'!$D:$D,$F95,'FCST data'!$K:$K,$G95)</f>
        <v>450</v>
      </c>
      <c r="S95" s="181">
        <f>SUMIFS('FCST data'!V:V,'FCST data'!$D:$D,$F95,'FCST data'!$K:$K,$G95)</f>
        <v>600</v>
      </c>
      <c r="T95" s="181">
        <f>SUMIFS('FCST data'!W:W,'FCST data'!$D:$D,$F95,'FCST data'!$K:$K,$G95)</f>
        <v>450</v>
      </c>
      <c r="U95" s="181">
        <f>SUMIFS('FCST data'!X:X,'FCST data'!$D:$D,$F95,'FCST data'!$K:$K,$G95)</f>
        <v>550</v>
      </c>
      <c r="V95" s="181">
        <f>SUMIFS('FCST data'!Y:Y,'FCST data'!$D:$D,$F95,'FCST data'!$K:$K,$G95)</f>
        <v>550</v>
      </c>
      <c r="W95" s="181">
        <f>SUMIFS('FCST data'!Z:Z,'FCST data'!$D:$D,$F95,'FCST data'!$K:$K,$G95)</f>
        <v>0</v>
      </c>
      <c r="X95" s="181">
        <f>SUMIFS('FCST data'!AA:AA,'FCST data'!$D:$D,$F95,'FCST data'!$K:$K,$G95)</f>
        <v>0</v>
      </c>
      <c r="Y95" s="181">
        <f>SUMIFS('FCST data'!AB:AB,'FCST data'!$D:$D,$F95,'FCST data'!$K:$K,$G95)</f>
        <v>0</v>
      </c>
      <c r="Z95" s="148"/>
      <c r="AA95" s="145">
        <f>E95-Z96-Z97</f>
        <v>0</v>
      </c>
    </row>
    <row r="96" spans="2:27" ht="14.4">
      <c r="C96" s="313"/>
      <c r="D96" s="284"/>
      <c r="E96" s="285"/>
      <c r="F96" s="286" t="s">
        <v>767</v>
      </c>
      <c r="G96" s="286" t="s">
        <v>1063</v>
      </c>
      <c r="H96" s="284" t="s">
        <v>712</v>
      </c>
      <c r="I96" s="284" t="s">
        <v>31</v>
      </c>
      <c r="J96" s="284" t="s">
        <v>32</v>
      </c>
      <c r="K96" s="287"/>
      <c r="L96" s="160"/>
      <c r="M96" s="177"/>
      <c r="N96" s="291"/>
      <c r="O96" s="291"/>
      <c r="P96" s="291"/>
      <c r="Q96" s="291"/>
      <c r="R96" s="291"/>
      <c r="S96" s="291"/>
      <c r="T96" s="291"/>
      <c r="U96" s="291"/>
      <c r="V96" s="291"/>
      <c r="W96" s="291"/>
      <c r="X96" s="291"/>
      <c r="Y96" s="291"/>
      <c r="Z96" s="177">
        <f>SUM(N96:Y96)</f>
        <v>0</v>
      </c>
      <c r="AA96" s="146"/>
    </row>
    <row r="97" spans="3:27" ht="14.4">
      <c r="C97" s="313"/>
      <c r="D97" s="284"/>
      <c r="E97" s="285"/>
      <c r="F97" s="286" t="s">
        <v>767</v>
      </c>
      <c r="G97" s="286" t="s">
        <v>1063</v>
      </c>
      <c r="H97" s="284" t="s">
        <v>713</v>
      </c>
      <c r="I97" s="284" t="s">
        <v>714</v>
      </c>
      <c r="J97" s="284" t="s">
        <v>32</v>
      </c>
      <c r="K97" s="287"/>
      <c r="L97" s="160"/>
      <c r="M97" s="179"/>
      <c r="N97" s="291">
        <v>250</v>
      </c>
      <c r="O97" s="291">
        <v>350</v>
      </c>
      <c r="P97" s="291">
        <v>550</v>
      </c>
      <c r="Q97" s="291">
        <v>700</v>
      </c>
      <c r="R97" s="291">
        <v>450</v>
      </c>
      <c r="S97" s="291">
        <v>600</v>
      </c>
      <c r="T97" s="291">
        <v>450</v>
      </c>
      <c r="U97" s="291">
        <v>550</v>
      </c>
      <c r="V97" s="291">
        <v>550</v>
      </c>
      <c r="W97" s="291"/>
      <c r="X97" s="291"/>
      <c r="Y97" s="291"/>
      <c r="Z97" s="177">
        <f>SUM(N97:Y97)</f>
        <v>4450</v>
      </c>
      <c r="AA97" s="146"/>
    </row>
    <row r="98" spans="3:27" ht="15.6">
      <c r="C98" s="314" t="s">
        <v>267</v>
      </c>
      <c r="D98" s="174" t="s">
        <v>22</v>
      </c>
      <c r="E98" s="181">
        <f>SUM(N98:Y98)</f>
        <v>300</v>
      </c>
      <c r="F98" s="175" t="s">
        <v>775</v>
      </c>
      <c r="G98" s="175" t="s">
        <v>783</v>
      </c>
      <c r="H98" s="309"/>
      <c r="I98" s="309"/>
      <c r="J98" s="309"/>
      <c r="K98" s="182"/>
      <c r="L98" s="182"/>
      <c r="M98" s="181"/>
      <c r="N98" s="181">
        <f>SUMIFS('FCST data'!Q:Q,'FCST data'!$D:$D,$F98,'FCST data'!$K:$K,$G98)</f>
        <v>0</v>
      </c>
      <c r="O98" s="181">
        <f>SUMIFS('FCST data'!R:R,'FCST data'!$D:$D,$F98,'FCST data'!$K:$K,$G98)</f>
        <v>200</v>
      </c>
      <c r="P98" s="181">
        <f>SUMIFS('FCST data'!S:S,'FCST data'!$D:$D,$F98,'FCST data'!$K:$K,$G98)</f>
        <v>0</v>
      </c>
      <c r="Q98" s="181">
        <f>SUMIFS('FCST data'!T:T,'FCST data'!$D:$D,$F98,'FCST data'!$K:$K,$G98)</f>
        <v>100</v>
      </c>
      <c r="R98" s="181">
        <f>SUMIFS('FCST data'!U:U,'FCST data'!$D:$D,$F98,'FCST data'!$K:$K,$G98)</f>
        <v>0</v>
      </c>
      <c r="S98" s="181">
        <f>SUMIFS('FCST data'!V:V,'FCST data'!$D:$D,$F98,'FCST data'!$K:$K,$G98)</f>
        <v>0</v>
      </c>
      <c r="T98" s="181">
        <f>SUMIFS('FCST data'!W:W,'FCST data'!$D:$D,$F98,'FCST data'!$K:$K,$G98)</f>
        <v>0</v>
      </c>
      <c r="U98" s="181">
        <f>SUMIFS('FCST data'!X:X,'FCST data'!$D:$D,$F98,'FCST data'!$K:$K,$G98)</f>
        <v>0</v>
      </c>
      <c r="V98" s="181">
        <f>SUMIFS('FCST data'!Y:Y,'FCST data'!$D:$D,$F98,'FCST data'!$K:$K,$G98)</f>
        <v>0</v>
      </c>
      <c r="W98" s="181">
        <f>SUMIFS('FCST data'!Z:Z,'FCST data'!$D:$D,$F98,'FCST data'!$K:$K,$G98)</f>
        <v>0</v>
      </c>
      <c r="X98" s="181">
        <f>SUMIFS('FCST data'!AA:AA,'FCST data'!$D:$D,$F98,'FCST data'!$K:$K,$G98)</f>
        <v>0</v>
      </c>
      <c r="Y98" s="181">
        <f>SUMIFS('FCST data'!AB:AB,'FCST data'!$D:$D,$F98,'FCST data'!$K:$K,$G98)</f>
        <v>0</v>
      </c>
      <c r="Z98" s="148"/>
      <c r="AA98" s="145">
        <f>E98-Z99-Z100</f>
        <v>0</v>
      </c>
    </row>
    <row r="99" spans="3:27" ht="14.4">
      <c r="C99" s="313"/>
      <c r="D99" s="284"/>
      <c r="E99" s="285"/>
      <c r="F99" s="286" t="s">
        <v>775</v>
      </c>
      <c r="G99" s="286" t="s">
        <v>783</v>
      </c>
      <c r="H99" s="284" t="s">
        <v>712</v>
      </c>
      <c r="I99" s="284" t="s">
        <v>31</v>
      </c>
      <c r="J99" s="284" t="s">
        <v>32</v>
      </c>
      <c r="K99" s="310" t="s">
        <v>292</v>
      </c>
      <c r="L99" s="160"/>
      <c r="M99" s="177"/>
      <c r="N99" s="291">
        <v>0</v>
      </c>
      <c r="O99" s="291">
        <v>200</v>
      </c>
      <c r="P99" s="291">
        <v>0</v>
      </c>
      <c r="Q99" s="291">
        <v>100</v>
      </c>
      <c r="R99" s="291">
        <v>0</v>
      </c>
      <c r="S99" s="291">
        <v>0</v>
      </c>
      <c r="T99" s="291"/>
      <c r="U99" s="291"/>
      <c r="V99" s="291"/>
      <c r="W99" s="291"/>
      <c r="X99" s="291"/>
      <c r="Y99" s="291"/>
      <c r="Z99" s="177">
        <f>SUM(N99:Y99)</f>
        <v>300</v>
      </c>
      <c r="AA99" s="146"/>
    </row>
    <row r="100" spans="3:27" ht="14.4">
      <c r="C100" s="313"/>
      <c r="D100" s="284"/>
      <c r="E100" s="285"/>
      <c r="F100" s="286" t="s">
        <v>775</v>
      </c>
      <c r="G100" s="286" t="s">
        <v>783</v>
      </c>
      <c r="H100" s="284" t="s">
        <v>713</v>
      </c>
      <c r="I100" s="284" t="s">
        <v>714</v>
      </c>
      <c r="J100" s="284" t="s">
        <v>32</v>
      </c>
      <c r="K100" s="310" t="s">
        <v>292</v>
      </c>
      <c r="L100" s="160"/>
      <c r="M100" s="179"/>
      <c r="N100" s="291"/>
      <c r="O100" s="291"/>
      <c r="P100" s="291"/>
      <c r="Q100" s="291"/>
      <c r="R100" s="291"/>
      <c r="S100" s="291"/>
      <c r="T100" s="291"/>
      <c r="U100" s="291"/>
      <c r="V100" s="291"/>
      <c r="W100" s="291"/>
      <c r="X100" s="291"/>
      <c r="Y100" s="291"/>
      <c r="Z100" s="177">
        <f>SUM(N100:Y100)</f>
        <v>0</v>
      </c>
      <c r="AA100" s="146"/>
    </row>
    <row r="101" spans="3:27" ht="15.6">
      <c r="C101" s="314" t="s">
        <v>267</v>
      </c>
      <c r="D101" s="174" t="s">
        <v>22</v>
      </c>
      <c r="E101" s="181">
        <f>SUM(N101:Y101)</f>
        <v>300</v>
      </c>
      <c r="F101" s="175" t="s">
        <v>766</v>
      </c>
      <c r="G101" s="175" t="s">
        <v>1064</v>
      </c>
      <c r="H101" s="309"/>
      <c r="I101" s="309"/>
      <c r="J101" s="309"/>
      <c r="K101" s="182"/>
      <c r="L101" s="182"/>
      <c r="M101" s="181"/>
      <c r="N101" s="181">
        <f>SUMIFS('FCST data'!Q:Q,'FCST data'!$D:$D,$F101,'FCST data'!$K:$K,$G101)</f>
        <v>0</v>
      </c>
      <c r="O101" s="181">
        <f>SUMIFS('FCST data'!R:R,'FCST data'!$D:$D,$F101,'FCST data'!$K:$K,$G101)</f>
        <v>200</v>
      </c>
      <c r="P101" s="181">
        <f>SUMIFS('FCST data'!S:S,'FCST data'!$D:$D,$F101,'FCST data'!$K:$K,$G101)</f>
        <v>0</v>
      </c>
      <c r="Q101" s="181">
        <f>SUMIFS('FCST data'!T:T,'FCST data'!$D:$D,$F101,'FCST data'!$K:$K,$G101)</f>
        <v>100</v>
      </c>
      <c r="R101" s="181">
        <f>SUMIFS('FCST data'!U:U,'FCST data'!$D:$D,$F101,'FCST data'!$K:$K,$G101)</f>
        <v>0</v>
      </c>
      <c r="S101" s="181">
        <f>SUMIFS('FCST data'!V:V,'FCST data'!$D:$D,$F101,'FCST data'!$K:$K,$G101)</f>
        <v>0</v>
      </c>
      <c r="T101" s="181">
        <f>SUMIFS('FCST data'!W:W,'FCST data'!$D:$D,$F101,'FCST data'!$K:$K,$G101)</f>
        <v>0</v>
      </c>
      <c r="U101" s="181">
        <f>SUMIFS('FCST data'!X:X,'FCST data'!$D:$D,$F101,'FCST data'!$K:$K,$G101)</f>
        <v>0</v>
      </c>
      <c r="V101" s="181">
        <f>SUMIFS('FCST data'!Y:Y,'FCST data'!$D:$D,$F101,'FCST data'!$K:$K,$G101)</f>
        <v>0</v>
      </c>
      <c r="W101" s="181">
        <f>SUMIFS('FCST data'!Z:Z,'FCST data'!$D:$D,$F101,'FCST data'!$K:$K,$G101)</f>
        <v>0</v>
      </c>
      <c r="X101" s="181">
        <f>SUMIFS('FCST data'!AA:AA,'FCST data'!$D:$D,$F101,'FCST data'!$K:$K,$G101)</f>
        <v>0</v>
      </c>
      <c r="Y101" s="181">
        <f>SUMIFS('FCST data'!AB:AB,'FCST data'!$D:$D,$F101,'FCST data'!$K:$K,$G101)</f>
        <v>0</v>
      </c>
      <c r="Z101" s="148"/>
      <c r="AA101" s="145">
        <f>E101-Z102-Z103</f>
        <v>0</v>
      </c>
    </row>
    <row r="102" spans="3:27" ht="14.4">
      <c r="C102" s="313"/>
      <c r="D102" s="284"/>
      <c r="E102" s="285"/>
      <c r="F102" s="286" t="s">
        <v>766</v>
      </c>
      <c r="G102" s="286" t="s">
        <v>1064</v>
      </c>
      <c r="H102" s="284" t="s">
        <v>712</v>
      </c>
      <c r="I102" s="284" t="s">
        <v>31</v>
      </c>
      <c r="J102" s="284" t="s">
        <v>32</v>
      </c>
      <c r="K102" s="310" t="s">
        <v>292</v>
      </c>
      <c r="L102" s="160"/>
      <c r="M102" s="177"/>
      <c r="N102" s="291">
        <v>0</v>
      </c>
      <c r="O102" s="291">
        <v>200</v>
      </c>
      <c r="P102" s="291">
        <v>0</v>
      </c>
      <c r="Q102" s="291">
        <v>100</v>
      </c>
      <c r="R102" s="291">
        <v>0</v>
      </c>
      <c r="S102" s="291">
        <v>0</v>
      </c>
      <c r="T102" s="291"/>
      <c r="U102" s="291"/>
      <c r="V102" s="291"/>
      <c r="W102" s="291"/>
      <c r="X102" s="291"/>
      <c r="Y102" s="291"/>
      <c r="Z102" s="177">
        <f>SUM(N102:Y102)</f>
        <v>300</v>
      </c>
      <c r="AA102" s="146"/>
    </row>
    <row r="103" spans="3:27" ht="14.4">
      <c r="C103" s="313"/>
      <c r="D103" s="284"/>
      <c r="E103" s="285"/>
      <c r="F103" s="286" t="s">
        <v>766</v>
      </c>
      <c r="G103" s="286" t="s">
        <v>1064</v>
      </c>
      <c r="H103" s="284" t="s">
        <v>713</v>
      </c>
      <c r="I103" s="284" t="s">
        <v>714</v>
      </c>
      <c r="J103" s="284" t="s">
        <v>32</v>
      </c>
      <c r="K103" s="310" t="s">
        <v>292</v>
      </c>
      <c r="L103" s="160"/>
      <c r="M103" s="179"/>
      <c r="N103" s="291"/>
      <c r="O103" s="291"/>
      <c r="P103" s="291"/>
      <c r="Q103" s="291"/>
      <c r="R103" s="291"/>
      <c r="S103" s="291"/>
      <c r="T103" s="291"/>
      <c r="U103" s="291"/>
      <c r="V103" s="291"/>
      <c r="W103" s="291"/>
      <c r="X103" s="291"/>
      <c r="Y103" s="291"/>
      <c r="Z103" s="177">
        <f>SUM(N103:Y103)</f>
        <v>0</v>
      </c>
      <c r="AA103" s="146"/>
    </row>
    <row r="104" spans="3:27" ht="15.6">
      <c r="C104" s="314" t="s">
        <v>267</v>
      </c>
      <c r="D104" s="174" t="s">
        <v>22</v>
      </c>
      <c r="E104" s="181">
        <f>SUM(N104:Y104)</f>
        <v>40700</v>
      </c>
      <c r="F104" s="175" t="s">
        <v>875</v>
      </c>
      <c r="G104" s="175" t="s">
        <v>365</v>
      </c>
      <c r="H104" s="309"/>
      <c r="I104" s="309"/>
      <c r="J104" s="309"/>
      <c r="K104" s="182"/>
      <c r="L104" s="182"/>
      <c r="M104" s="181"/>
      <c r="N104" s="181">
        <f>SUMIFS('FCST data'!Q:Q,'FCST data'!$D:$D,$F104,'FCST data'!$K:$K,$G104)</f>
        <v>0</v>
      </c>
      <c r="O104" s="181">
        <f>SUMIFS('FCST data'!R:R,'FCST data'!$D:$D,$F104,'FCST data'!$K:$K,$G104)</f>
        <v>0</v>
      </c>
      <c r="P104" s="181">
        <f>SUMIFS('FCST data'!S:S,'FCST data'!$D:$D,$F104,'FCST data'!$K:$K,$G104)</f>
        <v>0</v>
      </c>
      <c r="Q104" s="181">
        <f>SUMIFS('FCST data'!T:T,'FCST data'!$D:$D,$F104,'FCST data'!$K:$K,$G104)</f>
        <v>8500</v>
      </c>
      <c r="R104" s="181">
        <f>SUMIFS('FCST data'!U:U,'FCST data'!$D:$D,$F104,'FCST data'!$K:$K,$G104)</f>
        <v>8400</v>
      </c>
      <c r="S104" s="181">
        <f>SUMIFS('FCST data'!V:V,'FCST data'!$D:$D,$F104,'FCST data'!$K:$K,$G104)</f>
        <v>8500</v>
      </c>
      <c r="T104" s="181">
        <f>SUMIFS('FCST data'!W:W,'FCST data'!$D:$D,$F104,'FCST data'!$K:$K,$G104)</f>
        <v>7100</v>
      </c>
      <c r="U104" s="181">
        <f>SUMIFS('FCST data'!X:X,'FCST data'!$D:$D,$F104,'FCST data'!$K:$K,$G104)</f>
        <v>4100</v>
      </c>
      <c r="V104" s="181">
        <f>SUMIFS('FCST data'!Y:Y,'FCST data'!$D:$D,$F104,'FCST data'!$K:$K,$G104)</f>
        <v>4100</v>
      </c>
      <c r="W104" s="181">
        <f>SUMIFS('FCST data'!Z:Z,'FCST data'!$D:$D,$F104,'FCST data'!$K:$K,$G104)</f>
        <v>0</v>
      </c>
      <c r="X104" s="181">
        <f>SUMIFS('FCST data'!AA:AA,'FCST data'!$D:$D,$F104,'FCST data'!$K:$K,$G104)</f>
        <v>0</v>
      </c>
      <c r="Y104" s="181">
        <f>SUMIFS('FCST data'!AB:AB,'FCST data'!$D:$D,$F104,'FCST data'!$K:$K,$G104)</f>
        <v>0</v>
      </c>
      <c r="Z104" s="148"/>
      <c r="AA104" s="145">
        <f>E104-Z105-Z106</f>
        <v>0</v>
      </c>
    </row>
    <row r="105" spans="3:27" ht="14.4">
      <c r="C105" s="313"/>
      <c r="D105" s="284"/>
      <c r="E105" s="285"/>
      <c r="F105" s="286" t="s">
        <v>875</v>
      </c>
      <c r="G105" s="286" t="s">
        <v>365</v>
      </c>
      <c r="H105" s="284" t="s">
        <v>712</v>
      </c>
      <c r="I105" s="284" t="s">
        <v>31</v>
      </c>
      <c r="J105" s="284" t="s">
        <v>32</v>
      </c>
      <c r="K105" s="287"/>
      <c r="L105" s="160"/>
      <c r="M105" s="177"/>
      <c r="N105" s="291"/>
      <c r="O105" s="291"/>
      <c r="P105" s="291"/>
      <c r="Q105" s="291"/>
      <c r="R105" s="291"/>
      <c r="S105" s="291"/>
      <c r="T105" s="291"/>
      <c r="U105" s="291"/>
      <c r="V105" s="291"/>
      <c r="W105" s="291"/>
      <c r="X105" s="291"/>
      <c r="Y105" s="291"/>
      <c r="Z105" s="177">
        <f>SUM(N105:Y105)</f>
        <v>0</v>
      </c>
      <c r="AA105" s="146"/>
    </row>
    <row r="106" spans="3:27" ht="14.4">
      <c r="C106" s="313"/>
      <c r="D106" s="284"/>
      <c r="E106" s="285"/>
      <c r="F106" s="286" t="s">
        <v>875</v>
      </c>
      <c r="G106" s="286" t="s">
        <v>365</v>
      </c>
      <c r="H106" s="284" t="s">
        <v>713</v>
      </c>
      <c r="I106" s="284" t="s">
        <v>714</v>
      </c>
      <c r="J106" s="284" t="s">
        <v>32</v>
      </c>
      <c r="K106" s="287"/>
      <c r="L106" s="160"/>
      <c r="M106" s="179"/>
      <c r="N106" s="291"/>
      <c r="O106" s="291"/>
      <c r="P106" s="291"/>
      <c r="Q106" s="291">
        <v>8500</v>
      </c>
      <c r="R106" s="291">
        <v>8400</v>
      </c>
      <c r="S106" s="291">
        <v>8500</v>
      </c>
      <c r="T106" s="291">
        <v>7100</v>
      </c>
      <c r="U106" s="291">
        <v>4100</v>
      </c>
      <c r="V106" s="291">
        <v>4100</v>
      </c>
      <c r="W106" s="291"/>
      <c r="X106" s="291"/>
      <c r="Y106" s="291"/>
      <c r="Z106" s="177">
        <f>SUM(N106:Y106)</f>
        <v>40700</v>
      </c>
      <c r="AA106" s="146"/>
    </row>
    <row r="107" spans="3:27" ht="15.6">
      <c r="C107" s="314" t="s">
        <v>267</v>
      </c>
      <c r="D107" s="174" t="s">
        <v>22</v>
      </c>
      <c r="E107" s="181">
        <f>SUM(N107:Y107)</f>
        <v>48150</v>
      </c>
      <c r="F107" s="175" t="s">
        <v>875</v>
      </c>
      <c r="G107" s="175" t="s">
        <v>373</v>
      </c>
      <c r="H107" s="309"/>
      <c r="I107" s="309"/>
      <c r="J107" s="309"/>
      <c r="K107" s="182"/>
      <c r="L107" s="182"/>
      <c r="M107" s="181"/>
      <c r="N107" s="181">
        <f>SUMIFS('FCST data'!Q:Q,'FCST data'!$D:$D,$F107,'FCST data'!$K:$K,$G107)</f>
        <v>0</v>
      </c>
      <c r="O107" s="181">
        <f>SUMIFS('FCST data'!R:R,'FCST data'!$D:$D,$F107,'FCST data'!$K:$K,$G107)</f>
        <v>0</v>
      </c>
      <c r="P107" s="181">
        <f>SUMIFS('FCST data'!S:S,'FCST data'!$D:$D,$F107,'FCST data'!$K:$K,$G107)</f>
        <v>0</v>
      </c>
      <c r="Q107" s="181">
        <f>SUMIFS('FCST data'!T:T,'FCST data'!$D:$D,$F107,'FCST data'!$K:$K,$G107)</f>
        <v>2100</v>
      </c>
      <c r="R107" s="181">
        <f>SUMIFS('FCST data'!U:U,'FCST data'!$D:$D,$F107,'FCST data'!$K:$K,$G107)</f>
        <v>7800</v>
      </c>
      <c r="S107" s="181">
        <f>SUMIFS('FCST data'!V:V,'FCST data'!$D:$D,$F107,'FCST data'!$K:$K,$G107)</f>
        <v>7800</v>
      </c>
      <c r="T107" s="181">
        <f>SUMIFS('FCST data'!W:W,'FCST data'!$D:$D,$F107,'FCST data'!$K:$K,$G107)</f>
        <v>10150</v>
      </c>
      <c r="U107" s="181">
        <f>SUMIFS('FCST data'!X:X,'FCST data'!$D:$D,$F107,'FCST data'!$K:$K,$G107)</f>
        <v>10150</v>
      </c>
      <c r="V107" s="181">
        <f>SUMIFS('FCST data'!Y:Y,'FCST data'!$D:$D,$F107,'FCST data'!$K:$K,$G107)</f>
        <v>10150</v>
      </c>
      <c r="W107" s="181">
        <f>SUMIFS('FCST data'!Z:Z,'FCST data'!$D:$D,$F107,'FCST data'!$K:$K,$G107)</f>
        <v>0</v>
      </c>
      <c r="X107" s="181">
        <f>SUMIFS('FCST data'!AA:AA,'FCST data'!$D:$D,$F107,'FCST data'!$K:$K,$G107)</f>
        <v>0</v>
      </c>
      <c r="Y107" s="181">
        <f>SUMIFS('FCST data'!AB:AB,'FCST data'!$D:$D,$F107,'FCST data'!$K:$K,$G107)</f>
        <v>0</v>
      </c>
      <c r="Z107" s="148"/>
      <c r="AA107" s="145">
        <f>E107-Z108-Z109</f>
        <v>0</v>
      </c>
    </row>
    <row r="108" spans="3:27" ht="14.4">
      <c r="C108" s="313"/>
      <c r="D108" s="284"/>
      <c r="E108" s="285"/>
      <c r="F108" s="286" t="s">
        <v>875</v>
      </c>
      <c r="G108" s="286" t="s">
        <v>373</v>
      </c>
      <c r="H108" s="284" t="s">
        <v>712</v>
      </c>
      <c r="I108" s="284" t="s">
        <v>31</v>
      </c>
      <c r="J108" s="284" t="s">
        <v>32</v>
      </c>
      <c r="K108" s="287"/>
      <c r="L108" s="160"/>
      <c r="M108" s="177"/>
      <c r="N108" s="291"/>
      <c r="O108" s="291"/>
      <c r="P108" s="291"/>
      <c r="Q108" s="291"/>
      <c r="R108" s="291"/>
      <c r="S108" s="291"/>
      <c r="T108" s="291"/>
      <c r="U108" s="291"/>
      <c r="V108" s="291"/>
      <c r="W108" s="291"/>
      <c r="X108" s="291"/>
      <c r="Y108" s="291"/>
      <c r="Z108" s="177">
        <f>SUM(N108:Y108)</f>
        <v>0</v>
      </c>
      <c r="AA108" s="146"/>
    </row>
    <row r="109" spans="3:27" ht="14.4">
      <c r="C109" s="313"/>
      <c r="D109" s="284"/>
      <c r="E109" s="285"/>
      <c r="F109" s="286" t="s">
        <v>875</v>
      </c>
      <c r="G109" s="286" t="s">
        <v>373</v>
      </c>
      <c r="H109" s="284" t="s">
        <v>713</v>
      </c>
      <c r="I109" s="284" t="s">
        <v>714</v>
      </c>
      <c r="J109" s="284" t="s">
        <v>32</v>
      </c>
      <c r="K109" s="287"/>
      <c r="L109" s="160"/>
      <c r="M109" s="179"/>
      <c r="N109" s="291"/>
      <c r="O109" s="291"/>
      <c r="P109" s="291"/>
      <c r="Q109" s="291">
        <v>2100</v>
      </c>
      <c r="R109" s="291">
        <v>7800</v>
      </c>
      <c r="S109" s="291">
        <v>7800</v>
      </c>
      <c r="T109" s="291">
        <v>10150</v>
      </c>
      <c r="U109" s="291">
        <v>10150</v>
      </c>
      <c r="V109" s="291">
        <v>10150</v>
      </c>
      <c r="W109" s="291"/>
      <c r="X109" s="291"/>
      <c r="Y109" s="291"/>
      <c r="Z109" s="177">
        <f>SUM(N109:Y109)</f>
        <v>48150</v>
      </c>
      <c r="AA109" s="146"/>
    </row>
    <row r="110" spans="3:27" ht="15.6">
      <c r="C110" s="314" t="s">
        <v>267</v>
      </c>
      <c r="D110" s="174" t="s">
        <v>22</v>
      </c>
      <c r="E110" s="181">
        <f>SUM(N110:Y110)</f>
        <v>1700</v>
      </c>
      <c r="F110" s="175" t="s">
        <v>876</v>
      </c>
      <c r="G110" s="175" t="s">
        <v>373</v>
      </c>
      <c r="H110" s="309"/>
      <c r="I110" s="309"/>
      <c r="J110" s="309"/>
      <c r="K110" s="182"/>
      <c r="L110" s="182"/>
      <c r="M110" s="181"/>
      <c r="N110" s="181">
        <f>SUMIFS('FCST data'!Q:Q,'FCST data'!$D:$D,$F110,'FCST data'!$K:$K,$G110)</f>
        <v>0</v>
      </c>
      <c r="O110" s="181">
        <f>SUMIFS('FCST data'!R:R,'FCST data'!$D:$D,$F110,'FCST data'!$K:$K,$G110)</f>
        <v>0</v>
      </c>
      <c r="P110" s="181">
        <f>SUMIFS('FCST data'!S:S,'FCST data'!$D:$D,$F110,'FCST data'!$K:$K,$G110)</f>
        <v>0</v>
      </c>
      <c r="Q110" s="181">
        <f>SUMIFS('FCST data'!T:T,'FCST data'!$D:$D,$F110,'FCST data'!$K:$K,$G110)</f>
        <v>300</v>
      </c>
      <c r="R110" s="181">
        <f>SUMIFS('FCST data'!U:U,'FCST data'!$D:$D,$F110,'FCST data'!$K:$K,$G110)</f>
        <v>300</v>
      </c>
      <c r="S110" s="181">
        <f>SUMIFS('FCST data'!V:V,'FCST data'!$D:$D,$F110,'FCST data'!$K:$K,$G110)</f>
        <v>300</v>
      </c>
      <c r="T110" s="181">
        <f>SUMIFS('FCST data'!W:W,'FCST data'!$D:$D,$F110,'FCST data'!$K:$K,$G110)</f>
        <v>200</v>
      </c>
      <c r="U110" s="181">
        <f>SUMIFS('FCST data'!X:X,'FCST data'!$D:$D,$F110,'FCST data'!$K:$K,$G110)</f>
        <v>300</v>
      </c>
      <c r="V110" s="181">
        <f>SUMIFS('FCST data'!Y:Y,'FCST data'!$D:$D,$F110,'FCST data'!$K:$K,$G110)</f>
        <v>300</v>
      </c>
      <c r="W110" s="181">
        <f>SUMIFS('FCST data'!Z:Z,'FCST data'!$D:$D,$F110,'FCST data'!$K:$K,$G110)</f>
        <v>0</v>
      </c>
      <c r="X110" s="181">
        <f>SUMIFS('FCST data'!AA:AA,'FCST data'!$D:$D,$F110,'FCST data'!$K:$K,$G110)</f>
        <v>0</v>
      </c>
      <c r="Y110" s="181">
        <f>SUMIFS('FCST data'!AB:AB,'FCST data'!$D:$D,$F110,'FCST data'!$K:$K,$G110)</f>
        <v>0</v>
      </c>
      <c r="Z110" s="148"/>
      <c r="AA110" s="145">
        <f>E110-Z111-Z112</f>
        <v>0</v>
      </c>
    </row>
    <row r="111" spans="3:27" ht="14.4">
      <c r="C111" s="313"/>
      <c r="D111" s="284"/>
      <c r="E111" s="285"/>
      <c r="F111" s="286" t="s">
        <v>876</v>
      </c>
      <c r="G111" s="286" t="s">
        <v>373</v>
      </c>
      <c r="H111" s="284" t="s">
        <v>712</v>
      </c>
      <c r="I111" s="284" t="s">
        <v>31</v>
      </c>
      <c r="J111" s="284" t="s">
        <v>32</v>
      </c>
      <c r="K111" s="287"/>
      <c r="L111" s="160"/>
      <c r="M111" s="177"/>
      <c r="N111" s="291"/>
      <c r="O111" s="291"/>
      <c r="P111" s="291"/>
      <c r="Q111" s="291"/>
      <c r="R111" s="291"/>
      <c r="S111" s="291"/>
      <c r="T111" s="291"/>
      <c r="U111" s="291"/>
      <c r="V111" s="291"/>
      <c r="W111" s="291"/>
      <c r="X111" s="291"/>
      <c r="Y111" s="291"/>
      <c r="Z111" s="177">
        <f>SUM(N111:Y111)</f>
        <v>0</v>
      </c>
      <c r="AA111" s="146"/>
    </row>
    <row r="112" spans="3:27" ht="14.4">
      <c r="C112" s="313"/>
      <c r="D112" s="284"/>
      <c r="E112" s="285"/>
      <c r="F112" s="286" t="s">
        <v>876</v>
      </c>
      <c r="G112" s="286" t="s">
        <v>373</v>
      </c>
      <c r="H112" s="284" t="s">
        <v>713</v>
      </c>
      <c r="I112" s="284" t="s">
        <v>714</v>
      </c>
      <c r="J112" s="284" t="s">
        <v>32</v>
      </c>
      <c r="K112" s="287"/>
      <c r="L112" s="160"/>
      <c r="M112" s="179"/>
      <c r="N112" s="291"/>
      <c r="O112" s="291"/>
      <c r="P112" s="291"/>
      <c r="Q112" s="291">
        <v>300</v>
      </c>
      <c r="R112" s="291">
        <v>300</v>
      </c>
      <c r="S112" s="291">
        <v>300</v>
      </c>
      <c r="T112" s="291">
        <v>200</v>
      </c>
      <c r="U112" s="291">
        <v>300</v>
      </c>
      <c r="V112" s="291">
        <v>300</v>
      </c>
      <c r="W112" s="291"/>
      <c r="X112" s="291"/>
      <c r="Y112" s="291"/>
      <c r="Z112" s="177">
        <f>SUM(N112:Y112)</f>
        <v>1700</v>
      </c>
      <c r="AA112" s="146"/>
    </row>
    <row r="113" spans="3:27" ht="15.6">
      <c r="C113" s="314" t="s">
        <v>267</v>
      </c>
      <c r="D113" s="174" t="s">
        <v>22</v>
      </c>
      <c r="E113" s="181">
        <f>SUM(N113:Y113)</f>
        <v>8200</v>
      </c>
      <c r="F113" s="175" t="s">
        <v>910</v>
      </c>
      <c r="G113" s="175" t="s">
        <v>622</v>
      </c>
      <c r="H113" s="309"/>
      <c r="I113" s="309"/>
      <c r="J113" s="309"/>
      <c r="K113" s="182"/>
      <c r="L113" s="182"/>
      <c r="M113" s="181"/>
      <c r="N113" s="181">
        <f>SUMIFS('FCST data'!Q:Q,'FCST data'!$D:$D,$F113,'FCST data'!$K:$K,$G113)</f>
        <v>0</v>
      </c>
      <c r="O113" s="181">
        <f>SUMIFS('FCST data'!R:R,'FCST data'!$D:$D,$F113,'FCST data'!$K:$K,$G113)</f>
        <v>0</v>
      </c>
      <c r="P113" s="181">
        <f>SUMIFS('FCST data'!S:S,'FCST data'!$D:$D,$F113,'FCST data'!$K:$K,$G113)</f>
        <v>0</v>
      </c>
      <c r="Q113" s="181">
        <f>SUMIFS('FCST data'!T:T,'FCST data'!$D:$D,$F113,'FCST data'!$K:$K,$G113)</f>
        <v>1200</v>
      </c>
      <c r="R113" s="181">
        <f>SUMIFS('FCST data'!U:U,'FCST data'!$D:$D,$F113,'FCST data'!$K:$K,$G113)</f>
        <v>1200</v>
      </c>
      <c r="S113" s="181">
        <f>SUMIFS('FCST data'!V:V,'FCST data'!$D:$D,$F113,'FCST data'!$K:$K,$G113)</f>
        <v>1200</v>
      </c>
      <c r="T113" s="181">
        <f>SUMIFS('FCST data'!W:W,'FCST data'!$D:$D,$F113,'FCST data'!$K:$K,$G113)</f>
        <v>1400</v>
      </c>
      <c r="U113" s="181">
        <f>SUMIFS('FCST data'!X:X,'FCST data'!$D:$D,$F113,'FCST data'!$K:$K,$G113)</f>
        <v>1600</v>
      </c>
      <c r="V113" s="181">
        <f>SUMIFS('FCST data'!Y:Y,'FCST data'!$D:$D,$F113,'FCST data'!$K:$K,$G113)</f>
        <v>1600</v>
      </c>
      <c r="W113" s="181">
        <f>SUMIFS('FCST data'!Z:Z,'FCST data'!$D:$D,$F113,'FCST data'!$K:$K,$G113)</f>
        <v>0</v>
      </c>
      <c r="X113" s="181">
        <f>SUMIFS('FCST data'!AA:AA,'FCST data'!$D:$D,$F113,'FCST data'!$K:$K,$G113)</f>
        <v>0</v>
      </c>
      <c r="Y113" s="181">
        <f>SUMIFS('FCST data'!AB:AB,'FCST data'!$D:$D,$F113,'FCST data'!$K:$K,$G113)</f>
        <v>0</v>
      </c>
      <c r="Z113" s="148"/>
      <c r="AA113" s="145">
        <f>E113-Z114-Z115</f>
        <v>0</v>
      </c>
    </row>
    <row r="114" spans="3:27" ht="14.4">
      <c r="C114" s="313"/>
      <c r="D114" s="284"/>
      <c r="E114" s="285"/>
      <c r="F114" s="286" t="s">
        <v>910</v>
      </c>
      <c r="G114" s="286" t="s">
        <v>622</v>
      </c>
      <c r="H114" s="284" t="s">
        <v>712</v>
      </c>
      <c r="I114" s="284" t="s">
        <v>31</v>
      </c>
      <c r="J114" s="284" t="s">
        <v>32</v>
      </c>
      <c r="K114" s="287"/>
      <c r="L114" s="160"/>
      <c r="M114" s="177"/>
      <c r="N114" s="291"/>
      <c r="O114" s="291"/>
      <c r="P114" s="291"/>
      <c r="Q114" s="291"/>
      <c r="R114" s="291"/>
      <c r="S114" s="291"/>
      <c r="T114" s="291"/>
      <c r="U114" s="291"/>
      <c r="V114" s="291"/>
      <c r="W114" s="291"/>
      <c r="X114" s="291"/>
      <c r="Y114" s="291"/>
      <c r="Z114" s="177">
        <f>SUM(N114:Y114)</f>
        <v>0</v>
      </c>
      <c r="AA114" s="146"/>
    </row>
    <row r="115" spans="3:27" ht="14.4">
      <c r="C115" s="313"/>
      <c r="D115" s="284"/>
      <c r="E115" s="285"/>
      <c r="F115" s="286" t="s">
        <v>910</v>
      </c>
      <c r="G115" s="286" t="s">
        <v>622</v>
      </c>
      <c r="H115" s="284" t="s">
        <v>713</v>
      </c>
      <c r="I115" s="284" t="s">
        <v>714</v>
      </c>
      <c r="J115" s="284" t="s">
        <v>32</v>
      </c>
      <c r="K115" s="287"/>
      <c r="L115" s="160"/>
      <c r="M115" s="179"/>
      <c r="N115" s="291"/>
      <c r="O115" s="291"/>
      <c r="P115" s="291"/>
      <c r="Q115" s="291">
        <v>1200</v>
      </c>
      <c r="R115" s="291">
        <v>1200</v>
      </c>
      <c r="S115" s="291">
        <v>1200</v>
      </c>
      <c r="T115" s="291">
        <v>1400</v>
      </c>
      <c r="U115" s="291">
        <v>1600</v>
      </c>
      <c r="V115" s="291">
        <v>1600</v>
      </c>
      <c r="W115" s="291"/>
      <c r="X115" s="291"/>
      <c r="Y115" s="291"/>
      <c r="Z115" s="177">
        <f>SUM(N115:Y115)</f>
        <v>8200</v>
      </c>
      <c r="AA115" s="146"/>
    </row>
    <row r="116" spans="3:27" ht="15.6">
      <c r="C116" s="314" t="s">
        <v>267</v>
      </c>
      <c r="D116" s="174" t="s">
        <v>22</v>
      </c>
      <c r="E116" s="181">
        <f>SUM(N116:Y116)</f>
        <v>1700</v>
      </c>
      <c r="F116" s="175" t="s">
        <v>1017</v>
      </c>
      <c r="G116" s="175" t="s">
        <v>530</v>
      </c>
      <c r="H116" s="309"/>
      <c r="I116" s="309"/>
      <c r="J116" s="309"/>
      <c r="K116" s="182"/>
      <c r="L116" s="182"/>
      <c r="M116" s="181"/>
      <c r="N116" s="181">
        <f>SUMIFS('FCST data'!Q:Q,'FCST data'!$D:$D,$F116,'FCST data'!$K:$K,$G116)</f>
        <v>0</v>
      </c>
      <c r="O116" s="181">
        <f>SUMIFS('FCST data'!R:R,'FCST data'!$D:$D,$F116,'FCST data'!$K:$K,$G116)</f>
        <v>0</v>
      </c>
      <c r="P116" s="181">
        <f>SUMIFS('FCST data'!S:S,'FCST data'!$D:$D,$F116,'FCST data'!$K:$K,$G116)</f>
        <v>0</v>
      </c>
      <c r="Q116" s="181">
        <f>SUMIFS('FCST data'!T:T,'FCST data'!$D:$D,$F116,'FCST data'!$K:$K,$G116)</f>
        <v>0</v>
      </c>
      <c r="R116" s="181">
        <f>SUMIFS('FCST data'!U:U,'FCST data'!$D:$D,$F116,'FCST data'!$K:$K,$G116)</f>
        <v>300</v>
      </c>
      <c r="S116" s="181">
        <f>SUMIFS('FCST data'!V:V,'FCST data'!$D:$D,$F116,'FCST data'!$K:$K,$G116)</f>
        <v>300</v>
      </c>
      <c r="T116" s="181">
        <f>SUMIFS('FCST data'!W:W,'FCST data'!$D:$D,$F116,'FCST data'!$K:$K,$G116)</f>
        <v>300</v>
      </c>
      <c r="U116" s="181">
        <f>SUMIFS('FCST data'!X:X,'FCST data'!$D:$D,$F116,'FCST data'!$K:$K,$G116)</f>
        <v>400</v>
      </c>
      <c r="V116" s="181">
        <f>SUMIFS('FCST data'!Y:Y,'FCST data'!$D:$D,$F116,'FCST data'!$K:$K,$G116)</f>
        <v>400</v>
      </c>
      <c r="W116" s="181">
        <f>SUMIFS('FCST data'!Z:Z,'FCST data'!$D:$D,$F116,'FCST data'!$K:$K,$G116)</f>
        <v>0</v>
      </c>
      <c r="X116" s="181">
        <f>SUMIFS('FCST data'!AA:AA,'FCST data'!$D:$D,$F116,'FCST data'!$K:$K,$G116)</f>
        <v>0</v>
      </c>
      <c r="Y116" s="181">
        <f>SUMIFS('FCST data'!AB:AB,'FCST data'!$D:$D,$F116,'FCST data'!$K:$K,$G116)</f>
        <v>0</v>
      </c>
      <c r="Z116" s="148"/>
      <c r="AA116" s="145">
        <f>E116-Z117-Z118</f>
        <v>0</v>
      </c>
    </row>
    <row r="117" spans="3:27" ht="14.4">
      <c r="C117" s="313"/>
      <c r="D117" s="284"/>
      <c r="E117" s="285"/>
      <c r="F117" s="286" t="s">
        <v>1016</v>
      </c>
      <c r="G117" s="286" t="s">
        <v>530</v>
      </c>
      <c r="H117" s="284" t="s">
        <v>712</v>
      </c>
      <c r="I117" s="284" t="s">
        <v>31</v>
      </c>
      <c r="J117" s="284" t="s">
        <v>32</v>
      </c>
      <c r="K117" s="287"/>
      <c r="L117" s="160"/>
      <c r="M117" s="177"/>
      <c r="N117" s="291"/>
      <c r="O117" s="291"/>
      <c r="P117" s="291"/>
      <c r="Q117" s="291"/>
      <c r="R117" s="291"/>
      <c r="S117" s="291"/>
      <c r="T117" s="291"/>
      <c r="U117" s="291"/>
      <c r="V117" s="291"/>
      <c r="W117" s="291"/>
      <c r="X117" s="291"/>
      <c r="Y117" s="291"/>
      <c r="Z117" s="177">
        <f>SUM(N117:Y117)</f>
        <v>0</v>
      </c>
      <c r="AA117" s="146"/>
    </row>
    <row r="118" spans="3:27" ht="14.4">
      <c r="C118" s="313"/>
      <c r="D118" s="284"/>
      <c r="E118" s="285"/>
      <c r="F118" s="286" t="s">
        <v>1016</v>
      </c>
      <c r="G118" s="286" t="s">
        <v>530</v>
      </c>
      <c r="H118" s="284" t="s">
        <v>713</v>
      </c>
      <c r="I118" s="284" t="s">
        <v>714</v>
      </c>
      <c r="J118" s="284" t="s">
        <v>32</v>
      </c>
      <c r="K118" s="287"/>
      <c r="L118" s="160"/>
      <c r="M118" s="179"/>
      <c r="N118" s="291"/>
      <c r="O118" s="291"/>
      <c r="P118" s="291"/>
      <c r="Q118" s="291"/>
      <c r="R118" s="291">
        <v>300</v>
      </c>
      <c r="S118" s="291">
        <v>300</v>
      </c>
      <c r="T118" s="291">
        <v>300</v>
      </c>
      <c r="U118" s="291">
        <v>400</v>
      </c>
      <c r="V118" s="291">
        <v>400</v>
      </c>
      <c r="W118" s="291"/>
      <c r="X118" s="291"/>
      <c r="Y118" s="291"/>
      <c r="Z118" s="177">
        <f>SUM(N118:Y118)</f>
        <v>1700</v>
      </c>
      <c r="AA118" s="146"/>
    </row>
    <row r="119" spans="3:27" ht="15.6">
      <c r="C119" s="314" t="s">
        <v>267</v>
      </c>
      <c r="D119" s="174" t="s">
        <v>22</v>
      </c>
      <c r="E119" s="181">
        <f>SUM(N119:Y119)</f>
        <v>300</v>
      </c>
      <c r="F119" s="175" t="s">
        <v>989</v>
      </c>
      <c r="G119" s="175" t="s">
        <v>622</v>
      </c>
      <c r="H119" s="309"/>
      <c r="I119" s="309"/>
      <c r="J119" s="309"/>
      <c r="K119" s="182"/>
      <c r="L119" s="182"/>
      <c r="M119" s="181"/>
      <c r="N119" s="181">
        <f>SUMIFS('FCST data'!Q:Q,'FCST data'!$D:$D,$F119,'FCST data'!$K:$K,$G119)</f>
        <v>0</v>
      </c>
      <c r="O119" s="181">
        <f>SUMIFS('FCST data'!R:R,'FCST data'!$D:$D,$F119,'FCST data'!$K:$K,$G119)</f>
        <v>0</v>
      </c>
      <c r="P119" s="181">
        <f>SUMIFS('FCST data'!S:S,'FCST data'!$D:$D,$F119,'FCST data'!$K:$K,$G119)</f>
        <v>0</v>
      </c>
      <c r="Q119" s="181">
        <f>SUMIFS('FCST data'!T:T,'FCST data'!$D:$D,$F119,'FCST data'!$K:$K,$G119)</f>
        <v>0</v>
      </c>
      <c r="R119" s="181">
        <f>SUMIFS('FCST data'!U:U,'FCST data'!$D:$D,$F119,'FCST data'!$K:$K,$G119)</f>
        <v>0</v>
      </c>
      <c r="S119" s="181">
        <f>SUMIFS('FCST data'!V:V,'FCST data'!$D:$D,$F119,'FCST data'!$K:$K,$G119)</f>
        <v>0</v>
      </c>
      <c r="T119" s="181">
        <f>SUMIFS('FCST data'!W:W,'FCST data'!$D:$D,$F119,'FCST data'!$K:$K,$G119)</f>
        <v>0</v>
      </c>
      <c r="U119" s="181">
        <f>SUMIFS('FCST data'!X:X,'FCST data'!$D:$D,$F119,'FCST data'!$K:$K,$G119)</f>
        <v>150</v>
      </c>
      <c r="V119" s="181">
        <f>SUMIFS('FCST data'!Y:Y,'FCST data'!$D:$D,$F119,'FCST data'!$K:$K,$G119)</f>
        <v>150</v>
      </c>
      <c r="W119" s="181">
        <f>SUMIFS('FCST data'!Z:Z,'FCST data'!$D:$D,$F119,'FCST data'!$K:$K,$G119)</f>
        <v>0</v>
      </c>
      <c r="X119" s="181">
        <f>SUMIFS('FCST data'!AA:AA,'FCST data'!$D:$D,$F119,'FCST data'!$K:$K,$G119)</f>
        <v>0</v>
      </c>
      <c r="Y119" s="181">
        <f>SUMIFS('FCST data'!AB:AB,'FCST data'!$D:$D,$F119,'FCST data'!$K:$K,$G119)</f>
        <v>0</v>
      </c>
      <c r="Z119" s="148"/>
      <c r="AA119" s="145">
        <f>E119-Z120-Z121</f>
        <v>0</v>
      </c>
    </row>
    <row r="120" spans="3:27" ht="14.4">
      <c r="C120" s="313"/>
      <c r="D120" s="284"/>
      <c r="E120" s="285"/>
      <c r="F120" s="286" t="s">
        <v>989</v>
      </c>
      <c r="G120" s="286" t="s">
        <v>622</v>
      </c>
      <c r="H120" s="284" t="s">
        <v>712</v>
      </c>
      <c r="I120" s="284" t="s">
        <v>31</v>
      </c>
      <c r="J120" s="284" t="s">
        <v>32</v>
      </c>
      <c r="K120" s="310" t="s">
        <v>292</v>
      </c>
      <c r="L120" s="160"/>
      <c r="M120" s="177"/>
      <c r="N120" s="291"/>
      <c r="O120" s="291"/>
      <c r="P120" s="291"/>
      <c r="Q120" s="291"/>
      <c r="R120" s="291"/>
      <c r="S120" s="291"/>
      <c r="T120" s="291"/>
      <c r="U120" s="291">
        <v>150</v>
      </c>
      <c r="V120" s="291">
        <v>150</v>
      </c>
      <c r="W120" s="291"/>
      <c r="X120" s="291"/>
      <c r="Y120" s="291"/>
      <c r="Z120" s="177">
        <f>SUM(N120:Y120)</f>
        <v>300</v>
      </c>
      <c r="AA120" s="146"/>
    </row>
    <row r="121" spans="3:27" ht="14.4">
      <c r="C121" s="313"/>
      <c r="D121" s="284"/>
      <c r="E121" s="285"/>
      <c r="F121" s="286" t="s">
        <v>989</v>
      </c>
      <c r="G121" s="286" t="s">
        <v>622</v>
      </c>
      <c r="H121" s="284" t="s">
        <v>713</v>
      </c>
      <c r="I121" s="284" t="s">
        <v>714</v>
      </c>
      <c r="J121" s="284" t="s">
        <v>32</v>
      </c>
      <c r="K121" s="310" t="s">
        <v>292</v>
      </c>
      <c r="L121" s="160"/>
      <c r="M121" s="179"/>
      <c r="N121" s="291"/>
      <c r="O121" s="291"/>
      <c r="P121" s="291"/>
      <c r="Q121" s="291"/>
      <c r="R121" s="291"/>
      <c r="S121" s="291"/>
      <c r="T121" s="291"/>
      <c r="U121" s="291"/>
      <c r="V121" s="291"/>
      <c r="W121" s="291"/>
      <c r="X121" s="291"/>
      <c r="Y121" s="291"/>
      <c r="Z121" s="177">
        <f>SUM(N121:Y121)</f>
        <v>0</v>
      </c>
      <c r="AA121" s="146"/>
    </row>
    <row r="122" spans="3:27" ht="15.6">
      <c r="C122" s="314" t="s">
        <v>267</v>
      </c>
      <c r="D122" s="174" t="s">
        <v>22</v>
      </c>
      <c r="E122" s="181">
        <f>SUM(N122:Y122)</f>
        <v>2150</v>
      </c>
      <c r="F122" s="175" t="s">
        <v>990</v>
      </c>
      <c r="G122" s="175" t="s">
        <v>1064</v>
      </c>
      <c r="H122" s="309"/>
      <c r="I122" s="309"/>
      <c r="J122" s="309"/>
      <c r="K122" s="182"/>
      <c r="L122" s="182"/>
      <c r="M122" s="181"/>
      <c r="N122" s="181">
        <f>SUMIFS('FCST data'!Q:Q,'FCST data'!$D:$D,$F122,'FCST data'!$K:$K,$G122)</f>
        <v>0</v>
      </c>
      <c r="O122" s="181">
        <f>SUMIFS('FCST data'!R:R,'FCST data'!$D:$D,$F122,'FCST data'!$K:$K,$G122)</f>
        <v>0</v>
      </c>
      <c r="P122" s="181">
        <f>SUMIFS('FCST data'!S:S,'FCST data'!$D:$D,$F122,'FCST data'!$K:$K,$G122)</f>
        <v>0</v>
      </c>
      <c r="Q122" s="181">
        <f>SUMIFS('FCST data'!T:T,'FCST data'!$D:$D,$F122,'FCST data'!$K:$K,$G122)</f>
        <v>0</v>
      </c>
      <c r="R122" s="181">
        <f>SUMIFS('FCST data'!U:U,'FCST data'!$D:$D,$F122,'FCST data'!$K:$K,$G122)</f>
        <v>0</v>
      </c>
      <c r="S122" s="181">
        <f>SUMIFS('FCST data'!V:V,'FCST data'!$D:$D,$F122,'FCST data'!$K:$K,$G122)</f>
        <v>0</v>
      </c>
      <c r="T122" s="181">
        <f>SUMIFS('FCST data'!W:W,'FCST data'!$D:$D,$F122,'FCST data'!$K:$K,$G122)</f>
        <v>650</v>
      </c>
      <c r="U122" s="181">
        <f>SUMIFS('FCST data'!X:X,'FCST data'!$D:$D,$F122,'FCST data'!$K:$K,$G122)</f>
        <v>750</v>
      </c>
      <c r="V122" s="181">
        <f>SUMIFS('FCST data'!Y:Y,'FCST data'!$D:$D,$F122,'FCST data'!$K:$K,$G122)</f>
        <v>750</v>
      </c>
      <c r="W122" s="181">
        <f>SUMIFS('FCST data'!Z:Z,'FCST data'!$D:$D,$F122,'FCST data'!$K:$K,$G122)</f>
        <v>0</v>
      </c>
      <c r="X122" s="181">
        <f>SUMIFS('FCST data'!AA:AA,'FCST data'!$D:$D,$F122,'FCST data'!$K:$K,$G122)</f>
        <v>0</v>
      </c>
      <c r="Y122" s="181">
        <f>SUMIFS('FCST data'!AB:AB,'FCST data'!$D:$D,$F122,'FCST data'!$K:$K,$G122)</f>
        <v>0</v>
      </c>
      <c r="Z122" s="148"/>
      <c r="AA122" s="145">
        <f>E122-Z123-Z124</f>
        <v>0</v>
      </c>
    </row>
    <row r="123" spans="3:27" ht="14.4">
      <c r="C123" s="313"/>
      <c r="D123" s="284"/>
      <c r="E123" s="285"/>
      <c r="F123" s="286" t="s">
        <v>990</v>
      </c>
      <c r="G123" s="286" t="s">
        <v>1064</v>
      </c>
      <c r="H123" s="284" t="s">
        <v>712</v>
      </c>
      <c r="I123" s="284" t="s">
        <v>31</v>
      </c>
      <c r="J123" s="284" t="s">
        <v>32</v>
      </c>
      <c r="K123" s="287"/>
      <c r="L123" s="160"/>
      <c r="M123" s="177"/>
      <c r="N123" s="291"/>
      <c r="O123" s="291"/>
      <c r="P123" s="291"/>
      <c r="Q123" s="291"/>
      <c r="R123" s="291"/>
      <c r="S123" s="291"/>
      <c r="T123" s="291"/>
      <c r="U123" s="291"/>
      <c r="V123" s="291"/>
      <c r="W123" s="291"/>
      <c r="X123" s="291"/>
      <c r="Y123" s="291"/>
      <c r="Z123" s="177">
        <f>SUM(N123:Y123)</f>
        <v>0</v>
      </c>
      <c r="AA123" s="146"/>
    </row>
    <row r="124" spans="3:27" ht="14.4">
      <c r="C124" s="313"/>
      <c r="D124" s="284"/>
      <c r="E124" s="285"/>
      <c r="F124" s="286" t="s">
        <v>990</v>
      </c>
      <c r="G124" s="286" t="s">
        <v>1064</v>
      </c>
      <c r="H124" s="284" t="s">
        <v>713</v>
      </c>
      <c r="I124" s="284" t="s">
        <v>714</v>
      </c>
      <c r="J124" s="284" t="s">
        <v>32</v>
      </c>
      <c r="K124" s="287"/>
      <c r="L124" s="160"/>
      <c r="M124" s="179"/>
      <c r="N124" s="291"/>
      <c r="O124" s="291"/>
      <c r="P124" s="291"/>
      <c r="Q124" s="291"/>
      <c r="R124" s="291"/>
      <c r="S124" s="291"/>
      <c r="T124" s="291">
        <v>650</v>
      </c>
      <c r="U124" s="291">
        <v>750</v>
      </c>
      <c r="V124" s="291">
        <v>750</v>
      </c>
      <c r="W124" s="291"/>
      <c r="X124" s="291"/>
      <c r="Y124" s="291"/>
      <c r="Z124" s="177">
        <f>SUM(N124:Y124)</f>
        <v>2150</v>
      </c>
      <c r="AA124" s="146"/>
    </row>
    <row r="125" spans="3:27" ht="15.6">
      <c r="C125" s="314" t="s">
        <v>267</v>
      </c>
      <c r="D125" s="174" t="s">
        <v>22</v>
      </c>
      <c r="E125" s="181">
        <f>SUM(N125:Y125)</f>
        <v>400</v>
      </c>
      <c r="F125" s="175" t="s">
        <v>1018</v>
      </c>
      <c r="G125" s="175" t="s">
        <v>1065</v>
      </c>
      <c r="H125" s="309"/>
      <c r="I125" s="309"/>
      <c r="J125" s="309"/>
      <c r="K125" s="182"/>
      <c r="L125" s="182"/>
      <c r="M125" s="181"/>
      <c r="N125" s="181">
        <f>SUMIFS('FCST data'!Q:Q,'FCST data'!$D:$D,$F125,'FCST data'!$K:$K,$G125)</f>
        <v>0</v>
      </c>
      <c r="O125" s="181">
        <f>SUMIFS('FCST data'!R:R,'FCST data'!$D:$D,$F125,'FCST data'!$K:$K,$G125)</f>
        <v>0</v>
      </c>
      <c r="P125" s="181">
        <f>SUMIFS('FCST data'!S:S,'FCST data'!$D:$D,$F125,'FCST data'!$K:$K,$G125)</f>
        <v>0</v>
      </c>
      <c r="Q125" s="181">
        <f>SUMIFS('FCST data'!T:T,'FCST data'!$D:$D,$F125,'FCST data'!$K:$K,$G125)</f>
        <v>0</v>
      </c>
      <c r="R125" s="181">
        <f>SUMIFS('FCST data'!U:U,'FCST data'!$D:$D,$F125,'FCST data'!$K:$K,$G125)</f>
        <v>0</v>
      </c>
      <c r="S125" s="181">
        <f>SUMIFS('FCST data'!V:V,'FCST data'!$D:$D,$F125,'FCST data'!$K:$K,$G125)</f>
        <v>0</v>
      </c>
      <c r="T125" s="181">
        <f>SUMIFS('FCST data'!W:W,'FCST data'!$D:$D,$F125,'FCST data'!$K:$K,$G125)</f>
        <v>200</v>
      </c>
      <c r="U125" s="181">
        <f>SUMIFS('FCST data'!X:X,'FCST data'!$D:$D,$F125,'FCST data'!$K:$K,$G125)</f>
        <v>100</v>
      </c>
      <c r="V125" s="181">
        <f>SUMIFS('FCST data'!Y:Y,'FCST data'!$D:$D,$F125,'FCST data'!$K:$K,$G125)</f>
        <v>100</v>
      </c>
      <c r="W125" s="181">
        <f>SUMIFS('FCST data'!Z:Z,'FCST data'!$D:$D,$F125,'FCST data'!$K:$K,$G125)</f>
        <v>0</v>
      </c>
      <c r="X125" s="181">
        <f>SUMIFS('FCST data'!AA:AA,'FCST data'!$D:$D,$F125,'FCST data'!$K:$K,$G125)</f>
        <v>0</v>
      </c>
      <c r="Y125" s="181">
        <f>SUMIFS('FCST data'!AB:AB,'FCST data'!$D:$D,$F125,'FCST data'!$K:$K,$G125)</f>
        <v>0</v>
      </c>
      <c r="Z125" s="148"/>
      <c r="AA125" s="145">
        <f>E125-Z126-Z127</f>
        <v>0</v>
      </c>
    </row>
    <row r="126" spans="3:27" ht="14.4">
      <c r="C126" s="313"/>
      <c r="D126" s="284"/>
      <c r="E126" s="285"/>
      <c r="F126" s="286" t="s">
        <v>1018</v>
      </c>
      <c r="G126" s="286" t="s">
        <v>1065</v>
      </c>
      <c r="H126" s="284" t="s">
        <v>712</v>
      </c>
      <c r="I126" s="284" t="s">
        <v>31</v>
      </c>
      <c r="J126" s="284" t="s">
        <v>32</v>
      </c>
      <c r="K126" s="310" t="s">
        <v>292</v>
      </c>
      <c r="L126" s="160"/>
      <c r="M126" s="177"/>
      <c r="N126" s="291"/>
      <c r="O126" s="291"/>
      <c r="P126" s="291"/>
      <c r="Q126" s="291"/>
      <c r="R126" s="291"/>
      <c r="S126" s="291"/>
      <c r="T126" s="291">
        <v>200</v>
      </c>
      <c r="U126" s="291">
        <v>100</v>
      </c>
      <c r="V126" s="291">
        <v>100</v>
      </c>
      <c r="W126" s="291"/>
      <c r="X126" s="291"/>
      <c r="Y126" s="291"/>
      <c r="Z126" s="177">
        <f>SUM(N126:Y126)</f>
        <v>400</v>
      </c>
      <c r="AA126" s="146"/>
    </row>
    <row r="127" spans="3:27" ht="14.4">
      <c r="C127" s="313"/>
      <c r="D127" s="284"/>
      <c r="E127" s="285"/>
      <c r="F127" s="286" t="s">
        <v>1018</v>
      </c>
      <c r="G127" s="286" t="s">
        <v>1065</v>
      </c>
      <c r="H127" s="284" t="s">
        <v>713</v>
      </c>
      <c r="I127" s="284" t="s">
        <v>714</v>
      </c>
      <c r="J127" s="284" t="s">
        <v>32</v>
      </c>
      <c r="K127" s="310" t="s">
        <v>292</v>
      </c>
      <c r="L127" s="160"/>
      <c r="M127" s="179"/>
      <c r="N127" s="291"/>
      <c r="O127" s="291"/>
      <c r="P127" s="291"/>
      <c r="Q127" s="291"/>
      <c r="R127" s="291"/>
      <c r="S127" s="291"/>
      <c r="T127" s="291"/>
      <c r="U127" s="291"/>
      <c r="V127" s="291"/>
      <c r="W127" s="291"/>
      <c r="X127" s="291"/>
      <c r="Y127" s="291"/>
      <c r="Z127" s="177">
        <f>SUM(N127:Y127)</f>
        <v>0</v>
      </c>
      <c r="AA127" s="146"/>
    </row>
    <row r="128" spans="3:27" ht="15.6">
      <c r="C128" s="314" t="s">
        <v>267</v>
      </c>
      <c r="D128" s="174" t="s">
        <v>22</v>
      </c>
      <c r="E128" s="181">
        <f>SUM(N128:Y128)</f>
        <v>210</v>
      </c>
      <c r="F128" s="175" t="s">
        <v>1003</v>
      </c>
      <c r="G128" s="175" t="s">
        <v>1066</v>
      </c>
      <c r="H128" s="309"/>
      <c r="I128" s="309"/>
      <c r="J128" s="309"/>
      <c r="K128" s="182"/>
      <c r="L128" s="182"/>
      <c r="M128" s="181"/>
      <c r="N128" s="181">
        <f>SUMIFS('FCST data'!Q:Q,'FCST data'!$D:$D,$F128,'FCST data'!$K:$K,$G128)</f>
        <v>0</v>
      </c>
      <c r="O128" s="181">
        <f>SUMIFS('FCST data'!R:R,'FCST data'!$D:$D,$F128,'FCST data'!$K:$K,$G128)</f>
        <v>0</v>
      </c>
      <c r="P128" s="181">
        <f>SUMIFS('FCST data'!S:S,'FCST data'!$D:$D,$F128,'FCST data'!$K:$K,$G128)</f>
        <v>0</v>
      </c>
      <c r="Q128" s="181">
        <f>SUMIFS('FCST data'!T:T,'FCST data'!$D:$D,$F128,'FCST data'!$K:$K,$G128)</f>
        <v>0</v>
      </c>
      <c r="R128" s="181">
        <f>SUMIFS('FCST data'!U:U,'FCST data'!$D:$D,$F128,'FCST data'!$K:$K,$G128)</f>
        <v>0</v>
      </c>
      <c r="S128" s="181">
        <f>SUMIFS('FCST data'!V:V,'FCST data'!$D:$D,$F128,'FCST data'!$K:$K,$G128)</f>
        <v>0</v>
      </c>
      <c r="T128" s="181">
        <f>SUMIFS('FCST data'!W:W,'FCST data'!$D:$D,$F128,'FCST data'!$K:$K,$G128)</f>
        <v>210</v>
      </c>
      <c r="U128" s="181">
        <f>SUMIFS('FCST data'!X:X,'FCST data'!$D:$D,$F128,'FCST data'!$K:$K,$G128)</f>
        <v>0</v>
      </c>
      <c r="V128" s="181">
        <f>SUMIFS('FCST data'!Y:Y,'FCST data'!$D:$D,$F128,'FCST data'!$K:$K,$G128)</f>
        <v>0</v>
      </c>
      <c r="W128" s="181">
        <f>SUMIFS('FCST data'!Z:Z,'FCST data'!$D:$D,$F128,'FCST data'!$K:$K,$G128)</f>
        <v>0</v>
      </c>
      <c r="X128" s="181">
        <f>SUMIFS('FCST data'!AA:AA,'FCST data'!$D:$D,$F128,'FCST data'!$K:$K,$G128)</f>
        <v>0</v>
      </c>
      <c r="Y128" s="181">
        <f>SUMIFS('FCST data'!AB:AB,'FCST data'!$D:$D,$F128,'FCST data'!$K:$K,$G128)</f>
        <v>0</v>
      </c>
      <c r="Z128" s="148"/>
      <c r="AA128" s="145">
        <f>E128-Z129-Z130</f>
        <v>0</v>
      </c>
    </row>
    <row r="129" spans="3:27" ht="14.4">
      <c r="C129" s="313"/>
      <c r="D129" s="284"/>
      <c r="E129" s="285"/>
      <c r="F129" s="286" t="s">
        <v>1003</v>
      </c>
      <c r="G129" s="286" t="s">
        <v>1066</v>
      </c>
      <c r="H129" s="284" t="s">
        <v>712</v>
      </c>
      <c r="I129" s="284" t="s">
        <v>31</v>
      </c>
      <c r="J129" s="284" t="s">
        <v>32</v>
      </c>
      <c r="K129" s="310" t="s">
        <v>292</v>
      </c>
      <c r="L129" s="160"/>
      <c r="M129" s="177"/>
      <c r="N129" s="291"/>
      <c r="O129" s="291"/>
      <c r="P129" s="291"/>
      <c r="Q129" s="291"/>
      <c r="R129" s="291"/>
      <c r="S129" s="291"/>
      <c r="T129" s="291">
        <v>210</v>
      </c>
      <c r="U129" s="291"/>
      <c r="V129" s="291"/>
      <c r="W129" s="291"/>
      <c r="X129" s="291"/>
      <c r="Y129" s="291"/>
      <c r="Z129" s="177">
        <f>SUM(N129:Y129)</f>
        <v>210</v>
      </c>
      <c r="AA129" s="146"/>
    </row>
    <row r="130" spans="3:27" ht="14.4">
      <c r="C130" s="313"/>
      <c r="D130" s="284"/>
      <c r="E130" s="285"/>
      <c r="F130" s="286" t="s">
        <v>1003</v>
      </c>
      <c r="G130" s="286" t="s">
        <v>1066</v>
      </c>
      <c r="H130" s="284" t="s">
        <v>713</v>
      </c>
      <c r="I130" s="284" t="s">
        <v>714</v>
      </c>
      <c r="J130" s="284" t="s">
        <v>32</v>
      </c>
      <c r="K130" s="310" t="s">
        <v>292</v>
      </c>
      <c r="L130" s="160"/>
      <c r="M130" s="179"/>
      <c r="N130" s="291"/>
      <c r="O130" s="291"/>
      <c r="P130" s="291"/>
      <c r="Q130" s="291"/>
      <c r="R130" s="291"/>
      <c r="S130" s="291"/>
      <c r="T130" s="291"/>
      <c r="U130" s="291"/>
      <c r="V130" s="291"/>
      <c r="W130" s="291"/>
      <c r="X130" s="291"/>
      <c r="Y130" s="291"/>
      <c r="Z130" s="177">
        <f>SUM(N130:Y130)</f>
        <v>0</v>
      </c>
      <c r="AA130" s="146"/>
    </row>
  </sheetData>
  <sheetProtection formatCells="0" formatColumns="0" formatRows="0" insertRows="0" insertHyperlinks="0" deleteRows="0" sort="0" autoFilter="0" pivotTables="0"/>
  <autoFilter ref="C13:AA130"/>
  <mergeCells count="1">
    <mergeCell ref="B2:B3"/>
  </mergeCells>
  <phoneticPr fontId="12" type="noConversion"/>
  <conditionalFormatting sqref="N26:Y26 N23:Y23 N71:Y71 N17:Y17 N68:Y68 N20:Y20 N35:Y35 N38:Y38 N41:Y41 N44:Y44 N50:Y50 N59:Y59 N80:Y80 N77:Y77 N86:Y86 N89:Y89 N92:Y92 N65:Y65 N53:Y53 N56:Y56 N29:Y29 N14:Y14 N62:Y62 N74:Y74 N47:Y47 N83:Y83 N32:Y32 N95:Y95 N98:Y98 N101:Y101">
    <cfRule type="cellIs" dxfId="130" priority="45" operator="notEqual">
      <formula>SUM(N15:N16)</formula>
    </cfRule>
  </conditionalFormatting>
  <conditionalFormatting sqref="N104:Y104">
    <cfRule type="cellIs" dxfId="129" priority="9" operator="notEqual">
      <formula>SUM(N105:N106)</formula>
    </cfRule>
  </conditionalFormatting>
  <conditionalFormatting sqref="N107:Y107">
    <cfRule type="cellIs" dxfId="128" priority="8" operator="notEqual">
      <formula>SUM(N108:N109)</formula>
    </cfRule>
  </conditionalFormatting>
  <conditionalFormatting sqref="N110:Y110">
    <cfRule type="cellIs" dxfId="127" priority="7" operator="notEqual">
      <formula>SUM(N111:N112)</formula>
    </cfRule>
  </conditionalFormatting>
  <conditionalFormatting sqref="N113:Y113">
    <cfRule type="cellIs" dxfId="126" priority="6" operator="notEqual">
      <formula>SUM(N114:N115)</formula>
    </cfRule>
  </conditionalFormatting>
  <conditionalFormatting sqref="N116:Y116">
    <cfRule type="cellIs" dxfId="125" priority="5" operator="notEqual">
      <formula>SUM(N117:N118)</formula>
    </cfRule>
  </conditionalFormatting>
  <conditionalFormatting sqref="N119:Y119">
    <cfRule type="cellIs" dxfId="124" priority="4" operator="notEqual">
      <formula>SUM(N120:N121)</formula>
    </cfRule>
  </conditionalFormatting>
  <conditionalFormatting sqref="N122:Y122">
    <cfRule type="cellIs" dxfId="123" priority="3" operator="notEqual">
      <formula>SUM(N123:N124)</formula>
    </cfRule>
  </conditionalFormatting>
  <conditionalFormatting sqref="N125:Y125">
    <cfRule type="cellIs" dxfId="122" priority="2" operator="notEqual">
      <formula>SUM(N126:N127)</formula>
    </cfRule>
  </conditionalFormatting>
  <conditionalFormatting sqref="N128:Y128">
    <cfRule type="cellIs" dxfId="121" priority="1" operator="notEqual">
      <formula>SUM(N129:N130)</formula>
    </cfRule>
  </conditionalFormatting>
  <pageMargins left="0.511811024" right="0.511811024" top="0.78740157499999996" bottom="0.78740157499999996" header="0.31496062000000002" footer="0.31496062000000002"/>
  <pageSetup orientation="portrait" r:id="rId1"/>
  <ignoredErrors>
    <ignoredError sqref="E36:E37 E39:E40 E42:E43 E45:E46 E60:E61 E69:E70 E72:E73 E78:E79 E81:E82 E93:E94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 filterMode="1">
    <tabColor theme="9"/>
  </sheetPr>
  <dimension ref="A1:AE130"/>
  <sheetViews>
    <sheetView showGridLines="0" zoomScale="70" zoomScaleNormal="70" workbookViewId="0">
      <pane ySplit="13" topLeftCell="A14" activePane="bottomLeft" state="frozen"/>
      <selection activeCell="R22" sqref="R22"/>
      <selection pane="bottomLeft" activeCell="O16" sqref="O16:O19"/>
    </sheetView>
  </sheetViews>
  <sheetFormatPr defaultColWidth="9.109375" defaultRowHeight="13.8" outlineLevelRow="1"/>
  <cols>
    <col min="1" max="1" width="9.109375" style="17"/>
    <col min="2" max="2" width="11" style="17" bestFit="1" customWidth="1"/>
    <col min="3" max="3" width="9.109375" style="17"/>
    <col min="4" max="4" width="9.44140625" style="9" customWidth="1"/>
    <col min="5" max="5" width="9.88671875" style="17" customWidth="1"/>
    <col min="6" max="7" width="23.44140625" style="22" customWidth="1"/>
    <col min="8" max="8" width="10.5546875" style="2" bestFit="1" customWidth="1"/>
    <col min="9" max="9" width="10.44140625" style="17" bestFit="1" customWidth="1"/>
    <col min="10" max="10" width="11.44140625" style="13" customWidth="1"/>
    <col min="11" max="11" width="30.109375" style="3" bestFit="1" customWidth="1"/>
    <col min="12" max="12" width="8.6640625" style="3" customWidth="1"/>
    <col min="13" max="13" width="18.33203125" style="3" customWidth="1"/>
    <col min="14" max="14" width="8.6640625" style="17" bestFit="1" customWidth="1"/>
    <col min="15" max="15" width="8.6640625" style="17" customWidth="1"/>
    <col min="16" max="16" width="7.88671875" style="17" bestFit="1" customWidth="1"/>
    <col min="17" max="17" width="7" style="17" bestFit="1" customWidth="1"/>
    <col min="18" max="18" width="6.6640625" style="17" bestFit="1" customWidth="1"/>
    <col min="19" max="19" width="7.109375" style="17" bestFit="1" customWidth="1"/>
    <col min="20" max="20" width="6.88671875" style="17" bestFit="1" customWidth="1"/>
    <col min="21" max="21" width="8.109375" style="17" customWidth="1"/>
    <col min="22" max="22" width="6.88671875" style="17" customWidth="1"/>
    <col min="23" max="23" width="9.6640625" style="17" bestFit="1" customWidth="1"/>
    <col min="24" max="24" width="8.6640625" style="17" customWidth="1"/>
    <col min="25" max="25" width="6.88671875" style="17" customWidth="1"/>
    <col min="26" max="26" width="11.5546875" style="17" bestFit="1" customWidth="1"/>
    <col min="27" max="27" width="9.109375" style="2"/>
    <col min="28" max="28" width="8.88671875" style="2" customWidth="1"/>
    <col min="29" max="29" width="9.109375" style="16"/>
    <col min="30" max="30" width="23.44140625" style="22" customWidth="1"/>
    <col min="31" max="16384" width="9.109375" style="2"/>
  </cols>
  <sheetData>
    <row r="1" spans="2:31" s="17" customFormat="1">
      <c r="D1" s="9"/>
      <c r="F1" s="22"/>
      <c r="G1" s="22"/>
      <c r="J1" s="13"/>
      <c r="K1" s="3"/>
      <c r="L1" s="3"/>
      <c r="M1" s="3"/>
      <c r="AC1" s="16"/>
      <c r="AD1" s="22"/>
    </row>
    <row r="2" spans="2:31" s="17" customFormat="1">
      <c r="D2" s="9"/>
      <c r="E2" s="4"/>
      <c r="F2" s="57"/>
      <c r="G2" s="16" t="s">
        <v>29</v>
      </c>
      <c r="H2" s="57"/>
      <c r="I2" s="57"/>
      <c r="J2" s="57"/>
      <c r="K2" s="57"/>
      <c r="L2" s="57"/>
      <c r="AC2" s="16"/>
      <c r="AD2" s="57"/>
    </row>
    <row r="3" spans="2:31" s="17" customFormat="1" ht="15.6">
      <c r="D3" s="9"/>
      <c r="E3" s="4"/>
      <c r="F3" s="53" t="s">
        <v>40</v>
      </c>
      <c r="G3" s="51">
        <v>4</v>
      </c>
      <c r="H3" s="10"/>
      <c r="K3" s="10"/>
      <c r="L3" s="10"/>
      <c r="AC3" s="16"/>
      <c r="AD3" s="53" t="s">
        <v>40</v>
      </c>
    </row>
    <row r="4" spans="2:31" s="17" customFormat="1" ht="15.6" outlineLevel="1">
      <c r="D4" s="9"/>
      <c r="E4" s="4"/>
      <c r="F4" s="50" t="s">
        <v>35</v>
      </c>
      <c r="G4" s="370"/>
      <c r="H4" s="10"/>
      <c r="K4" s="46"/>
      <c r="L4" s="48"/>
      <c r="AC4" s="16"/>
      <c r="AD4" s="50" t="s">
        <v>35</v>
      </c>
    </row>
    <row r="5" spans="2:31" s="17" customFormat="1" ht="15.6" outlineLevel="1">
      <c r="D5" s="9"/>
      <c r="E5" s="4"/>
      <c r="F5" s="50" t="s">
        <v>37</v>
      </c>
      <c r="G5" s="372"/>
      <c r="H5" s="10"/>
      <c r="K5" s="46"/>
      <c r="L5" s="48"/>
      <c r="AC5" s="16"/>
      <c r="AD5" s="50" t="s">
        <v>37</v>
      </c>
    </row>
    <row r="6" spans="2:31" s="17" customFormat="1" ht="15.6" outlineLevel="1">
      <c r="D6" s="9"/>
      <c r="E6" s="4"/>
      <c r="F6" s="50" t="s">
        <v>38</v>
      </c>
      <c r="G6" s="49">
        <f>SUMIFS($Z$14:$Z$49856,$H$14:$H$49856,"Local")+G5</f>
        <v>28250</v>
      </c>
      <c r="H6" s="10"/>
      <c r="K6" s="46"/>
      <c r="L6" s="48"/>
      <c r="AC6" s="16"/>
      <c r="AD6" s="50" t="s">
        <v>38</v>
      </c>
    </row>
    <row r="7" spans="2:31" s="17" customFormat="1" ht="12.75" customHeight="1" outlineLevel="1">
      <c r="D7" s="9"/>
      <c r="E7" s="4"/>
      <c r="F7" s="50" t="s">
        <v>39</v>
      </c>
      <c r="G7" s="49">
        <f>SUMIFS($Z$14:$Z$49856,$H$14:$H$49856,"Imported")</f>
        <v>190380</v>
      </c>
      <c r="H7" s="10"/>
      <c r="K7" s="48"/>
      <c r="L7" s="4"/>
      <c r="AC7" s="16"/>
      <c r="AD7" s="50" t="s">
        <v>39</v>
      </c>
    </row>
    <row r="8" spans="2:31" s="17" customFormat="1" ht="15.6" outlineLevel="1">
      <c r="D8" s="9"/>
      <c r="E8" s="4"/>
      <c r="F8" s="50" t="s">
        <v>36</v>
      </c>
      <c r="G8" s="49">
        <f>E12+G4</f>
        <v>218630</v>
      </c>
      <c r="H8" s="10"/>
      <c r="K8" s="56"/>
      <c r="L8" s="12"/>
      <c r="M8" s="90"/>
      <c r="N8" s="90"/>
      <c r="O8" s="90"/>
      <c r="AC8" s="16"/>
      <c r="AD8" s="50" t="s">
        <v>36</v>
      </c>
    </row>
    <row r="9" spans="2:31" s="17" customFormat="1" ht="14.4" outlineLevel="1">
      <c r="D9" s="9"/>
      <c r="F9" s="16" t="s">
        <v>33</v>
      </c>
      <c r="G9" s="58">
        <f>(G6)/G8</f>
        <v>0.12921374010885972</v>
      </c>
      <c r="H9" s="10"/>
      <c r="K9" s="56"/>
      <c r="L9" s="16"/>
      <c r="AC9" s="16"/>
      <c r="AD9" s="16" t="s">
        <v>33</v>
      </c>
    </row>
    <row r="10" spans="2:31" s="17" customFormat="1" ht="14.4" outlineLevel="1">
      <c r="D10" s="9"/>
      <c r="F10" s="12" t="s">
        <v>34</v>
      </c>
      <c r="G10" s="89">
        <f>IF(G9*G3&gt;4,"4",G9*G3)</f>
        <v>0.51685496043543888</v>
      </c>
      <c r="H10" s="55"/>
      <c r="K10" s="56"/>
      <c r="L10" s="16"/>
      <c r="AC10" s="16"/>
      <c r="AD10" s="12" t="s">
        <v>34</v>
      </c>
    </row>
    <row r="11" spans="2:31" s="17" customFormat="1" ht="14.4">
      <c r="D11" s="326" t="s">
        <v>415</v>
      </c>
      <c r="E11" s="327">
        <f>E12-MB!E12</f>
        <v>0</v>
      </c>
      <c r="F11" s="27"/>
      <c r="G11" s="12"/>
      <c r="H11" s="33"/>
      <c r="I11" s="12"/>
      <c r="J11" s="12"/>
      <c r="K11" s="34"/>
      <c r="L11" s="16"/>
      <c r="AC11" s="16" t="s">
        <v>848</v>
      </c>
      <c r="AD11" s="27"/>
    </row>
    <row r="12" spans="2:31" ht="14.4">
      <c r="E12" s="17">
        <f>SUMIFS($E$13:$E$9841,$D$13:$D$9841,$D$13)</f>
        <v>218630</v>
      </c>
      <c r="F12" s="325"/>
      <c r="G12" s="17"/>
      <c r="H12" s="17"/>
      <c r="I12" s="22"/>
      <c r="J12" s="17"/>
      <c r="K12" s="22"/>
      <c r="L12" s="17"/>
      <c r="M12" s="22"/>
      <c r="Z12" s="17">
        <f>SUM(Z14:Z163)</f>
        <v>218630</v>
      </c>
      <c r="AA12" s="329">
        <f>E12-Z12</f>
        <v>0</v>
      </c>
      <c r="AD12" s="325"/>
    </row>
    <row r="13" spans="2:31" s="9" customFormat="1" ht="27.6">
      <c r="B13" s="16"/>
      <c r="C13" s="99" t="s">
        <v>97</v>
      </c>
      <c r="D13" s="28" t="s">
        <v>22</v>
      </c>
      <c r="E13" s="38" t="s">
        <v>24</v>
      </c>
      <c r="F13" s="30" t="s">
        <v>14</v>
      </c>
      <c r="G13" s="30" t="s">
        <v>265</v>
      </c>
      <c r="H13" s="30" t="s">
        <v>15</v>
      </c>
      <c r="I13" s="31" t="s">
        <v>16</v>
      </c>
      <c r="J13" s="31" t="s">
        <v>17</v>
      </c>
      <c r="K13" s="32" t="s">
        <v>18</v>
      </c>
      <c r="L13" s="32" t="s">
        <v>23</v>
      </c>
      <c r="M13" s="25" t="s">
        <v>19</v>
      </c>
      <c r="N13" s="172" t="s">
        <v>1</v>
      </c>
      <c r="O13" s="172" t="s">
        <v>3</v>
      </c>
      <c r="P13" s="172" t="s">
        <v>4</v>
      </c>
      <c r="Q13" s="172" t="s">
        <v>5</v>
      </c>
      <c r="R13" s="172" t="s">
        <v>6</v>
      </c>
      <c r="S13" s="172" t="s">
        <v>842</v>
      </c>
      <c r="T13" s="172" t="s">
        <v>8</v>
      </c>
      <c r="U13" s="172" t="s">
        <v>9</v>
      </c>
      <c r="V13" s="172" t="s">
        <v>10</v>
      </c>
      <c r="W13" s="172" t="s">
        <v>11</v>
      </c>
      <c r="X13" s="172" t="s">
        <v>12</v>
      </c>
      <c r="Y13" s="172" t="s">
        <v>210</v>
      </c>
      <c r="Z13" s="26" t="s">
        <v>0</v>
      </c>
      <c r="AC13" s="409"/>
      <c r="AD13" s="30" t="s">
        <v>14</v>
      </c>
    </row>
    <row r="14" spans="2:31" ht="15.6" hidden="1">
      <c r="B14" s="16"/>
      <c r="C14" s="314"/>
      <c r="D14" s="174" t="s">
        <v>22</v>
      </c>
      <c r="E14" s="181">
        <f>SUM(N14:Y14)</f>
        <v>21300</v>
      </c>
      <c r="F14" s="183" t="s">
        <v>107</v>
      </c>
      <c r="G14" s="183" t="s">
        <v>394</v>
      </c>
      <c r="H14" s="181"/>
      <c r="I14" s="182"/>
      <c r="J14" s="182"/>
      <c r="K14" s="182" t="str">
        <f>VLOOKUP(F:F,'FCST data'!D:O,12,0)</f>
        <v>33W*4.0PHI</v>
      </c>
      <c r="L14" s="182"/>
      <c r="M14" s="353"/>
      <c r="N14" s="181">
        <f>SUMIFS('FCST data'!Q:Q,'FCST data'!$D:$D,$F14,'FCST data'!$K:$K,$G14,'FCST data'!$O:$O,$K14)</f>
        <v>8800</v>
      </c>
      <c r="O14" s="181">
        <f>SUMIFS('FCST data'!R:R,'FCST data'!$D:$D,$F14,'FCST data'!$K:$K,$G14,'FCST data'!$O:$O,$K14)</f>
        <v>5700</v>
      </c>
      <c r="P14" s="181">
        <f>SUMIFS('FCST data'!S:S,'FCST data'!$D:$D,$F14,'FCST data'!$K:$K,$G14,'FCST data'!$O:$O,$K14)</f>
        <v>6800</v>
      </c>
      <c r="Q14" s="181">
        <f>SUMIFS('FCST data'!T:T,'FCST data'!$D:$D,$F14,'FCST data'!$K:$K,$G14,'FCST data'!$O:$O,$K14)</f>
        <v>0</v>
      </c>
      <c r="R14" s="181">
        <f>SUMIFS('FCST data'!U:U,'FCST data'!$D:$D,$F14,'FCST data'!$K:$K,$G14,'FCST data'!$O:$O,$K14)</f>
        <v>0</v>
      </c>
      <c r="S14" s="181">
        <f>SUMIFS('FCST data'!V:V,'FCST data'!$D:$D,$F14,'FCST data'!$K:$K,$G14,'FCST data'!$O:$O,$K14)</f>
        <v>0</v>
      </c>
      <c r="T14" s="181">
        <f>SUMIFS('FCST data'!W:W,'FCST data'!$D:$D,$F14,'FCST data'!$K:$K,$G14,'FCST data'!$O:$O,$K14)</f>
        <v>0</v>
      </c>
      <c r="U14" s="181">
        <f>SUMIFS('FCST data'!X:X,'FCST data'!$D:$D,$F14,'FCST data'!$K:$K,$G14,'FCST data'!$O:$O,$K14)</f>
        <v>0</v>
      </c>
      <c r="V14" s="181">
        <f>SUMIFS('FCST data'!Y:Y,'FCST data'!$D:$D,$F14,'FCST data'!$K:$K,$G14,'FCST data'!$O:$O,$K14)</f>
        <v>0</v>
      </c>
      <c r="W14" s="181">
        <f>SUMIFS('FCST data'!Z:Z,'FCST data'!$D:$D,$F14,'FCST data'!$K:$K,$G14,'FCST data'!$O:$O,$K14)</f>
        <v>0</v>
      </c>
      <c r="X14" s="181">
        <f>SUMIFS('FCST data'!AA:AA,'FCST data'!$D:$D,$F14,'FCST data'!$K:$K,$G14,'FCST data'!$O:$O,$K14)</f>
        <v>0</v>
      </c>
      <c r="Y14" s="181">
        <f>SUMIFS('FCST data'!AB:AB,'FCST data'!$D:$D,$F14,'FCST data'!$K:$K,$G14,'FCST data'!$O:$O,$K14)</f>
        <v>0</v>
      </c>
      <c r="Z14" s="148"/>
      <c r="AA14" s="17">
        <f>E14-SUM(Z15:Z16)</f>
        <v>0</v>
      </c>
      <c r="AD14" s="183" t="s">
        <v>107</v>
      </c>
    </row>
    <row r="15" spans="2:31" ht="36" hidden="1">
      <c r="B15" s="16"/>
      <c r="C15" s="152"/>
      <c r="D15" s="284"/>
      <c r="E15" s="147"/>
      <c r="F15" s="286" t="s">
        <v>107</v>
      </c>
      <c r="G15" s="286" t="s">
        <v>394</v>
      </c>
      <c r="H15" s="284" t="s">
        <v>715</v>
      </c>
      <c r="I15" s="284" t="s">
        <v>716</v>
      </c>
      <c r="J15" s="287" t="s">
        <v>268</v>
      </c>
      <c r="K15" s="287" t="s">
        <v>418</v>
      </c>
      <c r="L15" s="160"/>
      <c r="M15" s="354" t="s">
        <v>563</v>
      </c>
      <c r="N15" s="291">
        <v>8800</v>
      </c>
      <c r="O15" s="291">
        <f>5700-3900</f>
        <v>1800</v>
      </c>
      <c r="P15" s="291"/>
      <c r="Q15" s="340"/>
      <c r="R15" s="291"/>
      <c r="S15" s="291"/>
      <c r="T15" s="291"/>
      <c r="U15" s="291"/>
      <c r="V15" s="291"/>
      <c r="W15" s="291"/>
      <c r="X15" s="291"/>
      <c r="Y15" s="291"/>
      <c r="Z15" s="177">
        <f>SUM(N15:Y15)</f>
        <v>10600</v>
      </c>
      <c r="AC15" s="16">
        <v>13100</v>
      </c>
      <c r="AD15" s="286" t="s">
        <v>107</v>
      </c>
      <c r="AE15" s="2">
        <v>22200</v>
      </c>
    </row>
    <row r="16" spans="2:31" ht="14.4">
      <c r="B16" s="16"/>
      <c r="C16" s="152"/>
      <c r="D16" s="284"/>
      <c r="E16" s="147"/>
      <c r="F16" s="286" t="s">
        <v>107</v>
      </c>
      <c r="G16" s="286" t="s">
        <v>394</v>
      </c>
      <c r="H16" s="284" t="s">
        <v>717</v>
      </c>
      <c r="I16" s="287" t="s">
        <v>274</v>
      </c>
      <c r="J16" s="287" t="s">
        <v>268</v>
      </c>
      <c r="K16" s="287" t="s">
        <v>272</v>
      </c>
      <c r="L16" s="160"/>
      <c r="M16" s="357" t="s">
        <v>273</v>
      </c>
      <c r="N16" s="291"/>
      <c r="O16" s="291">
        <v>3900</v>
      </c>
      <c r="P16" s="291">
        <v>6800</v>
      </c>
      <c r="Q16" s="291"/>
      <c r="R16" s="291"/>
      <c r="S16" s="291"/>
      <c r="T16" s="291"/>
      <c r="U16" s="291"/>
      <c r="V16" s="291"/>
      <c r="W16" s="291"/>
      <c r="X16" s="291"/>
      <c r="Y16" s="291"/>
      <c r="Z16" s="177">
        <f>SUM(N16:Y16)</f>
        <v>10700</v>
      </c>
      <c r="AC16" s="16">
        <v>0</v>
      </c>
      <c r="AD16" s="286" t="s">
        <v>107</v>
      </c>
      <c r="AE16" s="2">
        <v>3900</v>
      </c>
    </row>
    <row r="17" spans="2:31" ht="15.6" hidden="1">
      <c r="B17" s="16"/>
      <c r="C17" s="314"/>
      <c r="D17" s="174" t="s">
        <v>22</v>
      </c>
      <c r="E17" s="181">
        <f>SUM(N17:Y17)</f>
        <v>23050</v>
      </c>
      <c r="F17" s="183" t="s">
        <v>107</v>
      </c>
      <c r="G17" s="175" t="s">
        <v>297</v>
      </c>
      <c r="H17" s="181"/>
      <c r="I17" s="182"/>
      <c r="J17" s="182"/>
      <c r="K17" s="182" t="str">
        <f>VLOOKUP(F:F,'FCST data'!D:O,12,0)</f>
        <v>33W*4.0PHI</v>
      </c>
      <c r="L17" s="182"/>
      <c r="M17" s="353"/>
      <c r="N17" s="181">
        <f>SUMIFS('FCST data'!Q:Q,'FCST data'!$D:$D,$F17,'FCST data'!$K:$K,$G17,'FCST data'!$O:$O,$K17)</f>
        <v>5500</v>
      </c>
      <c r="O17" s="181">
        <f>SUMIFS('FCST data'!R:R,'FCST data'!$D:$D,$F17,'FCST data'!$K:$K,$G17,'FCST data'!$O:$O,$K17)</f>
        <v>3800</v>
      </c>
      <c r="P17" s="181">
        <f>SUMIFS('FCST data'!S:S,'FCST data'!$D:$D,$F17,'FCST data'!$K:$K,$G17,'FCST data'!$O:$O,$K17)</f>
        <v>8000</v>
      </c>
      <c r="Q17" s="181">
        <f>SUMIFS('FCST data'!T:T,'FCST data'!$D:$D,$F17,'FCST data'!$K:$K,$G17,'FCST data'!$O:$O,$K17)</f>
        <v>5750</v>
      </c>
      <c r="R17" s="181">
        <f>SUMIFS('FCST data'!U:U,'FCST data'!$D:$D,$F17,'FCST data'!$K:$K,$G17,'FCST data'!$O:$O,$K17)</f>
        <v>0</v>
      </c>
      <c r="S17" s="181">
        <f>SUMIFS('FCST data'!V:V,'FCST data'!$D:$D,$F17,'FCST data'!$K:$K,$G17,'FCST data'!$O:$O,$K17)</f>
        <v>0</v>
      </c>
      <c r="T17" s="181">
        <f>SUMIFS('FCST data'!W:W,'FCST data'!$D:$D,$F17,'FCST data'!$K:$K,$G17,'FCST data'!$O:$O,$K17)</f>
        <v>0</v>
      </c>
      <c r="U17" s="181">
        <f>SUMIFS('FCST data'!X:X,'FCST data'!$D:$D,$F17,'FCST data'!$K:$K,$G17,'FCST data'!$O:$O,$K17)</f>
        <v>0</v>
      </c>
      <c r="V17" s="181">
        <f>SUMIFS('FCST data'!Y:Y,'FCST data'!$D:$D,$F17,'FCST data'!$K:$K,$G17,'FCST data'!$O:$O,$K17)</f>
        <v>0</v>
      </c>
      <c r="W17" s="181">
        <f>SUMIFS('FCST data'!Z:Z,'FCST data'!$D:$D,$F17,'FCST data'!$K:$K,$G17,'FCST data'!$O:$O,$K17)</f>
        <v>0</v>
      </c>
      <c r="X17" s="181">
        <f>SUMIFS('FCST data'!AA:AA,'FCST data'!$D:$D,$F17,'FCST data'!$K:$K,$G17,'FCST data'!$O:$O,$K17)</f>
        <v>0</v>
      </c>
      <c r="Y17" s="181">
        <f>SUMIFS('FCST data'!AB:AB,'FCST data'!$D:$D,$F17,'FCST data'!$K:$K,$G17,'FCST data'!$O:$O,$K17)</f>
        <v>0</v>
      </c>
      <c r="Z17" s="148"/>
      <c r="AA17" s="17">
        <f>E17-SUM(Z18:Z19)</f>
        <v>0</v>
      </c>
      <c r="AC17" s="16">
        <v>0</v>
      </c>
      <c r="AD17" s="183" t="s">
        <v>107</v>
      </c>
    </row>
    <row r="18" spans="2:31" ht="36" hidden="1">
      <c r="B18" s="16"/>
      <c r="C18" s="152"/>
      <c r="D18" s="284"/>
      <c r="E18" s="147"/>
      <c r="F18" s="286" t="s">
        <v>107</v>
      </c>
      <c r="G18" s="286" t="s">
        <v>297</v>
      </c>
      <c r="H18" s="284" t="s">
        <v>715</v>
      </c>
      <c r="I18" s="284" t="s">
        <v>716</v>
      </c>
      <c r="J18" s="287" t="s">
        <v>268</v>
      </c>
      <c r="K18" s="287" t="s">
        <v>418</v>
      </c>
      <c r="L18" s="160"/>
      <c r="M18" s="354" t="s">
        <v>563</v>
      </c>
      <c r="N18" s="291">
        <v>5500</v>
      </c>
      <c r="O18" s="291"/>
      <c r="P18" s="291"/>
      <c r="Q18" s="291"/>
      <c r="R18" s="291"/>
      <c r="S18" s="291"/>
      <c r="T18" s="291"/>
      <c r="U18" s="291"/>
      <c r="V18" s="291"/>
      <c r="W18" s="291"/>
      <c r="X18" s="291"/>
      <c r="Y18" s="291"/>
      <c r="Z18" s="177">
        <f>SUM(N18:Y18)</f>
        <v>5500</v>
      </c>
      <c r="AC18" s="16">
        <v>4000</v>
      </c>
      <c r="AD18" s="286" t="s">
        <v>107</v>
      </c>
      <c r="AE18" s="2">
        <v>11600</v>
      </c>
    </row>
    <row r="19" spans="2:31" ht="14.4">
      <c r="B19" s="16"/>
      <c r="C19" s="152"/>
      <c r="D19" s="284"/>
      <c r="E19" s="147"/>
      <c r="F19" s="286" t="s">
        <v>107</v>
      </c>
      <c r="G19" s="286" t="s">
        <v>297</v>
      </c>
      <c r="H19" s="284" t="s">
        <v>717</v>
      </c>
      <c r="I19" s="287" t="s">
        <v>274</v>
      </c>
      <c r="J19" s="287" t="s">
        <v>268</v>
      </c>
      <c r="K19" s="287" t="s">
        <v>272</v>
      </c>
      <c r="L19" s="160"/>
      <c r="M19" s="357" t="s">
        <v>273</v>
      </c>
      <c r="N19" s="291"/>
      <c r="O19" s="291">
        <v>3800</v>
      </c>
      <c r="P19" s="291">
        <v>8000</v>
      </c>
      <c r="Q19" s="291">
        <v>5750</v>
      </c>
      <c r="R19" s="291"/>
      <c r="S19" s="291"/>
      <c r="T19" s="291"/>
      <c r="U19" s="291"/>
      <c r="V19" s="291"/>
      <c r="W19" s="291"/>
      <c r="X19" s="291"/>
      <c r="Y19" s="291"/>
      <c r="Z19" s="177">
        <f>SUM(N19:Y19)</f>
        <v>17550</v>
      </c>
      <c r="AC19" s="16">
        <v>0</v>
      </c>
      <c r="AD19" s="286" t="s">
        <v>107</v>
      </c>
      <c r="AE19" s="2">
        <v>4500</v>
      </c>
    </row>
    <row r="20" spans="2:31" ht="15.6" hidden="1">
      <c r="B20" s="16"/>
      <c r="C20" s="314"/>
      <c r="D20" s="174" t="s">
        <v>22</v>
      </c>
      <c r="E20" s="181">
        <f>SUM(N20:Y20)</f>
        <v>2800</v>
      </c>
      <c r="F20" s="175" t="s">
        <v>110</v>
      </c>
      <c r="G20" s="175" t="s">
        <v>297</v>
      </c>
      <c r="H20" s="181"/>
      <c r="I20" s="182"/>
      <c r="J20" s="182"/>
      <c r="K20" s="182" t="str">
        <f>VLOOKUP(F:F,'FCST data'!D:O,12,0)</f>
        <v>65W*4.0PHI</v>
      </c>
      <c r="L20" s="182"/>
      <c r="M20" s="353"/>
      <c r="N20" s="181">
        <f>SUMIFS('FCST data'!Q:Q,'FCST data'!$D:$D,$F20,'FCST data'!$K:$K,$G20,'FCST data'!$O:$O,$K20)</f>
        <v>700</v>
      </c>
      <c r="O20" s="181">
        <f>SUMIFS('FCST data'!R:R,'FCST data'!$D:$D,$F20,'FCST data'!$K:$K,$G20,'FCST data'!$O:$O,$K20)</f>
        <v>1050</v>
      </c>
      <c r="P20" s="181">
        <f>SUMIFS('FCST data'!S:S,'FCST data'!$D:$D,$F20,'FCST data'!$K:$K,$G20,'FCST data'!$O:$O,$K20)</f>
        <v>1050</v>
      </c>
      <c r="Q20" s="181">
        <f>SUMIFS('FCST data'!T:T,'FCST data'!$D:$D,$F20,'FCST data'!$K:$K,$G20,'FCST data'!$O:$O,$K20)</f>
        <v>0</v>
      </c>
      <c r="R20" s="181">
        <f>SUMIFS('FCST data'!U:U,'FCST data'!$D:$D,$F20,'FCST data'!$K:$K,$G20,'FCST data'!$O:$O,$K20)</f>
        <v>0</v>
      </c>
      <c r="S20" s="181">
        <f>SUMIFS('FCST data'!V:V,'FCST data'!$D:$D,$F20,'FCST data'!$K:$K,$G20,'FCST data'!$O:$O,$K20)</f>
        <v>0</v>
      </c>
      <c r="T20" s="181">
        <f>SUMIFS('FCST data'!W:W,'FCST data'!$D:$D,$F20,'FCST data'!$K:$K,$G20,'FCST data'!$O:$O,$K20)</f>
        <v>0</v>
      </c>
      <c r="U20" s="181">
        <f>SUMIFS('FCST data'!X:X,'FCST data'!$D:$D,$F20,'FCST data'!$K:$K,$G20,'FCST data'!$O:$O,$K20)</f>
        <v>0</v>
      </c>
      <c r="V20" s="181">
        <f>SUMIFS('FCST data'!Y:Y,'FCST data'!$D:$D,$F20,'FCST data'!$K:$K,$G20,'FCST data'!$O:$O,$K20)</f>
        <v>0</v>
      </c>
      <c r="W20" s="181">
        <f>SUMIFS('FCST data'!Z:Z,'FCST data'!$D:$D,$F20,'FCST data'!$K:$K,$G20,'FCST data'!$O:$O,$K20)</f>
        <v>0</v>
      </c>
      <c r="X20" s="181">
        <f>SUMIFS('FCST data'!AA:AA,'FCST data'!$D:$D,$F20,'FCST data'!$K:$K,$G20,'FCST data'!$O:$O,$K20)</f>
        <v>0</v>
      </c>
      <c r="Y20" s="181">
        <f>SUMIFS('FCST data'!AB:AB,'FCST data'!$D:$D,$F20,'FCST data'!$K:$K,$G20,'FCST data'!$O:$O,$K20)</f>
        <v>0</v>
      </c>
      <c r="Z20" s="148"/>
      <c r="AA20" s="17">
        <f>E20-SUM(Z21:Z22)</f>
        <v>0</v>
      </c>
      <c r="AC20" s="16">
        <v>0</v>
      </c>
      <c r="AD20" s="175" t="s">
        <v>110</v>
      </c>
    </row>
    <row r="21" spans="2:31" ht="24" hidden="1">
      <c r="B21" s="16"/>
      <c r="C21" s="152"/>
      <c r="D21" s="284"/>
      <c r="E21" s="285"/>
      <c r="F21" s="286" t="s">
        <v>110</v>
      </c>
      <c r="G21" s="286" t="s">
        <v>297</v>
      </c>
      <c r="H21" s="284" t="s">
        <v>715</v>
      </c>
      <c r="I21" s="284" t="s">
        <v>716</v>
      </c>
      <c r="J21" s="287" t="s">
        <v>268</v>
      </c>
      <c r="K21" s="287" t="s">
        <v>419</v>
      </c>
      <c r="L21" s="160"/>
      <c r="M21" s="354" t="s">
        <v>564</v>
      </c>
      <c r="N21" s="291">
        <v>700</v>
      </c>
      <c r="O21" s="291">
        <v>1050</v>
      </c>
      <c r="P21" s="291">
        <v>1050</v>
      </c>
      <c r="Q21" s="291"/>
      <c r="R21" s="291"/>
      <c r="S21" s="291"/>
      <c r="T21" s="291"/>
      <c r="U21" s="291"/>
      <c r="V21" s="291"/>
      <c r="W21" s="291"/>
      <c r="X21" s="291"/>
      <c r="Y21" s="291"/>
      <c r="Z21" s="177">
        <f>SUM(N21:Y21)</f>
        <v>2800</v>
      </c>
      <c r="AC21" s="16">
        <v>1700</v>
      </c>
      <c r="AD21" s="286" t="s">
        <v>110</v>
      </c>
    </row>
    <row r="22" spans="2:31" ht="14.4">
      <c r="B22" s="16"/>
      <c r="C22" s="152"/>
      <c r="D22" s="284"/>
      <c r="E22" s="285"/>
      <c r="F22" s="286" t="s">
        <v>110</v>
      </c>
      <c r="G22" s="286" t="s">
        <v>297</v>
      </c>
      <c r="H22" s="284" t="s">
        <v>717</v>
      </c>
      <c r="I22" s="287" t="s">
        <v>133</v>
      </c>
      <c r="J22" s="287" t="s">
        <v>268</v>
      </c>
      <c r="K22" s="287" t="s">
        <v>419</v>
      </c>
      <c r="L22" s="160"/>
      <c r="M22" s="355"/>
      <c r="N22" s="291"/>
      <c r="O22" s="291"/>
      <c r="P22" s="291"/>
      <c r="Q22" s="291"/>
      <c r="R22" s="291"/>
      <c r="S22" s="291"/>
      <c r="T22" s="291"/>
      <c r="U22" s="291"/>
      <c r="V22" s="291"/>
      <c r="W22" s="291"/>
      <c r="X22" s="291"/>
      <c r="Y22" s="291"/>
      <c r="Z22" s="177">
        <f>SUM(N22:Y22)</f>
        <v>0</v>
      </c>
      <c r="AC22" s="16">
        <v>0</v>
      </c>
      <c r="AD22" s="286" t="s">
        <v>110</v>
      </c>
    </row>
    <row r="23" spans="2:31" ht="15.6" hidden="1">
      <c r="B23" s="16"/>
      <c r="C23" s="314"/>
      <c r="D23" s="174" t="s">
        <v>22</v>
      </c>
      <c r="E23" s="181">
        <f>SUM(N23:Y23)</f>
        <v>0</v>
      </c>
      <c r="F23" s="183" t="s">
        <v>200</v>
      </c>
      <c r="G23" s="183" t="s">
        <v>365</v>
      </c>
      <c r="H23" s="181"/>
      <c r="I23" s="182"/>
      <c r="J23" s="182"/>
      <c r="K23" s="182" t="str">
        <f>VLOOKUP(F:F,'FCST data'!D:O,12,0)</f>
        <v>33W*4.0PHI</v>
      </c>
      <c r="L23" s="182"/>
      <c r="M23" s="353"/>
      <c r="N23" s="181">
        <f>SUMIFS('FCST data'!Q:Q,'FCST data'!$D:$D,$F23,'FCST data'!$K:$K,$G23,'FCST data'!$O:$O,$K23)</f>
        <v>0</v>
      </c>
      <c r="O23" s="181">
        <f>SUMIFS('FCST data'!R:R,'FCST data'!$D:$D,$F23,'FCST data'!$K:$K,$G23,'FCST data'!$O:$O,$K23)</f>
        <v>0</v>
      </c>
      <c r="P23" s="181">
        <f>SUMIFS('FCST data'!S:S,'FCST data'!$D:$D,$F23,'FCST data'!$K:$K,$G23,'FCST data'!$O:$O,$K23)</f>
        <v>0</v>
      </c>
      <c r="Q23" s="181">
        <f>SUMIFS('FCST data'!T:T,'FCST data'!$D:$D,$F23,'FCST data'!$K:$K,$G23,'FCST data'!$O:$O,$K23)</f>
        <v>0</v>
      </c>
      <c r="R23" s="181">
        <f>SUMIFS('FCST data'!U:U,'FCST data'!$D:$D,$F23,'FCST data'!$K:$K,$G23,'FCST data'!$O:$O,$K23)</f>
        <v>0</v>
      </c>
      <c r="S23" s="181">
        <f>SUMIFS('FCST data'!V:V,'FCST data'!$D:$D,$F23,'FCST data'!$K:$K,$G23,'FCST data'!$O:$O,$K23)</f>
        <v>0</v>
      </c>
      <c r="T23" s="181">
        <f>SUMIFS('FCST data'!W:W,'FCST data'!$D:$D,$F23,'FCST data'!$K:$K,$G23,'FCST data'!$O:$O,$K23)</f>
        <v>0</v>
      </c>
      <c r="U23" s="181">
        <f>SUMIFS('FCST data'!X:X,'FCST data'!$D:$D,$F23,'FCST data'!$K:$K,$G23,'FCST data'!$O:$O,$K23)</f>
        <v>0</v>
      </c>
      <c r="V23" s="181">
        <f>SUMIFS('FCST data'!Y:Y,'FCST data'!$D:$D,$F23,'FCST data'!$K:$K,$G23,'FCST data'!$O:$O,$K23)</f>
        <v>0</v>
      </c>
      <c r="W23" s="181">
        <f>SUMIFS('FCST data'!Z:Z,'FCST data'!$D:$D,$F23,'FCST data'!$K:$K,$G23,'FCST data'!$O:$O,$K23)</f>
        <v>0</v>
      </c>
      <c r="X23" s="181">
        <f>SUMIFS('FCST data'!AA:AA,'FCST data'!$D:$D,$F23,'FCST data'!$K:$K,$G23,'FCST data'!$O:$O,$K23)</f>
        <v>0</v>
      </c>
      <c r="Y23" s="181">
        <f>SUMIFS('FCST data'!AB:AB,'FCST data'!$D:$D,$F23,'FCST data'!$K:$K,$G23,'FCST data'!$O:$O,$K23)</f>
        <v>0</v>
      </c>
      <c r="Z23" s="148"/>
      <c r="AA23" s="17">
        <f>E23-SUM(Z24:Z25)</f>
        <v>0</v>
      </c>
      <c r="AC23" s="16">
        <v>0</v>
      </c>
      <c r="AD23" s="183" t="s">
        <v>200</v>
      </c>
    </row>
    <row r="24" spans="2:31" ht="36" hidden="1">
      <c r="B24" s="16"/>
      <c r="C24" s="152"/>
      <c r="D24" s="284"/>
      <c r="E24" s="147"/>
      <c r="F24" s="286" t="s">
        <v>200</v>
      </c>
      <c r="G24" s="286" t="s">
        <v>365</v>
      </c>
      <c r="H24" s="284" t="s">
        <v>715</v>
      </c>
      <c r="I24" s="284" t="s">
        <v>716</v>
      </c>
      <c r="J24" s="287" t="s">
        <v>268</v>
      </c>
      <c r="K24" s="287" t="s">
        <v>418</v>
      </c>
      <c r="L24" s="209"/>
      <c r="M24" s="354" t="s">
        <v>563</v>
      </c>
      <c r="N24" s="291"/>
      <c r="O24" s="291"/>
      <c r="P24" s="291"/>
      <c r="Q24" s="291"/>
      <c r="R24" s="291"/>
      <c r="S24" s="291"/>
      <c r="T24" s="291"/>
      <c r="U24" s="291"/>
      <c r="V24" s="291"/>
      <c r="W24" s="291"/>
      <c r="X24" s="291"/>
      <c r="Y24" s="291"/>
      <c r="Z24" s="177">
        <f>SUM(N24:Y24)</f>
        <v>0</v>
      </c>
      <c r="AC24" s="16">
        <v>0</v>
      </c>
      <c r="AD24" s="286" t="s">
        <v>200</v>
      </c>
    </row>
    <row r="25" spans="2:31" ht="14.4">
      <c r="B25" s="16"/>
      <c r="C25" s="152"/>
      <c r="D25" s="284"/>
      <c r="E25" s="147"/>
      <c r="F25" s="286" t="s">
        <v>200</v>
      </c>
      <c r="G25" s="286" t="s">
        <v>365</v>
      </c>
      <c r="H25" s="284" t="s">
        <v>717</v>
      </c>
      <c r="I25" s="287" t="s">
        <v>133</v>
      </c>
      <c r="J25" s="287" t="s">
        <v>268</v>
      </c>
      <c r="K25" s="287" t="s">
        <v>418</v>
      </c>
      <c r="L25" s="209"/>
      <c r="M25" s="355"/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177">
        <f>SUM(N25:Y25)</f>
        <v>0</v>
      </c>
      <c r="AC25" s="16">
        <v>0</v>
      </c>
      <c r="AD25" s="286" t="s">
        <v>200</v>
      </c>
    </row>
    <row r="26" spans="2:31" ht="15.6" hidden="1">
      <c r="B26" s="16"/>
      <c r="C26" s="314"/>
      <c r="D26" s="174" t="s">
        <v>22</v>
      </c>
      <c r="E26" s="181">
        <f>SUM(N26:Y26)</f>
        <v>14100</v>
      </c>
      <c r="F26" s="183" t="s">
        <v>243</v>
      </c>
      <c r="G26" s="183" t="s">
        <v>264</v>
      </c>
      <c r="H26" s="181"/>
      <c r="I26" s="182"/>
      <c r="J26" s="182"/>
      <c r="K26" s="182" t="str">
        <f>VLOOKUP(F:F,'FCST data'!D:O,12,0)</f>
        <v>33W*4.0PHI</v>
      </c>
      <c r="L26" s="182"/>
      <c r="M26" s="353"/>
      <c r="N26" s="181">
        <f>SUMIFS('FCST data'!Q:Q,'FCST data'!$D:$D,$F26,'FCST data'!$K:$K,$G26,'FCST data'!$O:$O,$K26)</f>
        <v>4000</v>
      </c>
      <c r="O26" s="181">
        <f>SUMIFS('FCST data'!R:R,'FCST data'!$D:$D,$F26,'FCST data'!$K:$K,$G26,'FCST data'!$O:$O,$K26)</f>
        <v>5100</v>
      </c>
      <c r="P26" s="181">
        <f>SUMIFS('FCST data'!S:S,'FCST data'!$D:$D,$F26,'FCST data'!$K:$K,$G26,'FCST data'!$O:$O,$K26)</f>
        <v>0</v>
      </c>
      <c r="Q26" s="181">
        <f>SUMIFS('FCST data'!T:T,'FCST data'!$D:$D,$F26,'FCST data'!$K:$K,$G26,'FCST data'!$O:$O,$K26)</f>
        <v>0</v>
      </c>
      <c r="R26" s="181">
        <f>SUMIFS('FCST data'!U:U,'FCST data'!$D:$D,$F26,'FCST data'!$K:$K,$G26,'FCST data'!$O:$O,$K26)</f>
        <v>0</v>
      </c>
      <c r="S26" s="181">
        <f>SUMIFS('FCST data'!V:V,'FCST data'!$D:$D,$F26,'FCST data'!$K:$K,$G26,'FCST data'!$O:$O,$K26)</f>
        <v>0</v>
      </c>
      <c r="T26" s="181">
        <f>SUMIFS('FCST data'!W:W,'FCST data'!$D:$D,$F26,'FCST data'!$K:$K,$G26,'FCST data'!$O:$O,$K26)</f>
        <v>2000</v>
      </c>
      <c r="U26" s="181">
        <f>SUMIFS('FCST data'!X:X,'FCST data'!$D:$D,$F26,'FCST data'!$K:$K,$G26,'FCST data'!$O:$O,$K26)</f>
        <v>2000</v>
      </c>
      <c r="V26" s="181">
        <f>SUMIFS('FCST data'!Y:Y,'FCST data'!$D:$D,$F26,'FCST data'!$K:$K,$G26,'FCST data'!$O:$O,$K26)</f>
        <v>1000</v>
      </c>
      <c r="W26" s="181">
        <f>SUMIFS('FCST data'!Z:Z,'FCST data'!$D:$D,$F26,'FCST data'!$K:$K,$G26,'FCST data'!$O:$O,$K26)</f>
        <v>0</v>
      </c>
      <c r="X26" s="181">
        <f>SUMIFS('FCST data'!AA:AA,'FCST data'!$D:$D,$F26,'FCST data'!$K:$K,$G26,'FCST data'!$O:$O,$K26)</f>
        <v>0</v>
      </c>
      <c r="Y26" s="181">
        <f>SUMIFS('FCST data'!AB:AB,'FCST data'!$D:$D,$F26,'FCST data'!$K:$K,$G26,'FCST data'!$O:$O,$K26)</f>
        <v>0</v>
      </c>
      <c r="Z26" s="148"/>
      <c r="AA26" s="17">
        <f>E26-SUM(Z27:Z28)</f>
        <v>0</v>
      </c>
      <c r="AC26" s="16">
        <v>0</v>
      </c>
      <c r="AD26" s="183" t="s">
        <v>243</v>
      </c>
    </row>
    <row r="27" spans="2:31" ht="24" hidden="1">
      <c r="B27" s="16"/>
      <c r="C27" s="152"/>
      <c r="D27" s="284"/>
      <c r="E27" s="285"/>
      <c r="F27" s="286" t="s">
        <v>243</v>
      </c>
      <c r="G27" s="286" t="s">
        <v>264</v>
      </c>
      <c r="H27" s="284" t="s">
        <v>715</v>
      </c>
      <c r="I27" s="284" t="s">
        <v>716</v>
      </c>
      <c r="J27" s="287" t="s">
        <v>268</v>
      </c>
      <c r="K27" s="287" t="s">
        <v>421</v>
      </c>
      <c r="L27" s="160"/>
      <c r="M27" s="354" t="s">
        <v>565</v>
      </c>
      <c r="N27" s="291">
        <v>4000</v>
      </c>
      <c r="O27" s="291">
        <v>5100</v>
      </c>
      <c r="P27" s="291">
        <v>0</v>
      </c>
      <c r="Q27" s="291">
        <v>0</v>
      </c>
      <c r="R27" s="291"/>
      <c r="S27" s="291"/>
      <c r="T27" s="291">
        <v>2000</v>
      </c>
      <c r="U27" s="291">
        <v>2000</v>
      </c>
      <c r="V27" s="291">
        <v>1000</v>
      </c>
      <c r="W27" s="291"/>
      <c r="X27" s="291"/>
      <c r="Y27" s="291"/>
      <c r="Z27" s="177">
        <f>SUM(N27:Y27)</f>
        <v>14100</v>
      </c>
      <c r="AC27" s="16">
        <v>9000</v>
      </c>
      <c r="AD27" s="286" t="s">
        <v>243</v>
      </c>
    </row>
    <row r="28" spans="2:31" ht="14.4">
      <c r="B28" s="16"/>
      <c r="C28" s="152"/>
      <c r="D28" s="284"/>
      <c r="E28" s="285"/>
      <c r="F28" s="286" t="s">
        <v>243</v>
      </c>
      <c r="G28" s="286" t="s">
        <v>264</v>
      </c>
      <c r="H28" s="284" t="s">
        <v>717</v>
      </c>
      <c r="I28" s="287" t="s">
        <v>133</v>
      </c>
      <c r="J28" s="287" t="s">
        <v>268</v>
      </c>
      <c r="K28" s="287" t="s">
        <v>272</v>
      </c>
      <c r="L28" s="160"/>
      <c r="M28" s="355"/>
      <c r="N28" s="291"/>
      <c r="O28" s="291"/>
      <c r="P28" s="291"/>
      <c r="Q28" s="291"/>
      <c r="R28" s="291"/>
      <c r="S28" s="291"/>
      <c r="T28" s="291"/>
      <c r="U28" s="291"/>
      <c r="V28" s="291"/>
      <c r="W28" s="291"/>
      <c r="X28" s="291"/>
      <c r="Y28" s="291"/>
      <c r="Z28" s="177">
        <f>SUM(N28:Y28)</f>
        <v>0</v>
      </c>
      <c r="AC28" s="16">
        <v>0</v>
      </c>
      <c r="AD28" s="286" t="s">
        <v>243</v>
      </c>
    </row>
    <row r="29" spans="2:31" s="17" customFormat="1" ht="15.6" hidden="1">
      <c r="B29" s="16"/>
      <c r="C29" s="314"/>
      <c r="D29" s="174" t="s">
        <v>22</v>
      </c>
      <c r="E29" s="181">
        <f>SUM(N29:Y29)</f>
        <v>17000</v>
      </c>
      <c r="F29" s="183" t="s">
        <v>294</v>
      </c>
      <c r="G29" s="183" t="s">
        <v>266</v>
      </c>
      <c r="H29" s="181"/>
      <c r="I29" s="182"/>
      <c r="J29" s="182"/>
      <c r="K29" s="182" t="str">
        <f>VLOOKUP(F:F,'FCST data'!D:O,12,0)</f>
        <v>45W*4.0PHI</v>
      </c>
      <c r="L29" s="182"/>
      <c r="M29" s="353"/>
      <c r="N29" s="181">
        <f>SUMIFS('FCST data'!Q:Q,'FCST data'!$D:$D,$F29,'FCST data'!$K:$K,$G29,'FCST data'!$O:$O,$K29)</f>
        <v>1500</v>
      </c>
      <c r="O29" s="181">
        <f>SUMIFS('FCST data'!R:R,'FCST data'!$D:$D,$F29,'FCST data'!$K:$K,$G29,'FCST data'!$O:$O,$K29)</f>
        <v>3700</v>
      </c>
      <c r="P29" s="181">
        <f>SUMIFS('FCST data'!S:S,'FCST data'!$D:$D,$F29,'FCST data'!$K:$K,$G29,'FCST data'!$O:$O,$K29)</f>
        <v>4000</v>
      </c>
      <c r="Q29" s="181">
        <f>SUMIFS('FCST data'!T:T,'FCST data'!$D:$D,$F29,'FCST data'!$K:$K,$G29,'FCST data'!$O:$O,$K29)</f>
        <v>4000</v>
      </c>
      <c r="R29" s="181">
        <f>SUMIFS('FCST data'!U:U,'FCST data'!$D:$D,$F29,'FCST data'!$K:$K,$G29,'FCST data'!$O:$O,$K29)</f>
        <v>3800</v>
      </c>
      <c r="S29" s="181">
        <f>SUMIFS('FCST data'!V:V,'FCST data'!$D:$D,$F29,'FCST data'!$K:$K,$G29,'FCST data'!$O:$O,$K29)</f>
        <v>0</v>
      </c>
      <c r="T29" s="181">
        <f>SUMIFS('FCST data'!W:W,'FCST data'!$D:$D,$F29,'FCST data'!$K:$K,$G29,'FCST data'!$O:$O,$K29)</f>
        <v>0</v>
      </c>
      <c r="U29" s="181">
        <f>SUMIFS('FCST data'!X:X,'FCST data'!$D:$D,$F29,'FCST data'!$K:$K,$G29,'FCST data'!$O:$O,$K29)</f>
        <v>0</v>
      </c>
      <c r="V29" s="181">
        <f>SUMIFS('FCST data'!Y:Y,'FCST data'!$D:$D,$F29,'FCST data'!$K:$K,$G29,'FCST data'!$O:$O,$K29)</f>
        <v>0</v>
      </c>
      <c r="W29" s="181">
        <f>SUMIFS('FCST data'!Z:Z,'FCST data'!$D:$D,$F29,'FCST data'!$K:$K,$G29,'FCST data'!$O:$O,$K29)</f>
        <v>0</v>
      </c>
      <c r="X29" s="181">
        <f>SUMIFS('FCST data'!AA:AA,'FCST data'!$D:$D,$F29,'FCST data'!$K:$K,$G29,'FCST data'!$O:$O,$K29)</f>
        <v>0</v>
      </c>
      <c r="Y29" s="181">
        <f>SUMIFS('FCST data'!AB:AB,'FCST data'!$D:$D,$F29,'FCST data'!$K:$K,$G29,'FCST data'!$O:$O,$K29)</f>
        <v>0</v>
      </c>
      <c r="Z29" s="148"/>
      <c r="AA29" s="17">
        <f>E29-SUM(Z30:Z31)</f>
        <v>0</v>
      </c>
      <c r="AC29" s="16">
        <v>0</v>
      </c>
      <c r="AD29" s="183" t="s">
        <v>294</v>
      </c>
    </row>
    <row r="30" spans="2:31" s="17" customFormat="1" ht="36" hidden="1">
      <c r="B30" s="16"/>
      <c r="C30" s="152"/>
      <c r="D30" s="284"/>
      <c r="E30" s="285"/>
      <c r="F30" s="286" t="s">
        <v>294</v>
      </c>
      <c r="G30" s="286" t="s">
        <v>266</v>
      </c>
      <c r="H30" s="284" t="s">
        <v>715</v>
      </c>
      <c r="I30" s="284" t="s">
        <v>716</v>
      </c>
      <c r="J30" s="287" t="s">
        <v>268</v>
      </c>
      <c r="K30" s="287" t="s">
        <v>418</v>
      </c>
      <c r="L30" s="160"/>
      <c r="M30" s="354" t="s">
        <v>563</v>
      </c>
      <c r="N30" s="291">
        <v>1500</v>
      </c>
      <c r="O30" s="291">
        <v>3700</v>
      </c>
      <c r="P30" s="291">
        <v>4000</v>
      </c>
      <c r="Q30" s="291">
        <v>4000</v>
      </c>
      <c r="R30" s="291">
        <v>3800</v>
      </c>
      <c r="S30" s="291">
        <v>0</v>
      </c>
      <c r="T30" s="291"/>
      <c r="U30" s="291"/>
      <c r="V30" s="291"/>
      <c r="W30" s="291"/>
      <c r="X30" s="291"/>
      <c r="Y30" s="291"/>
      <c r="Z30" s="177">
        <f>SUM(N30:Y30)</f>
        <v>17000</v>
      </c>
      <c r="AC30" s="16">
        <v>0</v>
      </c>
      <c r="AD30" s="286" t="s">
        <v>294</v>
      </c>
    </row>
    <row r="31" spans="2:31" s="17" customFormat="1" ht="14.4">
      <c r="B31" s="16"/>
      <c r="C31" s="152"/>
      <c r="D31" s="284"/>
      <c r="E31" s="285"/>
      <c r="F31" s="286" t="s">
        <v>294</v>
      </c>
      <c r="G31" s="286" t="s">
        <v>266</v>
      </c>
      <c r="H31" s="284" t="s">
        <v>717</v>
      </c>
      <c r="I31" s="287" t="s">
        <v>133</v>
      </c>
      <c r="J31" s="287" t="s">
        <v>268</v>
      </c>
      <c r="K31" s="287" t="s">
        <v>418</v>
      </c>
      <c r="L31" s="160"/>
      <c r="M31" s="355"/>
      <c r="N31" s="291"/>
      <c r="O31" s="291"/>
      <c r="P31" s="291"/>
      <c r="Q31" s="291"/>
      <c r="R31" s="291"/>
      <c r="S31" s="291"/>
      <c r="T31" s="291"/>
      <c r="U31" s="291"/>
      <c r="V31" s="291"/>
      <c r="W31" s="291"/>
      <c r="X31" s="291"/>
      <c r="Y31" s="291"/>
      <c r="Z31" s="177">
        <f>SUM(N31:Y31)</f>
        <v>0</v>
      </c>
      <c r="AC31" s="16">
        <v>0</v>
      </c>
      <c r="AD31" s="286" t="s">
        <v>294</v>
      </c>
    </row>
    <row r="32" spans="2:31" s="17" customFormat="1" ht="15.6" hidden="1">
      <c r="B32" s="16"/>
      <c r="C32" s="314"/>
      <c r="D32" s="174" t="s">
        <v>22</v>
      </c>
      <c r="E32" s="181">
        <f>SUM(N32:Y32)</f>
        <v>500</v>
      </c>
      <c r="F32" s="183" t="s">
        <v>294</v>
      </c>
      <c r="G32" s="183" t="s">
        <v>690</v>
      </c>
      <c r="H32" s="181"/>
      <c r="I32" s="182"/>
      <c r="J32" s="182"/>
      <c r="K32" s="182" t="str">
        <f>VLOOKUP(F:F,'FCST data'!D:O,12,0)</f>
        <v>45W*4.0PHI</v>
      </c>
      <c r="L32" s="182"/>
      <c r="M32" s="353"/>
      <c r="N32" s="181">
        <f>SUMIFS('FCST data'!Q:Q,'FCST data'!$D:$D,$F32,'FCST data'!$K:$K,$G32,'FCST data'!$O:$O,$K32)</f>
        <v>500</v>
      </c>
      <c r="O32" s="181">
        <f>SUMIFS('FCST data'!R:R,'FCST data'!$D:$D,$F32,'FCST data'!$K:$K,$G32,'FCST data'!$O:$O,$K32)</f>
        <v>0</v>
      </c>
      <c r="P32" s="181">
        <f>SUMIFS('FCST data'!S:S,'FCST data'!$D:$D,$F32,'FCST data'!$K:$K,$G32,'FCST data'!$O:$O,$K32)</f>
        <v>0</v>
      </c>
      <c r="Q32" s="181">
        <f>SUMIFS('FCST data'!T:T,'FCST data'!$D:$D,$F32,'FCST data'!$K:$K,$G32,'FCST data'!$O:$O,$K32)</f>
        <v>0</v>
      </c>
      <c r="R32" s="181">
        <f>SUMIFS('FCST data'!U:U,'FCST data'!$D:$D,$F32,'FCST data'!$K:$K,$G32,'FCST data'!$O:$O,$K32)</f>
        <v>0</v>
      </c>
      <c r="S32" s="181">
        <f>SUMIFS('FCST data'!V:V,'FCST data'!$D:$D,$F32,'FCST data'!$K:$K,$G32,'FCST data'!$O:$O,$K32)</f>
        <v>0</v>
      </c>
      <c r="T32" s="181">
        <f>SUMIFS('FCST data'!W:W,'FCST data'!$D:$D,$F32,'FCST data'!$K:$K,$G32,'FCST data'!$O:$O,$K32)</f>
        <v>0</v>
      </c>
      <c r="U32" s="181">
        <f>SUMIFS('FCST data'!X:X,'FCST data'!$D:$D,$F32,'FCST data'!$K:$K,$G32,'FCST data'!$O:$O,$K32)</f>
        <v>0</v>
      </c>
      <c r="V32" s="181">
        <f>SUMIFS('FCST data'!Y:Y,'FCST data'!$D:$D,$F32,'FCST data'!$K:$K,$G32,'FCST data'!$O:$O,$K32)</f>
        <v>0</v>
      </c>
      <c r="W32" s="181">
        <f>SUMIFS('FCST data'!Z:Z,'FCST data'!$D:$D,$F32,'FCST data'!$K:$K,$G32,'FCST data'!$O:$O,$K32)</f>
        <v>0</v>
      </c>
      <c r="X32" s="181">
        <f>SUMIFS('FCST data'!AA:AA,'FCST data'!$D:$D,$F32,'FCST data'!$K:$K,$G32,'FCST data'!$O:$O,$K32)</f>
        <v>0</v>
      </c>
      <c r="Y32" s="181">
        <f>SUMIFS('FCST data'!AB:AB,'FCST data'!$D:$D,$F32,'FCST data'!$K:$K,$G32,'FCST data'!$O:$O,$K32)</f>
        <v>0</v>
      </c>
      <c r="Z32" s="148"/>
      <c r="AA32" s="17">
        <f>E32-SUM(Z33:Z34)</f>
        <v>0</v>
      </c>
      <c r="AC32" s="16">
        <v>0</v>
      </c>
      <c r="AD32" s="183" t="s">
        <v>294</v>
      </c>
    </row>
    <row r="33" spans="2:30" s="17" customFormat="1" ht="36" hidden="1">
      <c r="B33" s="16"/>
      <c r="C33" s="152"/>
      <c r="D33" s="284"/>
      <c r="E33" s="285"/>
      <c r="F33" s="286" t="s">
        <v>294</v>
      </c>
      <c r="G33" s="286" t="s">
        <v>690</v>
      </c>
      <c r="H33" s="284" t="s">
        <v>715</v>
      </c>
      <c r="I33" s="284" t="s">
        <v>716</v>
      </c>
      <c r="J33" s="287" t="s">
        <v>268</v>
      </c>
      <c r="K33" s="287" t="s">
        <v>418</v>
      </c>
      <c r="L33" s="160"/>
      <c r="M33" s="354" t="s">
        <v>563</v>
      </c>
      <c r="N33" s="291">
        <v>500</v>
      </c>
      <c r="O33" s="291">
        <v>0</v>
      </c>
      <c r="P33" s="291">
        <v>0</v>
      </c>
      <c r="Q33" s="291">
        <v>0</v>
      </c>
      <c r="R33" s="291"/>
      <c r="S33" s="291"/>
      <c r="T33" s="291"/>
      <c r="U33" s="291"/>
      <c r="V33" s="291"/>
      <c r="W33" s="291"/>
      <c r="X33" s="291"/>
      <c r="Y33" s="291"/>
      <c r="Z33" s="177">
        <f>SUM(N33:Y33)</f>
        <v>500</v>
      </c>
      <c r="AC33" s="16">
        <v>500</v>
      </c>
      <c r="AD33" s="286" t="s">
        <v>294</v>
      </c>
    </row>
    <row r="34" spans="2:30" s="17" customFormat="1" ht="14.4">
      <c r="B34" s="16"/>
      <c r="C34" s="152"/>
      <c r="D34" s="284"/>
      <c r="E34" s="285"/>
      <c r="F34" s="286" t="s">
        <v>294</v>
      </c>
      <c r="G34" s="286" t="s">
        <v>690</v>
      </c>
      <c r="H34" s="284" t="s">
        <v>717</v>
      </c>
      <c r="I34" s="287" t="s">
        <v>133</v>
      </c>
      <c r="J34" s="287" t="s">
        <v>268</v>
      </c>
      <c r="K34" s="287" t="s">
        <v>418</v>
      </c>
      <c r="L34" s="160"/>
      <c r="M34" s="355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177">
        <f>SUM(N34:Y34)</f>
        <v>0</v>
      </c>
      <c r="AC34" s="16">
        <v>0</v>
      </c>
      <c r="AD34" s="286" t="s">
        <v>294</v>
      </c>
    </row>
    <row r="35" spans="2:30" ht="15.6" hidden="1">
      <c r="B35" s="16"/>
      <c r="C35" s="314"/>
      <c r="D35" s="174" t="s">
        <v>22</v>
      </c>
      <c r="E35" s="181">
        <f>SUM(N35:Y35)</f>
        <v>2600</v>
      </c>
      <c r="F35" s="183" t="s">
        <v>139</v>
      </c>
      <c r="G35" s="183" t="s">
        <v>264</v>
      </c>
      <c r="H35" s="181"/>
      <c r="I35" s="182"/>
      <c r="J35" s="182"/>
      <c r="K35" s="182" t="str">
        <f>VLOOKUP(F:F,'FCST data'!D:O,12,0)</f>
        <v>33W*4.0PHI</v>
      </c>
      <c r="L35" s="182"/>
      <c r="M35" s="353"/>
      <c r="N35" s="181">
        <f>SUMIFS('FCST data'!Q:Q,'FCST data'!$D:$D,$F35,'FCST data'!$K:$K,$G35,'FCST data'!$O:$O,$K35)</f>
        <v>200</v>
      </c>
      <c r="O35" s="181">
        <f>SUMIFS('FCST data'!R:R,'FCST data'!$D:$D,$F35,'FCST data'!$K:$K,$G35,'FCST data'!$O:$O,$K35)</f>
        <v>1200</v>
      </c>
      <c r="P35" s="181">
        <f>SUMIFS('FCST data'!S:S,'FCST data'!$D:$D,$F35,'FCST data'!$K:$K,$G35,'FCST data'!$O:$O,$K35)</f>
        <v>0</v>
      </c>
      <c r="Q35" s="181">
        <f>SUMIFS('FCST data'!T:T,'FCST data'!$D:$D,$F35,'FCST data'!$K:$K,$G35,'FCST data'!$O:$O,$K35)</f>
        <v>0</v>
      </c>
      <c r="R35" s="181">
        <f>SUMIFS('FCST data'!U:U,'FCST data'!$D:$D,$F35,'FCST data'!$K:$K,$G35,'FCST data'!$O:$O,$K35)</f>
        <v>600</v>
      </c>
      <c r="S35" s="181">
        <f>SUMIFS('FCST data'!V:V,'FCST data'!$D:$D,$F35,'FCST data'!$K:$K,$G35,'FCST data'!$O:$O,$K35)</f>
        <v>600</v>
      </c>
      <c r="T35" s="181">
        <f>SUMIFS('FCST data'!W:W,'FCST data'!$D:$D,$F35,'FCST data'!$K:$K,$G35,'FCST data'!$O:$O,$K35)</f>
        <v>0</v>
      </c>
      <c r="U35" s="181">
        <f>SUMIFS('FCST data'!X:X,'FCST data'!$D:$D,$F35,'FCST data'!$K:$K,$G35,'FCST data'!$O:$O,$K35)</f>
        <v>0</v>
      </c>
      <c r="V35" s="181">
        <f>SUMIFS('FCST data'!Y:Y,'FCST data'!$D:$D,$F35,'FCST data'!$K:$K,$G35,'FCST data'!$O:$O,$K35)</f>
        <v>0</v>
      </c>
      <c r="W35" s="181">
        <f>SUMIFS('FCST data'!Z:Z,'FCST data'!$D:$D,$F35,'FCST data'!$K:$K,$G35,'FCST data'!$O:$O,$K35)</f>
        <v>0</v>
      </c>
      <c r="X35" s="181">
        <f>SUMIFS('FCST data'!AA:AA,'FCST data'!$D:$D,$F35,'FCST data'!$K:$K,$G35,'FCST data'!$O:$O,$K35)</f>
        <v>0</v>
      </c>
      <c r="Y35" s="181">
        <f>SUMIFS('FCST data'!AB:AB,'FCST data'!$D:$D,$F35,'FCST data'!$K:$K,$G35,'FCST data'!$O:$O,$K35)</f>
        <v>0</v>
      </c>
      <c r="Z35" s="148"/>
      <c r="AA35" s="17">
        <f>E35-SUM(Z36:Z37)</f>
        <v>0</v>
      </c>
      <c r="AC35" s="16">
        <v>0</v>
      </c>
      <c r="AD35" s="183" t="s">
        <v>139</v>
      </c>
    </row>
    <row r="36" spans="2:30" ht="24" hidden="1">
      <c r="B36" s="16"/>
      <c r="C36" s="152"/>
      <c r="D36" s="284"/>
      <c r="E36" s="285"/>
      <c r="F36" s="286" t="s">
        <v>139</v>
      </c>
      <c r="G36" s="286" t="s">
        <v>264</v>
      </c>
      <c r="H36" s="284" t="s">
        <v>715</v>
      </c>
      <c r="I36" s="284" t="s">
        <v>716</v>
      </c>
      <c r="J36" s="287" t="s">
        <v>268</v>
      </c>
      <c r="K36" s="287" t="s">
        <v>417</v>
      </c>
      <c r="L36" s="160"/>
      <c r="M36" s="354" t="s">
        <v>565</v>
      </c>
      <c r="N36" s="291">
        <v>200</v>
      </c>
      <c r="O36" s="291">
        <v>1200</v>
      </c>
      <c r="P36" s="291">
        <v>0</v>
      </c>
      <c r="Q36" s="291">
        <v>0</v>
      </c>
      <c r="R36" s="291">
        <v>600</v>
      </c>
      <c r="S36" s="291">
        <v>600</v>
      </c>
      <c r="T36" s="291"/>
      <c r="U36" s="291"/>
      <c r="V36" s="291"/>
      <c r="W36" s="291"/>
      <c r="X36" s="291"/>
      <c r="Y36" s="291"/>
      <c r="Z36" s="177">
        <f>SUM(N36:Y36)</f>
        <v>2600</v>
      </c>
      <c r="AC36" s="16">
        <v>1300</v>
      </c>
      <c r="AD36" s="286" t="s">
        <v>139</v>
      </c>
    </row>
    <row r="37" spans="2:30" ht="14.4">
      <c r="B37" s="16"/>
      <c r="C37" s="152"/>
      <c r="D37" s="284"/>
      <c r="E37" s="285"/>
      <c r="F37" s="286" t="s">
        <v>139</v>
      </c>
      <c r="G37" s="286" t="s">
        <v>264</v>
      </c>
      <c r="H37" s="284" t="s">
        <v>717</v>
      </c>
      <c r="I37" s="287" t="s">
        <v>133</v>
      </c>
      <c r="J37" s="287" t="s">
        <v>268</v>
      </c>
      <c r="K37" s="287" t="s">
        <v>272</v>
      </c>
      <c r="L37" s="160"/>
      <c r="M37" s="355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177">
        <f>SUM(N37:Y37)</f>
        <v>0</v>
      </c>
      <c r="AC37" s="16">
        <v>0</v>
      </c>
      <c r="AD37" s="286" t="s">
        <v>139</v>
      </c>
    </row>
    <row r="38" spans="2:30" ht="15.6" hidden="1">
      <c r="B38" s="16"/>
      <c r="C38" s="314"/>
      <c r="D38" s="174" t="s">
        <v>22</v>
      </c>
      <c r="E38" s="181">
        <f>SUM(N38:Y38)</f>
        <v>0</v>
      </c>
      <c r="F38" s="183" t="s">
        <v>416</v>
      </c>
      <c r="G38" s="183" t="s">
        <v>264</v>
      </c>
      <c r="H38" s="181"/>
      <c r="I38" s="182"/>
      <c r="J38" s="182"/>
      <c r="K38" s="182" t="str">
        <f>VLOOKUP(F:F,'FCST data'!D:O,12,0)</f>
        <v>33W*4.0PHI</v>
      </c>
      <c r="L38" s="182"/>
      <c r="M38" s="353"/>
      <c r="N38" s="181">
        <f>SUMIFS('FCST data'!Q:Q,'FCST data'!$D:$D,$F38,'FCST data'!$K:$K,$G38,'FCST data'!$O:$O,$K38)</f>
        <v>0</v>
      </c>
      <c r="O38" s="181">
        <f>SUMIFS('FCST data'!R:R,'FCST data'!$D:$D,$F38,'FCST data'!$K:$K,$G38,'FCST data'!$O:$O,$K38)</f>
        <v>0</v>
      </c>
      <c r="P38" s="181">
        <f>SUMIFS('FCST data'!S:S,'FCST data'!$D:$D,$F38,'FCST data'!$K:$K,$G38,'FCST data'!$O:$O,$K38)</f>
        <v>0</v>
      </c>
      <c r="Q38" s="181">
        <f>SUMIFS('FCST data'!T:T,'FCST data'!$D:$D,$F38,'FCST data'!$K:$K,$G38,'FCST data'!$O:$O,$K38)</f>
        <v>0</v>
      </c>
      <c r="R38" s="181">
        <f>SUMIFS('FCST data'!U:U,'FCST data'!$D:$D,$F38,'FCST data'!$K:$K,$G38,'FCST data'!$O:$O,$K38)</f>
        <v>0</v>
      </c>
      <c r="S38" s="181">
        <f>SUMIFS('FCST data'!V:V,'FCST data'!$D:$D,$F38,'FCST data'!$K:$K,$G38,'FCST data'!$O:$O,$K38)</f>
        <v>0</v>
      </c>
      <c r="T38" s="181">
        <f>SUMIFS('FCST data'!W:W,'FCST data'!$D:$D,$F38,'FCST data'!$K:$K,$G38,'FCST data'!$O:$O,$K38)</f>
        <v>0</v>
      </c>
      <c r="U38" s="181">
        <f>SUMIFS('FCST data'!X:X,'FCST data'!$D:$D,$F38,'FCST data'!$K:$K,$G38,'FCST data'!$O:$O,$K38)</f>
        <v>0</v>
      </c>
      <c r="V38" s="181">
        <f>SUMIFS('FCST data'!Y:Y,'FCST data'!$D:$D,$F38,'FCST data'!$K:$K,$G38,'FCST data'!$O:$O,$K38)</f>
        <v>0</v>
      </c>
      <c r="W38" s="181">
        <f>SUMIFS('FCST data'!Z:Z,'FCST data'!$D:$D,$F38,'FCST data'!$K:$K,$G38,'FCST data'!$O:$O,$K38)</f>
        <v>0</v>
      </c>
      <c r="X38" s="181">
        <f>SUMIFS('FCST data'!AA:AA,'FCST data'!$D:$D,$F38,'FCST data'!$K:$K,$G38,'FCST data'!$O:$O,$K38)</f>
        <v>0</v>
      </c>
      <c r="Y38" s="181">
        <f>SUMIFS('FCST data'!AB:AB,'FCST data'!$D:$D,$F38,'FCST data'!$K:$K,$G38,'FCST data'!$O:$O,$K38)</f>
        <v>0</v>
      </c>
      <c r="Z38" s="148"/>
      <c r="AA38" s="17">
        <f>E38-SUM(Z39:Z40)</f>
        <v>0</v>
      </c>
      <c r="AC38" s="16">
        <v>0</v>
      </c>
      <c r="AD38" s="183" t="s">
        <v>416</v>
      </c>
    </row>
    <row r="39" spans="2:30" ht="24" hidden="1">
      <c r="B39" s="16"/>
      <c r="C39" s="152"/>
      <c r="D39" s="284"/>
      <c r="E39" s="285"/>
      <c r="F39" s="286" t="s">
        <v>416</v>
      </c>
      <c r="G39" s="286" t="s">
        <v>264</v>
      </c>
      <c r="H39" s="284" t="s">
        <v>715</v>
      </c>
      <c r="I39" s="284" t="s">
        <v>716</v>
      </c>
      <c r="J39" s="287" t="s">
        <v>268</v>
      </c>
      <c r="K39" s="287" t="s">
        <v>417</v>
      </c>
      <c r="L39" s="160"/>
      <c r="M39" s="354" t="s">
        <v>565</v>
      </c>
      <c r="N39" s="291"/>
      <c r="O39" s="291">
        <v>0</v>
      </c>
      <c r="P39" s="291">
        <v>0</v>
      </c>
      <c r="Q39" s="291">
        <v>0</v>
      </c>
      <c r="R39" s="291"/>
      <c r="S39" s="291"/>
      <c r="T39" s="291"/>
      <c r="U39" s="291"/>
      <c r="V39" s="291"/>
      <c r="W39" s="291"/>
      <c r="X39" s="291"/>
      <c r="Y39" s="291"/>
      <c r="Z39" s="177">
        <f>SUM(N39:Y39)</f>
        <v>0</v>
      </c>
      <c r="AC39" s="16">
        <v>0</v>
      </c>
      <c r="AD39" s="286" t="s">
        <v>416</v>
      </c>
    </row>
    <row r="40" spans="2:30" ht="14.4">
      <c r="B40" s="16"/>
      <c r="C40" s="152"/>
      <c r="D40" s="284"/>
      <c r="E40" s="285"/>
      <c r="F40" s="286" t="s">
        <v>416</v>
      </c>
      <c r="G40" s="286" t="s">
        <v>264</v>
      </c>
      <c r="H40" s="284" t="s">
        <v>717</v>
      </c>
      <c r="I40" s="287" t="s">
        <v>133</v>
      </c>
      <c r="J40" s="287" t="s">
        <v>268</v>
      </c>
      <c r="K40" s="287" t="s">
        <v>272</v>
      </c>
      <c r="L40" s="160"/>
      <c r="M40" s="355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177">
        <f>SUM(N40:Y40)</f>
        <v>0</v>
      </c>
      <c r="AC40" s="16">
        <v>0</v>
      </c>
      <c r="AD40" s="286" t="s">
        <v>416</v>
      </c>
    </row>
    <row r="41" spans="2:30" ht="15.6" hidden="1">
      <c r="B41" s="16"/>
      <c r="C41" s="314"/>
      <c r="D41" s="174" t="s">
        <v>22</v>
      </c>
      <c r="E41" s="181">
        <f>SUM(N41:Y41)</f>
        <v>950</v>
      </c>
      <c r="F41" s="175" t="s">
        <v>198</v>
      </c>
      <c r="G41" s="175" t="s">
        <v>373</v>
      </c>
      <c r="H41" s="181"/>
      <c r="I41" s="182"/>
      <c r="J41" s="182"/>
      <c r="K41" s="182" t="str">
        <f>VLOOKUP(F:F,'FCST data'!D:O,12,0)</f>
        <v>65W*4.0PHI</v>
      </c>
      <c r="L41" s="182"/>
      <c r="M41" s="353"/>
      <c r="N41" s="181">
        <f>SUMIFS('FCST data'!Q:Q,'FCST data'!$D:$D,$F41,'FCST data'!$K:$K,$G41,'FCST data'!$O:$O,$K41)</f>
        <v>150</v>
      </c>
      <c r="O41" s="181">
        <f>SUMIFS('FCST data'!R:R,'FCST data'!$D:$D,$F41,'FCST data'!$K:$K,$G41,'FCST data'!$O:$O,$K41)</f>
        <v>800</v>
      </c>
      <c r="P41" s="181">
        <f>SUMIFS('FCST data'!S:S,'FCST data'!$D:$D,$F41,'FCST data'!$K:$K,$G41,'FCST data'!$O:$O,$K41)</f>
        <v>0</v>
      </c>
      <c r="Q41" s="181">
        <f>SUMIFS('FCST data'!T:T,'FCST data'!$D:$D,$F41,'FCST data'!$K:$K,$G41,'FCST data'!$O:$O,$K41)</f>
        <v>0</v>
      </c>
      <c r="R41" s="181">
        <f>SUMIFS('FCST data'!U:U,'FCST data'!$D:$D,$F41,'FCST data'!$K:$K,$G41,'FCST data'!$O:$O,$K41)</f>
        <v>0</v>
      </c>
      <c r="S41" s="181">
        <f>SUMIFS('FCST data'!V:V,'FCST data'!$D:$D,$F41,'FCST data'!$K:$K,$G41,'FCST data'!$O:$O,$K41)</f>
        <v>0</v>
      </c>
      <c r="T41" s="181">
        <f>SUMIFS('FCST data'!W:W,'FCST data'!$D:$D,$F41,'FCST data'!$K:$K,$G41,'FCST data'!$O:$O,$K41)</f>
        <v>0</v>
      </c>
      <c r="U41" s="181">
        <f>SUMIFS('FCST data'!X:X,'FCST data'!$D:$D,$F41,'FCST data'!$K:$K,$G41,'FCST data'!$O:$O,$K41)</f>
        <v>0</v>
      </c>
      <c r="V41" s="181">
        <f>SUMIFS('FCST data'!Y:Y,'FCST data'!$D:$D,$F41,'FCST data'!$K:$K,$G41,'FCST data'!$O:$O,$K41)</f>
        <v>0</v>
      </c>
      <c r="W41" s="181">
        <f>SUMIFS('FCST data'!Z:Z,'FCST data'!$D:$D,$F41,'FCST data'!$K:$K,$G41,'FCST data'!$O:$O,$K41)</f>
        <v>0</v>
      </c>
      <c r="X41" s="181">
        <f>SUMIFS('FCST data'!AA:AA,'FCST data'!$D:$D,$F41,'FCST data'!$K:$K,$G41,'FCST data'!$O:$O,$K41)</f>
        <v>0</v>
      </c>
      <c r="Y41" s="181">
        <f>SUMIFS('FCST data'!AB:AB,'FCST data'!$D:$D,$F41,'FCST data'!$K:$K,$G41,'FCST data'!$O:$O,$K41)</f>
        <v>0</v>
      </c>
      <c r="Z41" s="148"/>
      <c r="AA41" s="17">
        <f>E41-SUM(Z42:Z43)</f>
        <v>0</v>
      </c>
      <c r="AC41" s="16">
        <v>0</v>
      </c>
      <c r="AD41" s="175" t="s">
        <v>198</v>
      </c>
    </row>
    <row r="42" spans="2:30" ht="24" hidden="1">
      <c r="B42" s="16"/>
      <c r="C42" s="152"/>
      <c r="D42" s="284"/>
      <c r="E42" s="285"/>
      <c r="F42" s="286" t="s">
        <v>198</v>
      </c>
      <c r="G42" s="286" t="s">
        <v>373</v>
      </c>
      <c r="H42" s="284" t="s">
        <v>715</v>
      </c>
      <c r="I42" s="284" t="s">
        <v>716</v>
      </c>
      <c r="J42" s="287" t="s">
        <v>268</v>
      </c>
      <c r="K42" s="287" t="s">
        <v>419</v>
      </c>
      <c r="L42" s="160"/>
      <c r="M42" s="354" t="s">
        <v>564</v>
      </c>
      <c r="N42" s="291">
        <v>150</v>
      </c>
      <c r="O42" s="291">
        <v>800</v>
      </c>
      <c r="P42" s="291">
        <v>0</v>
      </c>
      <c r="Q42" s="291">
        <v>0</v>
      </c>
      <c r="R42" s="291"/>
      <c r="S42" s="291"/>
      <c r="T42" s="291"/>
      <c r="U42" s="291"/>
      <c r="V42" s="291"/>
      <c r="W42" s="291"/>
      <c r="X42" s="291"/>
      <c r="Y42" s="291"/>
      <c r="Z42" s="177">
        <f>SUM(N42:Y42)</f>
        <v>950</v>
      </c>
      <c r="AC42" s="16">
        <v>820</v>
      </c>
      <c r="AD42" s="286" t="s">
        <v>198</v>
      </c>
    </row>
    <row r="43" spans="2:30" ht="14.4">
      <c r="B43" s="16"/>
      <c r="C43" s="152"/>
      <c r="D43" s="284"/>
      <c r="E43" s="285"/>
      <c r="F43" s="286" t="s">
        <v>198</v>
      </c>
      <c r="G43" s="286" t="s">
        <v>373</v>
      </c>
      <c r="H43" s="284" t="s">
        <v>717</v>
      </c>
      <c r="I43" s="287" t="s">
        <v>133</v>
      </c>
      <c r="J43" s="287" t="s">
        <v>268</v>
      </c>
      <c r="K43" s="287" t="s">
        <v>419</v>
      </c>
      <c r="L43" s="160"/>
      <c r="M43" s="355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177">
        <f>SUM(N43:Y43)</f>
        <v>0</v>
      </c>
      <c r="AC43" s="16">
        <v>0</v>
      </c>
      <c r="AD43" s="286" t="s">
        <v>198</v>
      </c>
    </row>
    <row r="44" spans="2:30" ht="15.6" hidden="1">
      <c r="B44" s="16"/>
      <c r="C44" s="314"/>
      <c r="D44" s="174" t="s">
        <v>22</v>
      </c>
      <c r="E44" s="181">
        <f>SUM(N44:Y44)</f>
        <v>750</v>
      </c>
      <c r="F44" s="175" t="s">
        <v>198</v>
      </c>
      <c r="G44" s="175" t="s">
        <v>382</v>
      </c>
      <c r="H44" s="181"/>
      <c r="I44" s="182"/>
      <c r="J44" s="182"/>
      <c r="K44" s="182" t="str">
        <f>VLOOKUP(F:F,'FCST data'!D:O,12,0)</f>
        <v>65W*4.0PHI</v>
      </c>
      <c r="L44" s="182"/>
      <c r="M44" s="353"/>
      <c r="N44" s="181">
        <f>SUMIFS('FCST data'!Q:Q,'FCST data'!$D:$D,$F44,'FCST data'!$K:$K,$G44,'FCST data'!$O:$O,$K44)</f>
        <v>150</v>
      </c>
      <c r="O44" s="181">
        <f>SUMIFS('FCST data'!R:R,'FCST data'!$D:$D,$F44,'FCST data'!$K:$K,$G44,'FCST data'!$O:$O,$K44)</f>
        <v>600</v>
      </c>
      <c r="P44" s="181">
        <f>SUMIFS('FCST data'!S:S,'FCST data'!$D:$D,$F44,'FCST data'!$K:$K,$G44,'FCST data'!$O:$O,$K44)</f>
        <v>0</v>
      </c>
      <c r="Q44" s="181">
        <f>SUMIFS('FCST data'!T:T,'FCST data'!$D:$D,$F44,'FCST data'!$K:$K,$G44,'FCST data'!$O:$O,$K44)</f>
        <v>0</v>
      </c>
      <c r="R44" s="181">
        <f>SUMIFS('FCST data'!U:U,'FCST data'!$D:$D,$F44,'FCST data'!$K:$K,$G44,'FCST data'!$O:$O,$K44)</f>
        <v>0</v>
      </c>
      <c r="S44" s="181">
        <f>SUMIFS('FCST data'!V:V,'FCST data'!$D:$D,$F44,'FCST data'!$K:$K,$G44,'FCST data'!$O:$O,$K44)</f>
        <v>0</v>
      </c>
      <c r="T44" s="181">
        <f>SUMIFS('FCST data'!W:W,'FCST data'!$D:$D,$F44,'FCST data'!$K:$K,$G44,'FCST data'!$O:$O,$K44)</f>
        <v>0</v>
      </c>
      <c r="U44" s="181">
        <f>SUMIFS('FCST data'!X:X,'FCST data'!$D:$D,$F44,'FCST data'!$K:$K,$G44,'FCST data'!$O:$O,$K44)</f>
        <v>0</v>
      </c>
      <c r="V44" s="181">
        <f>SUMIFS('FCST data'!Y:Y,'FCST data'!$D:$D,$F44,'FCST data'!$K:$K,$G44,'FCST data'!$O:$O,$K44)</f>
        <v>0</v>
      </c>
      <c r="W44" s="181">
        <f>SUMIFS('FCST data'!Z:Z,'FCST data'!$D:$D,$F44,'FCST data'!$K:$K,$G44,'FCST data'!$O:$O,$K44)</f>
        <v>0</v>
      </c>
      <c r="X44" s="181">
        <f>SUMIFS('FCST data'!AA:AA,'FCST data'!$D:$D,$F44,'FCST data'!$K:$K,$G44,'FCST data'!$O:$O,$K44)</f>
        <v>0</v>
      </c>
      <c r="Y44" s="181">
        <f>SUMIFS('FCST data'!AB:AB,'FCST data'!$D:$D,$F44,'FCST data'!$K:$K,$G44,'FCST data'!$O:$O,$K44)</f>
        <v>0</v>
      </c>
      <c r="Z44" s="148"/>
      <c r="AA44" s="17">
        <f>E44-SUM(Z45:Z46)</f>
        <v>0</v>
      </c>
      <c r="AC44" s="16">
        <v>0</v>
      </c>
      <c r="AD44" s="175" t="s">
        <v>198</v>
      </c>
    </row>
    <row r="45" spans="2:30" ht="24" hidden="1">
      <c r="B45" s="16"/>
      <c r="C45" s="152"/>
      <c r="D45" s="284"/>
      <c r="E45" s="285"/>
      <c r="F45" s="286" t="s">
        <v>198</v>
      </c>
      <c r="G45" s="286" t="s">
        <v>382</v>
      </c>
      <c r="H45" s="284" t="s">
        <v>715</v>
      </c>
      <c r="I45" s="284" t="s">
        <v>716</v>
      </c>
      <c r="J45" s="287" t="s">
        <v>268</v>
      </c>
      <c r="K45" s="287" t="s">
        <v>419</v>
      </c>
      <c r="L45" s="160"/>
      <c r="M45" s="354" t="s">
        <v>564</v>
      </c>
      <c r="N45" s="291">
        <v>150</v>
      </c>
      <c r="O45" s="291">
        <v>600</v>
      </c>
      <c r="P45" s="291">
        <v>0</v>
      </c>
      <c r="Q45" s="291">
        <v>0</v>
      </c>
      <c r="R45" s="291"/>
      <c r="S45" s="291"/>
      <c r="T45" s="291"/>
      <c r="U45" s="291"/>
      <c r="V45" s="291"/>
      <c r="W45" s="291"/>
      <c r="X45" s="291"/>
      <c r="Y45" s="291"/>
      <c r="Z45" s="177">
        <f>SUM(N45:Y45)</f>
        <v>750</v>
      </c>
      <c r="AC45" s="16">
        <v>650</v>
      </c>
      <c r="AD45" s="286" t="s">
        <v>198</v>
      </c>
    </row>
    <row r="46" spans="2:30" ht="14.4">
      <c r="B46" s="16"/>
      <c r="C46" s="152"/>
      <c r="D46" s="284"/>
      <c r="E46" s="285"/>
      <c r="F46" s="286" t="s">
        <v>198</v>
      </c>
      <c r="G46" s="286" t="s">
        <v>382</v>
      </c>
      <c r="H46" s="284" t="s">
        <v>717</v>
      </c>
      <c r="I46" s="287" t="s">
        <v>133</v>
      </c>
      <c r="J46" s="287" t="s">
        <v>268</v>
      </c>
      <c r="K46" s="287" t="s">
        <v>419</v>
      </c>
      <c r="L46" s="160"/>
      <c r="M46" s="355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177">
        <f>SUM(N46:Y46)</f>
        <v>0</v>
      </c>
      <c r="AC46" s="16">
        <v>0</v>
      </c>
      <c r="AD46" s="286" t="s">
        <v>198</v>
      </c>
    </row>
    <row r="47" spans="2:30" s="17" customFormat="1" ht="15.6" hidden="1">
      <c r="B47" s="16"/>
      <c r="C47" s="314"/>
      <c r="D47" s="174" t="s">
        <v>22</v>
      </c>
      <c r="E47" s="181">
        <f>SUM(N47:Y47)</f>
        <v>0</v>
      </c>
      <c r="F47" s="175" t="s">
        <v>623</v>
      </c>
      <c r="G47" s="175" t="s">
        <v>382</v>
      </c>
      <c r="H47" s="181"/>
      <c r="I47" s="182"/>
      <c r="J47" s="182"/>
      <c r="K47" s="182" t="str">
        <f>VLOOKUP(F:F,'FCST data'!D:O,12,0)</f>
        <v>65W*4.0PHI</v>
      </c>
      <c r="L47" s="182"/>
      <c r="M47" s="353"/>
      <c r="N47" s="181">
        <f>SUMIFS('FCST data'!Q:Q,'FCST data'!$D:$D,$F47,'FCST data'!$K:$K,$G47,'FCST data'!$O:$O,$K47)</f>
        <v>0</v>
      </c>
      <c r="O47" s="181">
        <f>SUMIFS('FCST data'!R:R,'FCST data'!$D:$D,$F47,'FCST data'!$K:$K,$G47,'FCST data'!$O:$O,$K47)</f>
        <v>0</v>
      </c>
      <c r="P47" s="181">
        <f>SUMIFS('FCST data'!S:S,'FCST data'!$D:$D,$F47,'FCST data'!$K:$K,$G47,'FCST data'!$O:$O,$K47)</f>
        <v>0</v>
      </c>
      <c r="Q47" s="181">
        <f>SUMIFS('FCST data'!T:T,'FCST data'!$D:$D,$F47,'FCST data'!$K:$K,$G47,'FCST data'!$O:$O,$K47)</f>
        <v>0</v>
      </c>
      <c r="R47" s="181">
        <f>SUMIFS('FCST data'!U:U,'FCST data'!$D:$D,$F47,'FCST data'!$K:$K,$G47,'FCST data'!$O:$O,$K47)</f>
        <v>0</v>
      </c>
      <c r="S47" s="181">
        <f>SUMIFS('FCST data'!V:V,'FCST data'!$D:$D,$F47,'FCST data'!$K:$K,$G47,'FCST data'!$O:$O,$K47)</f>
        <v>0</v>
      </c>
      <c r="T47" s="181">
        <f>SUMIFS('FCST data'!W:W,'FCST data'!$D:$D,$F47,'FCST data'!$K:$K,$G47,'FCST data'!$O:$O,$K47)</f>
        <v>0</v>
      </c>
      <c r="U47" s="181">
        <f>SUMIFS('FCST data'!X:X,'FCST data'!$D:$D,$F47,'FCST data'!$K:$K,$G47,'FCST data'!$O:$O,$K47)</f>
        <v>0</v>
      </c>
      <c r="V47" s="181">
        <f>SUMIFS('FCST data'!Y:Y,'FCST data'!$D:$D,$F47,'FCST data'!$K:$K,$G47,'FCST data'!$O:$O,$K47)</f>
        <v>0</v>
      </c>
      <c r="W47" s="181">
        <f>SUMIFS('FCST data'!Z:Z,'FCST data'!$D:$D,$F47,'FCST data'!$K:$K,$G47,'FCST data'!$O:$O,$K47)</f>
        <v>0</v>
      </c>
      <c r="X47" s="181">
        <f>SUMIFS('FCST data'!AA:AA,'FCST data'!$D:$D,$F47,'FCST data'!$K:$K,$G47,'FCST data'!$O:$O,$K47)</f>
        <v>0</v>
      </c>
      <c r="Y47" s="181">
        <f>SUMIFS('FCST data'!AB:AB,'FCST data'!$D:$D,$F47,'FCST data'!$K:$K,$G47,'FCST data'!$O:$O,$K47)</f>
        <v>0</v>
      </c>
      <c r="Z47" s="148"/>
      <c r="AA47" s="17">
        <f>E47-SUM(Z48:Z49)</f>
        <v>0</v>
      </c>
      <c r="AC47" s="16">
        <v>0</v>
      </c>
      <c r="AD47" s="175" t="s">
        <v>623</v>
      </c>
    </row>
    <row r="48" spans="2:30" s="17" customFormat="1" ht="24" hidden="1">
      <c r="B48" s="16"/>
      <c r="C48" s="152"/>
      <c r="D48" s="284"/>
      <c r="E48" s="285"/>
      <c r="F48" s="286" t="s">
        <v>623</v>
      </c>
      <c r="G48" s="286" t="s">
        <v>382</v>
      </c>
      <c r="H48" s="284" t="s">
        <v>715</v>
      </c>
      <c r="I48" s="284" t="s">
        <v>716</v>
      </c>
      <c r="J48" s="287" t="s">
        <v>268</v>
      </c>
      <c r="K48" s="287" t="s">
        <v>419</v>
      </c>
      <c r="L48" s="160"/>
      <c r="M48" s="354" t="s">
        <v>564</v>
      </c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177">
        <f>SUM(N48:Y48)</f>
        <v>0</v>
      </c>
      <c r="AC48" s="16">
        <v>0</v>
      </c>
      <c r="AD48" s="286" t="s">
        <v>623</v>
      </c>
    </row>
    <row r="49" spans="2:30" s="17" customFormat="1" ht="14.4">
      <c r="B49" s="16"/>
      <c r="C49" s="152"/>
      <c r="D49" s="284"/>
      <c r="E49" s="285"/>
      <c r="F49" s="286" t="s">
        <v>623</v>
      </c>
      <c r="G49" s="286" t="s">
        <v>382</v>
      </c>
      <c r="H49" s="284" t="s">
        <v>717</v>
      </c>
      <c r="I49" s="287" t="s">
        <v>133</v>
      </c>
      <c r="J49" s="287" t="s">
        <v>268</v>
      </c>
      <c r="K49" s="287" t="s">
        <v>419</v>
      </c>
      <c r="L49" s="160"/>
      <c r="M49" s="355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177">
        <f>SUM(N49:Y49)</f>
        <v>0</v>
      </c>
      <c r="AC49" s="16">
        <v>0</v>
      </c>
      <c r="AD49" s="286" t="s">
        <v>623</v>
      </c>
    </row>
    <row r="50" spans="2:30" s="17" customFormat="1" ht="15.6" hidden="1">
      <c r="B50" s="16"/>
      <c r="C50" s="314"/>
      <c r="D50" s="174" t="s">
        <v>22</v>
      </c>
      <c r="E50" s="181">
        <f>SUM(N50:Y50)</f>
        <v>0</v>
      </c>
      <c r="F50" s="175" t="s">
        <v>207</v>
      </c>
      <c r="G50" s="175" t="s">
        <v>382</v>
      </c>
      <c r="H50" s="181"/>
      <c r="I50" s="182"/>
      <c r="J50" s="182"/>
      <c r="K50" s="182" t="str">
        <f>VLOOKUP(F:F,'FCST data'!D:O,12,0)</f>
        <v>65W*4.0PHI</v>
      </c>
      <c r="L50" s="182"/>
      <c r="M50" s="353"/>
      <c r="N50" s="181">
        <f>SUMIFS('FCST data'!Q:Q,'FCST data'!$D:$D,$F50,'FCST data'!$K:$K,$G50,'FCST data'!$O:$O,$K50)</f>
        <v>0</v>
      </c>
      <c r="O50" s="181">
        <f>SUMIFS('FCST data'!R:R,'FCST data'!$D:$D,$F50,'FCST data'!$K:$K,$G50,'FCST data'!$O:$O,$K50)</f>
        <v>0</v>
      </c>
      <c r="P50" s="181">
        <f>SUMIFS('FCST data'!S:S,'FCST data'!$D:$D,$F50,'FCST data'!$K:$K,$G50,'FCST data'!$O:$O,$K50)</f>
        <v>0</v>
      </c>
      <c r="Q50" s="181">
        <f>SUMIFS('FCST data'!T:T,'FCST data'!$D:$D,$F50,'FCST data'!$K:$K,$G50,'FCST data'!$O:$O,$K50)</f>
        <v>0</v>
      </c>
      <c r="R50" s="181">
        <f>SUMIFS('FCST data'!U:U,'FCST data'!$D:$D,$F50,'FCST data'!$K:$K,$G50,'FCST data'!$O:$O,$K50)</f>
        <v>0</v>
      </c>
      <c r="S50" s="181">
        <f>SUMIFS('FCST data'!V:V,'FCST data'!$D:$D,$F50,'FCST data'!$K:$K,$G50,'FCST data'!$O:$O,$K50)</f>
        <v>0</v>
      </c>
      <c r="T50" s="181">
        <f>SUMIFS('FCST data'!W:W,'FCST data'!$D:$D,$F50,'FCST data'!$K:$K,$G50,'FCST data'!$O:$O,$K50)</f>
        <v>0</v>
      </c>
      <c r="U50" s="181">
        <f>SUMIFS('FCST data'!X:X,'FCST data'!$D:$D,$F50,'FCST data'!$K:$K,$G50,'FCST data'!$O:$O,$K50)</f>
        <v>0</v>
      </c>
      <c r="V50" s="181">
        <f>SUMIFS('FCST data'!Y:Y,'FCST data'!$D:$D,$F50,'FCST data'!$K:$K,$G50,'FCST data'!$O:$O,$K50)</f>
        <v>0</v>
      </c>
      <c r="W50" s="181">
        <f>SUMIFS('FCST data'!Z:Z,'FCST data'!$D:$D,$F50,'FCST data'!$K:$K,$G50,'FCST data'!$O:$O,$K50)</f>
        <v>0</v>
      </c>
      <c r="X50" s="181">
        <f>SUMIFS('FCST data'!AA:AA,'FCST data'!$D:$D,$F50,'FCST data'!$K:$K,$G50,'FCST data'!$O:$O,$K50)</f>
        <v>0</v>
      </c>
      <c r="Y50" s="181">
        <f>SUMIFS('FCST data'!AB:AB,'FCST data'!$D:$D,$F50,'FCST data'!$K:$K,$G50,'FCST data'!$O:$O,$K50)</f>
        <v>0</v>
      </c>
      <c r="Z50" s="148"/>
      <c r="AA50" s="17">
        <f>E50-SUM(Z51:Z52)</f>
        <v>0</v>
      </c>
      <c r="AC50" s="16">
        <v>0</v>
      </c>
      <c r="AD50" s="175" t="s">
        <v>207</v>
      </c>
    </row>
    <row r="51" spans="2:30" s="17" customFormat="1" ht="24" hidden="1">
      <c r="B51" s="16"/>
      <c r="C51" s="152"/>
      <c r="D51" s="284"/>
      <c r="E51" s="285"/>
      <c r="F51" s="286" t="s">
        <v>207</v>
      </c>
      <c r="G51" s="286" t="s">
        <v>382</v>
      </c>
      <c r="H51" s="284" t="s">
        <v>715</v>
      </c>
      <c r="I51" s="284" t="s">
        <v>716</v>
      </c>
      <c r="J51" s="287" t="s">
        <v>268</v>
      </c>
      <c r="K51" s="287" t="s">
        <v>419</v>
      </c>
      <c r="L51" s="160"/>
      <c r="M51" s="354" t="s">
        <v>564</v>
      </c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177">
        <f>SUM(N51:Y51)</f>
        <v>0</v>
      </c>
      <c r="AC51" s="16">
        <v>0</v>
      </c>
      <c r="AD51" s="286" t="s">
        <v>207</v>
      </c>
    </row>
    <row r="52" spans="2:30" s="17" customFormat="1" ht="14.4">
      <c r="B52" s="16"/>
      <c r="C52" s="152"/>
      <c r="D52" s="284"/>
      <c r="E52" s="285"/>
      <c r="F52" s="286" t="s">
        <v>207</v>
      </c>
      <c r="G52" s="286" t="s">
        <v>382</v>
      </c>
      <c r="H52" s="284" t="s">
        <v>717</v>
      </c>
      <c r="I52" s="287" t="s">
        <v>133</v>
      </c>
      <c r="J52" s="287" t="s">
        <v>268</v>
      </c>
      <c r="K52" s="287" t="s">
        <v>419</v>
      </c>
      <c r="L52" s="160"/>
      <c r="M52" s="355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177">
        <f>SUM(N52:Y52)</f>
        <v>0</v>
      </c>
      <c r="AC52" s="16">
        <v>0</v>
      </c>
      <c r="AD52" s="286" t="s">
        <v>207</v>
      </c>
    </row>
    <row r="53" spans="2:30" s="17" customFormat="1" ht="15.6" hidden="1">
      <c r="B53" s="16"/>
      <c r="C53" s="314"/>
      <c r="D53" s="174" t="s">
        <v>22</v>
      </c>
      <c r="E53" s="181">
        <f>SUM(N53:Y53)</f>
        <v>0</v>
      </c>
      <c r="F53" s="183" t="s">
        <v>411</v>
      </c>
      <c r="G53" s="183" t="s">
        <v>527</v>
      </c>
      <c r="H53" s="181"/>
      <c r="I53" s="182"/>
      <c r="J53" s="182"/>
      <c r="K53" s="182" t="str">
        <f>VLOOKUP(F:F,'FCST data'!D:O,12,0)</f>
        <v>120W*4.5PHI</v>
      </c>
      <c r="L53" s="182"/>
      <c r="M53" s="353"/>
      <c r="N53" s="181">
        <f>SUMIFS('FCST data'!Q:Q,'FCST data'!$D:$D,$F53,'FCST data'!$K:$K,$G53,'FCST data'!$O:$O,$K53)</f>
        <v>0</v>
      </c>
      <c r="O53" s="181">
        <f>SUMIFS('FCST data'!R:R,'FCST data'!$D:$D,$F53,'FCST data'!$K:$K,$G53,'FCST data'!$O:$O,$K53)</f>
        <v>0</v>
      </c>
      <c r="P53" s="181">
        <f>SUMIFS('FCST data'!S:S,'FCST data'!$D:$D,$F53,'FCST data'!$K:$K,$G53,'FCST data'!$O:$O,$K53)</f>
        <v>0</v>
      </c>
      <c r="Q53" s="181">
        <f>SUMIFS('FCST data'!T:T,'FCST data'!$D:$D,$F53,'FCST data'!$K:$K,$G53,'FCST data'!$O:$O,$K53)</f>
        <v>0</v>
      </c>
      <c r="R53" s="181">
        <f>SUMIFS('FCST data'!U:U,'FCST data'!$D:$D,$F53,'FCST data'!$K:$K,$G53,'FCST data'!$O:$O,$K53)</f>
        <v>0</v>
      </c>
      <c r="S53" s="181">
        <f>SUMIFS('FCST data'!V:V,'FCST data'!$D:$D,$F53,'FCST data'!$K:$K,$G53,'FCST data'!$O:$O,$K53)</f>
        <v>0</v>
      </c>
      <c r="T53" s="181">
        <f>SUMIFS('FCST data'!W:W,'FCST data'!$D:$D,$F53,'FCST data'!$K:$K,$G53,'FCST data'!$O:$O,$K53)</f>
        <v>0</v>
      </c>
      <c r="U53" s="181">
        <f>SUMIFS('FCST data'!X:X,'FCST data'!$D:$D,$F53,'FCST data'!$K:$K,$G53,'FCST data'!$O:$O,$K53)</f>
        <v>0</v>
      </c>
      <c r="V53" s="181">
        <f>SUMIFS('FCST data'!Y:Y,'FCST data'!$D:$D,$F53,'FCST data'!$K:$K,$G53,'FCST data'!$O:$O,$K53)</f>
        <v>0</v>
      </c>
      <c r="W53" s="181">
        <f>SUMIFS('FCST data'!Z:Z,'FCST data'!$D:$D,$F53,'FCST data'!$K:$K,$G53,'FCST data'!$O:$O,$K53)</f>
        <v>0</v>
      </c>
      <c r="X53" s="181">
        <f>SUMIFS('FCST data'!AA:AA,'FCST data'!$D:$D,$F53,'FCST data'!$K:$K,$G53,'FCST data'!$O:$O,$K53)</f>
        <v>0</v>
      </c>
      <c r="Y53" s="181">
        <f>SUMIFS('FCST data'!AB:AB,'FCST data'!$D:$D,$F53,'FCST data'!$K:$K,$G53,'FCST data'!$O:$O,$K53)</f>
        <v>0</v>
      </c>
      <c r="Z53" s="148"/>
      <c r="AA53" s="17">
        <f>E53-SUM(Z54:Z55)</f>
        <v>0</v>
      </c>
      <c r="AC53" s="16">
        <v>0</v>
      </c>
      <c r="AD53" s="183" t="s">
        <v>411</v>
      </c>
    </row>
    <row r="54" spans="2:30" s="17" customFormat="1" ht="24" hidden="1">
      <c r="B54" s="16"/>
      <c r="C54" s="152"/>
      <c r="D54" s="284"/>
      <c r="E54" s="285"/>
      <c r="F54" s="286" t="s">
        <v>411</v>
      </c>
      <c r="G54" s="286" t="s">
        <v>527</v>
      </c>
      <c r="H54" s="284" t="s">
        <v>715</v>
      </c>
      <c r="I54" s="284" t="s">
        <v>716</v>
      </c>
      <c r="J54" s="287" t="s">
        <v>268</v>
      </c>
      <c r="K54" s="287" t="s">
        <v>420</v>
      </c>
      <c r="L54" s="160"/>
      <c r="M54" s="354" t="s">
        <v>566</v>
      </c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177">
        <f>SUM(N54:Y54)</f>
        <v>0</v>
      </c>
      <c r="AC54" s="16">
        <v>0</v>
      </c>
      <c r="AD54" s="286" t="s">
        <v>411</v>
      </c>
    </row>
    <row r="55" spans="2:30" s="17" customFormat="1" ht="14.4">
      <c r="B55" s="16"/>
      <c r="C55" s="152"/>
      <c r="D55" s="284"/>
      <c r="E55" s="285"/>
      <c r="F55" s="286" t="s">
        <v>411</v>
      </c>
      <c r="G55" s="286" t="s">
        <v>527</v>
      </c>
      <c r="H55" s="284" t="s">
        <v>717</v>
      </c>
      <c r="I55" s="287" t="s">
        <v>133</v>
      </c>
      <c r="J55" s="287" t="s">
        <v>268</v>
      </c>
      <c r="K55" s="287" t="s">
        <v>420</v>
      </c>
      <c r="L55" s="160"/>
      <c r="M55" s="355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177">
        <f>SUM(N55:Y55)</f>
        <v>0</v>
      </c>
      <c r="AC55" s="16">
        <v>0</v>
      </c>
      <c r="AD55" s="286" t="s">
        <v>411</v>
      </c>
    </row>
    <row r="56" spans="2:30" s="17" customFormat="1" ht="15.6" hidden="1">
      <c r="B56" s="16"/>
      <c r="C56" s="314"/>
      <c r="D56" s="174" t="s">
        <v>22</v>
      </c>
      <c r="E56" s="181">
        <f>SUM(N56:Y56)</f>
        <v>0</v>
      </c>
      <c r="F56" s="183" t="s">
        <v>411</v>
      </c>
      <c r="G56" s="183" t="s">
        <v>528</v>
      </c>
      <c r="H56" s="181"/>
      <c r="I56" s="182"/>
      <c r="J56" s="182"/>
      <c r="K56" s="182" t="str">
        <f>VLOOKUP(F:F,'FCST data'!D:O,12,0)</f>
        <v>120W*4.5PHI</v>
      </c>
      <c r="L56" s="182"/>
      <c r="M56" s="353"/>
      <c r="N56" s="181">
        <f>SUMIFS('FCST data'!Q:Q,'FCST data'!$D:$D,$F56,'FCST data'!$K:$K,$G56,'FCST data'!$O:$O,$K56)</f>
        <v>0</v>
      </c>
      <c r="O56" s="181">
        <f>SUMIFS('FCST data'!R:R,'FCST data'!$D:$D,$F56,'FCST data'!$K:$K,$G56,'FCST data'!$O:$O,$K56)</f>
        <v>0</v>
      </c>
      <c r="P56" s="181">
        <f>SUMIFS('FCST data'!S:S,'FCST data'!$D:$D,$F56,'FCST data'!$K:$K,$G56,'FCST data'!$O:$O,$K56)</f>
        <v>0</v>
      </c>
      <c r="Q56" s="181">
        <f>SUMIFS('FCST data'!T:T,'FCST data'!$D:$D,$F56,'FCST data'!$K:$K,$G56,'FCST data'!$O:$O,$K56)</f>
        <v>0</v>
      </c>
      <c r="R56" s="181">
        <f>SUMIFS('FCST data'!U:U,'FCST data'!$D:$D,$F56,'FCST data'!$K:$K,$G56,'FCST data'!$O:$O,$K56)</f>
        <v>0</v>
      </c>
      <c r="S56" s="181">
        <f>SUMIFS('FCST data'!V:V,'FCST data'!$D:$D,$F56,'FCST data'!$K:$K,$G56,'FCST data'!$O:$O,$K56)</f>
        <v>0</v>
      </c>
      <c r="T56" s="181">
        <f>SUMIFS('FCST data'!W:W,'FCST data'!$D:$D,$F56,'FCST data'!$K:$K,$G56,'FCST data'!$O:$O,$K56)</f>
        <v>0</v>
      </c>
      <c r="U56" s="181">
        <f>SUMIFS('FCST data'!X:X,'FCST data'!$D:$D,$F56,'FCST data'!$K:$K,$G56,'FCST data'!$O:$O,$K56)</f>
        <v>0</v>
      </c>
      <c r="V56" s="181">
        <f>SUMIFS('FCST data'!Y:Y,'FCST data'!$D:$D,$F56,'FCST data'!$K:$K,$G56,'FCST data'!$O:$O,$K56)</f>
        <v>0</v>
      </c>
      <c r="W56" s="181">
        <f>SUMIFS('FCST data'!Z:Z,'FCST data'!$D:$D,$F56,'FCST data'!$K:$K,$G56,'FCST data'!$O:$O,$K56)</f>
        <v>0</v>
      </c>
      <c r="X56" s="181">
        <f>SUMIFS('FCST data'!AA:AA,'FCST data'!$D:$D,$F56,'FCST data'!$K:$K,$G56,'FCST data'!$O:$O,$K56)</f>
        <v>0</v>
      </c>
      <c r="Y56" s="181">
        <f>SUMIFS('FCST data'!AB:AB,'FCST data'!$D:$D,$F56,'FCST data'!$K:$K,$G56,'FCST data'!$O:$O,$K56)</f>
        <v>0</v>
      </c>
      <c r="Z56" s="148"/>
      <c r="AA56" s="17">
        <f>E56-SUM(Z57:Z58)</f>
        <v>0</v>
      </c>
      <c r="AC56" s="16">
        <v>0</v>
      </c>
      <c r="AD56" s="183" t="s">
        <v>411</v>
      </c>
    </row>
    <row r="57" spans="2:30" s="17" customFormat="1" ht="24" hidden="1">
      <c r="B57" s="16"/>
      <c r="C57" s="152"/>
      <c r="D57" s="284"/>
      <c r="E57" s="285"/>
      <c r="F57" s="286" t="s">
        <v>411</v>
      </c>
      <c r="G57" s="286" t="s">
        <v>528</v>
      </c>
      <c r="H57" s="284" t="s">
        <v>715</v>
      </c>
      <c r="I57" s="284" t="s">
        <v>716</v>
      </c>
      <c r="J57" s="287" t="s">
        <v>268</v>
      </c>
      <c r="K57" s="287" t="s">
        <v>420</v>
      </c>
      <c r="L57" s="160"/>
      <c r="M57" s="354" t="s">
        <v>566</v>
      </c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177">
        <f>SUM(N57:Y57)</f>
        <v>0</v>
      </c>
      <c r="AC57" s="16">
        <v>0</v>
      </c>
      <c r="AD57" s="286" t="s">
        <v>411</v>
      </c>
    </row>
    <row r="58" spans="2:30" s="17" customFormat="1" ht="14.4">
      <c r="B58" s="16"/>
      <c r="C58" s="152"/>
      <c r="D58" s="284"/>
      <c r="E58" s="285"/>
      <c r="F58" s="286" t="s">
        <v>411</v>
      </c>
      <c r="G58" s="286" t="s">
        <v>528</v>
      </c>
      <c r="H58" s="284" t="s">
        <v>717</v>
      </c>
      <c r="I58" s="287" t="s">
        <v>133</v>
      </c>
      <c r="J58" s="287" t="s">
        <v>268</v>
      </c>
      <c r="K58" s="287" t="s">
        <v>420</v>
      </c>
      <c r="L58" s="160"/>
      <c r="M58" s="355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177">
        <f>SUM(N58:Y58)</f>
        <v>0</v>
      </c>
      <c r="AC58" s="16">
        <v>0</v>
      </c>
      <c r="AD58" s="286" t="s">
        <v>411</v>
      </c>
    </row>
    <row r="59" spans="2:30" ht="15.6" hidden="1">
      <c r="B59" s="16"/>
      <c r="C59" s="314"/>
      <c r="D59" s="174" t="s">
        <v>22</v>
      </c>
      <c r="E59" s="181">
        <f>SUM(N59:Y59)</f>
        <v>0</v>
      </c>
      <c r="F59" s="183" t="s">
        <v>244</v>
      </c>
      <c r="G59" s="183" t="s">
        <v>527</v>
      </c>
      <c r="H59" s="181"/>
      <c r="I59" s="182"/>
      <c r="J59" s="182"/>
      <c r="K59" s="182" t="str">
        <f>VLOOKUP(F:F,'FCST data'!D:O,12,0)</f>
        <v>120W*4.5PHI</v>
      </c>
      <c r="L59" s="182"/>
      <c r="M59" s="353"/>
      <c r="N59" s="181">
        <f>SUMIFS('FCST data'!Q:Q,'FCST data'!$D:$D,$F59,'FCST data'!$K:$K,$G59,'FCST data'!$O:$O,$K59)</f>
        <v>0</v>
      </c>
      <c r="O59" s="181">
        <f>SUMIFS('FCST data'!R:R,'FCST data'!$D:$D,$F59,'FCST data'!$K:$K,$G59,'FCST data'!$O:$O,$K59)</f>
        <v>0</v>
      </c>
      <c r="P59" s="181">
        <f>SUMIFS('FCST data'!S:S,'FCST data'!$D:$D,$F59,'FCST data'!$K:$K,$G59,'FCST data'!$O:$O,$K59)</f>
        <v>0</v>
      </c>
      <c r="Q59" s="181">
        <f>SUMIFS('FCST data'!T:T,'FCST data'!$D:$D,$F59,'FCST data'!$K:$K,$G59,'FCST data'!$O:$O,$K59)</f>
        <v>0</v>
      </c>
      <c r="R59" s="181">
        <f>SUMIFS('FCST data'!U:U,'FCST data'!$D:$D,$F59,'FCST data'!$K:$K,$G59,'FCST data'!$O:$O,$K59)</f>
        <v>0</v>
      </c>
      <c r="S59" s="181">
        <f>SUMIFS('FCST data'!V:V,'FCST data'!$D:$D,$F59,'FCST data'!$K:$K,$G59,'FCST data'!$O:$O,$K59)</f>
        <v>0</v>
      </c>
      <c r="T59" s="181">
        <f>SUMIFS('FCST data'!W:W,'FCST data'!$D:$D,$F59,'FCST data'!$K:$K,$G59,'FCST data'!$O:$O,$K59)</f>
        <v>0</v>
      </c>
      <c r="U59" s="181">
        <f>SUMIFS('FCST data'!X:X,'FCST data'!$D:$D,$F59,'FCST data'!$K:$K,$G59,'FCST data'!$O:$O,$K59)</f>
        <v>0</v>
      </c>
      <c r="V59" s="181">
        <f>SUMIFS('FCST data'!Y:Y,'FCST data'!$D:$D,$F59,'FCST data'!$K:$K,$G59,'FCST data'!$O:$O,$K59)</f>
        <v>0</v>
      </c>
      <c r="W59" s="181">
        <f>SUMIFS('FCST data'!Z:Z,'FCST data'!$D:$D,$F59,'FCST data'!$K:$K,$G59,'FCST data'!$O:$O,$K59)</f>
        <v>0</v>
      </c>
      <c r="X59" s="181">
        <f>SUMIFS('FCST data'!AA:AA,'FCST data'!$D:$D,$F59,'FCST data'!$K:$K,$G59,'FCST data'!$O:$O,$K59)</f>
        <v>0</v>
      </c>
      <c r="Y59" s="181">
        <f>SUMIFS('FCST data'!AB:AB,'FCST data'!$D:$D,$F59,'FCST data'!$K:$K,$G59,'FCST data'!$O:$O,$K59)</f>
        <v>0</v>
      </c>
      <c r="Z59" s="148"/>
      <c r="AA59" s="17">
        <f>E59-SUM(Z60:Z61)</f>
        <v>0</v>
      </c>
      <c r="AC59" s="16">
        <v>0</v>
      </c>
      <c r="AD59" s="183" t="s">
        <v>244</v>
      </c>
    </row>
    <row r="60" spans="2:30" ht="24" hidden="1">
      <c r="B60" s="16"/>
      <c r="C60" s="152"/>
      <c r="D60" s="284"/>
      <c r="E60" s="285"/>
      <c r="F60" s="286" t="s">
        <v>244</v>
      </c>
      <c r="G60" s="286" t="s">
        <v>527</v>
      </c>
      <c r="H60" s="284" t="s">
        <v>715</v>
      </c>
      <c r="I60" s="284" t="s">
        <v>716</v>
      </c>
      <c r="J60" s="287" t="s">
        <v>268</v>
      </c>
      <c r="K60" s="287" t="s">
        <v>420</v>
      </c>
      <c r="L60" s="160"/>
      <c r="M60" s="354" t="s">
        <v>566</v>
      </c>
      <c r="N60" s="291"/>
      <c r="O60" s="291"/>
      <c r="P60" s="291"/>
      <c r="Q60" s="291"/>
      <c r="R60" s="291"/>
      <c r="S60" s="291"/>
      <c r="T60" s="291"/>
      <c r="U60" s="291"/>
      <c r="V60" s="291"/>
      <c r="W60" s="291"/>
      <c r="X60" s="291"/>
      <c r="Y60" s="291"/>
      <c r="Z60" s="177">
        <f>SUM(N60:Y60)</f>
        <v>0</v>
      </c>
      <c r="AC60" s="16">
        <v>0</v>
      </c>
      <c r="AD60" s="286" t="s">
        <v>244</v>
      </c>
    </row>
    <row r="61" spans="2:30" ht="14.4">
      <c r="B61" s="16"/>
      <c r="C61" s="152"/>
      <c r="D61" s="284"/>
      <c r="E61" s="285"/>
      <c r="F61" s="286" t="s">
        <v>244</v>
      </c>
      <c r="G61" s="286" t="s">
        <v>527</v>
      </c>
      <c r="H61" s="284" t="s">
        <v>717</v>
      </c>
      <c r="I61" s="287" t="s">
        <v>133</v>
      </c>
      <c r="J61" s="287" t="s">
        <v>268</v>
      </c>
      <c r="K61" s="287" t="s">
        <v>420</v>
      </c>
      <c r="L61" s="160"/>
      <c r="M61" s="355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177">
        <f>SUM(N61:Y61)</f>
        <v>0</v>
      </c>
      <c r="AC61" s="16">
        <v>0</v>
      </c>
      <c r="AD61" s="286" t="s">
        <v>244</v>
      </c>
    </row>
    <row r="62" spans="2:30" s="17" customFormat="1" ht="15.6" hidden="1">
      <c r="B62" s="16"/>
      <c r="C62" s="314"/>
      <c r="D62" s="174" t="s">
        <v>22</v>
      </c>
      <c r="E62" s="181">
        <f>SUM(N62:Y62)</f>
        <v>0</v>
      </c>
      <c r="F62" s="183" t="s">
        <v>446</v>
      </c>
      <c r="G62" s="183" t="s">
        <v>441</v>
      </c>
      <c r="H62" s="181"/>
      <c r="I62" s="182"/>
      <c r="J62" s="182"/>
      <c r="K62" s="182" t="str">
        <f>VLOOKUP(F:F,'FCST data'!D:O,12,0)</f>
        <v>120W*4.5PHI</v>
      </c>
      <c r="L62" s="182"/>
      <c r="M62" s="353"/>
      <c r="N62" s="181">
        <f>SUMIFS('FCST data'!Q:Q,'FCST data'!$D:$D,$F62,'FCST data'!$K:$K,$G62,'FCST data'!$O:$O,$K62)</f>
        <v>0</v>
      </c>
      <c r="O62" s="181">
        <f>SUMIFS('FCST data'!R:R,'FCST data'!$D:$D,$F62,'FCST data'!$K:$K,$G62,'FCST data'!$O:$O,$K62)</f>
        <v>0</v>
      </c>
      <c r="P62" s="181">
        <f>SUMIFS('FCST data'!S:S,'FCST data'!$D:$D,$F62,'FCST data'!$K:$K,$G62,'FCST data'!$O:$O,$K62)</f>
        <v>0</v>
      </c>
      <c r="Q62" s="181">
        <f>SUMIFS('FCST data'!T:T,'FCST data'!$D:$D,$F62,'FCST data'!$K:$K,$G62,'FCST data'!$O:$O,$K62)</f>
        <v>0</v>
      </c>
      <c r="R62" s="181">
        <f>SUMIFS('FCST data'!U:U,'FCST data'!$D:$D,$F62,'FCST data'!$K:$K,$G62,'FCST data'!$O:$O,$K62)</f>
        <v>0</v>
      </c>
      <c r="S62" s="181">
        <f>SUMIFS('FCST data'!V:V,'FCST data'!$D:$D,$F62,'FCST data'!$K:$K,$G62,'FCST data'!$O:$O,$K62)</f>
        <v>0</v>
      </c>
      <c r="T62" s="181">
        <f>SUMIFS('FCST data'!W:W,'FCST data'!$D:$D,$F62,'FCST data'!$K:$K,$G62,'FCST data'!$O:$O,$K62)</f>
        <v>0</v>
      </c>
      <c r="U62" s="181">
        <f>SUMIFS('FCST data'!X:X,'FCST data'!$D:$D,$F62,'FCST data'!$K:$K,$G62,'FCST data'!$O:$O,$K62)</f>
        <v>0</v>
      </c>
      <c r="V62" s="181">
        <f>SUMIFS('FCST data'!Y:Y,'FCST data'!$D:$D,$F62,'FCST data'!$K:$K,$G62,'FCST data'!$O:$O,$K62)</f>
        <v>0</v>
      </c>
      <c r="W62" s="181">
        <f>SUMIFS('FCST data'!Z:Z,'FCST data'!$D:$D,$F62,'FCST data'!$K:$K,$G62,'FCST data'!$O:$O,$K62)</f>
        <v>0</v>
      </c>
      <c r="X62" s="181">
        <f>SUMIFS('FCST data'!AA:AA,'FCST data'!$D:$D,$F62,'FCST data'!$K:$K,$G62,'FCST data'!$O:$O,$K62)</f>
        <v>0</v>
      </c>
      <c r="Y62" s="181">
        <f>SUMIFS('FCST data'!AB:AB,'FCST data'!$D:$D,$F62,'FCST data'!$K:$K,$G62,'FCST data'!$O:$O,$K62)</f>
        <v>0</v>
      </c>
      <c r="Z62" s="148"/>
      <c r="AA62" s="17">
        <f>E62-SUM(Z63:Z64)</f>
        <v>0</v>
      </c>
      <c r="AC62" s="16">
        <v>0</v>
      </c>
      <c r="AD62" s="183" t="s">
        <v>446</v>
      </c>
    </row>
    <row r="63" spans="2:30" s="17" customFormat="1" ht="24" hidden="1">
      <c r="B63" s="16"/>
      <c r="C63" s="152"/>
      <c r="D63" s="284"/>
      <c r="E63" s="285"/>
      <c r="F63" s="286" t="s">
        <v>446</v>
      </c>
      <c r="G63" s="286" t="s">
        <v>441</v>
      </c>
      <c r="H63" s="284" t="s">
        <v>715</v>
      </c>
      <c r="I63" s="284" t="s">
        <v>716</v>
      </c>
      <c r="J63" s="287" t="s">
        <v>268</v>
      </c>
      <c r="K63" s="287" t="s">
        <v>420</v>
      </c>
      <c r="L63" s="160"/>
      <c r="M63" s="354" t="s">
        <v>566</v>
      </c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177">
        <f>SUM(N63:Y63)</f>
        <v>0</v>
      </c>
      <c r="AC63" s="16">
        <v>0</v>
      </c>
      <c r="AD63" s="286" t="s">
        <v>446</v>
      </c>
    </row>
    <row r="64" spans="2:30" s="17" customFormat="1" ht="14.4">
      <c r="B64" s="16"/>
      <c r="C64" s="152"/>
      <c r="D64" s="284"/>
      <c r="E64" s="285"/>
      <c r="F64" s="286" t="s">
        <v>446</v>
      </c>
      <c r="G64" s="286" t="s">
        <v>441</v>
      </c>
      <c r="H64" s="284" t="s">
        <v>717</v>
      </c>
      <c r="I64" s="287" t="s">
        <v>133</v>
      </c>
      <c r="J64" s="287" t="s">
        <v>268</v>
      </c>
      <c r="K64" s="287" t="s">
        <v>420</v>
      </c>
      <c r="L64" s="160"/>
      <c r="M64" s="355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177">
        <f>SUM(N64:Y64)</f>
        <v>0</v>
      </c>
      <c r="AC64" s="16">
        <v>0</v>
      </c>
      <c r="AD64" s="286" t="s">
        <v>446</v>
      </c>
    </row>
    <row r="65" spans="2:30" ht="15.6" hidden="1">
      <c r="B65" s="16"/>
      <c r="C65" s="314"/>
      <c r="D65" s="174" t="s">
        <v>22</v>
      </c>
      <c r="E65" s="148">
        <f>SUM(N65:Y65)</f>
        <v>23900</v>
      </c>
      <c r="F65" s="175" t="s">
        <v>626</v>
      </c>
      <c r="G65" s="175" t="s">
        <v>619</v>
      </c>
      <c r="H65" s="148"/>
      <c r="I65" s="176"/>
      <c r="J65" s="176"/>
      <c r="K65" s="182" t="str">
        <f>VLOOKUP(F:F,'FCST data'!D:O,12,0)</f>
        <v>90W*4.5PHI</v>
      </c>
      <c r="L65" s="176"/>
      <c r="M65" s="356"/>
      <c r="N65" s="181">
        <f>SUMIFS('FCST data'!Q:Q,'FCST data'!$D:$D,$F65,'FCST data'!$K:$K,$G65,'FCST data'!$O:$O,$K65)</f>
        <v>0</v>
      </c>
      <c r="O65" s="181">
        <f>SUMIFS('FCST data'!R:R,'FCST data'!$D:$D,$F65,'FCST data'!$K:$K,$G65,'FCST data'!$O:$O,$K65)</f>
        <v>0</v>
      </c>
      <c r="P65" s="181">
        <f>SUMIFS('FCST data'!S:S,'FCST data'!$D:$D,$F65,'FCST data'!$K:$K,$G65,'FCST data'!$O:$O,$K65)</f>
        <v>0</v>
      </c>
      <c r="Q65" s="181">
        <f>SUMIFS('FCST data'!T:T,'FCST data'!$D:$D,$F65,'FCST data'!$K:$K,$G65,'FCST data'!$O:$O,$K65)</f>
        <v>0</v>
      </c>
      <c r="R65" s="181">
        <f>SUMIFS('FCST data'!U:U,'FCST data'!$D:$D,$F65,'FCST data'!$K:$K,$G65,'FCST data'!$O:$O,$K65)</f>
        <v>700</v>
      </c>
      <c r="S65" s="181">
        <f>SUMIFS('FCST data'!V:V,'FCST data'!$D:$D,$F65,'FCST data'!$K:$K,$G65,'FCST data'!$O:$O,$K65)</f>
        <v>4300</v>
      </c>
      <c r="T65" s="181">
        <f>SUMIFS('FCST data'!W:W,'FCST data'!$D:$D,$F65,'FCST data'!$K:$K,$G65,'FCST data'!$O:$O,$K65)</f>
        <v>6300</v>
      </c>
      <c r="U65" s="181">
        <f>SUMIFS('FCST data'!X:X,'FCST data'!$D:$D,$F65,'FCST data'!$K:$K,$G65,'FCST data'!$O:$O,$K65)</f>
        <v>6300</v>
      </c>
      <c r="V65" s="181">
        <f>SUMIFS('FCST data'!Y:Y,'FCST data'!$D:$D,$F65,'FCST data'!$K:$K,$G65,'FCST data'!$O:$O,$K65)</f>
        <v>6300</v>
      </c>
      <c r="W65" s="181">
        <f>SUMIFS('FCST data'!Z:Z,'FCST data'!$D:$D,$F65,'FCST data'!$K:$K,$G65,'FCST data'!$O:$O,$K65)</f>
        <v>0</v>
      </c>
      <c r="X65" s="181">
        <f>SUMIFS('FCST data'!AA:AA,'FCST data'!$D:$D,$F65,'FCST data'!$K:$K,$G65,'FCST data'!$O:$O,$K65)</f>
        <v>0</v>
      </c>
      <c r="Y65" s="181">
        <f>SUMIFS('FCST data'!AB:AB,'FCST data'!$D:$D,$F65,'FCST data'!$K:$K,$G65,'FCST data'!$O:$O,$K65)</f>
        <v>0</v>
      </c>
      <c r="Z65" s="148"/>
      <c r="AA65" s="17">
        <f>E65-SUM(Z66:Z67)</f>
        <v>0</v>
      </c>
      <c r="AC65" s="16">
        <v>0</v>
      </c>
      <c r="AD65" s="175" t="s">
        <v>626</v>
      </c>
    </row>
    <row r="66" spans="2:30" ht="24" hidden="1">
      <c r="B66" s="16"/>
      <c r="C66" s="283"/>
      <c r="D66" s="284"/>
      <c r="E66" s="285"/>
      <c r="F66" s="286" t="s">
        <v>445</v>
      </c>
      <c r="G66" s="286" t="s">
        <v>619</v>
      </c>
      <c r="H66" s="284" t="s">
        <v>715</v>
      </c>
      <c r="I66" s="284" t="s">
        <v>716</v>
      </c>
      <c r="J66" s="287" t="s">
        <v>268</v>
      </c>
      <c r="K66" s="287" t="s">
        <v>452</v>
      </c>
      <c r="L66" s="160"/>
      <c r="M66" s="354" t="s">
        <v>567</v>
      </c>
      <c r="N66" s="291"/>
      <c r="O66" s="291"/>
      <c r="P66" s="291"/>
      <c r="Q66" s="291"/>
      <c r="R66" s="291">
        <v>700</v>
      </c>
      <c r="S66" s="291">
        <v>4300</v>
      </c>
      <c r="T66" s="291">
        <v>6300</v>
      </c>
      <c r="U66" s="291">
        <v>6300</v>
      </c>
      <c r="V66" s="291">
        <v>6300</v>
      </c>
      <c r="W66" s="291"/>
      <c r="X66" s="291"/>
      <c r="Y66" s="291"/>
      <c r="Z66" s="177">
        <f>SUM(N66:Y66)</f>
        <v>23900</v>
      </c>
      <c r="AC66" s="16">
        <v>0</v>
      </c>
      <c r="AD66" s="286" t="s">
        <v>445</v>
      </c>
    </row>
    <row r="67" spans="2:30" ht="14.4">
      <c r="B67" s="16"/>
      <c r="C67" s="283"/>
      <c r="D67" s="284"/>
      <c r="E67" s="285"/>
      <c r="F67" s="286" t="s">
        <v>445</v>
      </c>
      <c r="G67" s="286" t="s">
        <v>619</v>
      </c>
      <c r="H67" s="284" t="s">
        <v>717</v>
      </c>
      <c r="I67" s="287" t="s">
        <v>133</v>
      </c>
      <c r="J67" s="287" t="s">
        <v>268</v>
      </c>
      <c r="K67" s="287" t="s">
        <v>452</v>
      </c>
      <c r="L67" s="160"/>
      <c r="M67" s="355"/>
      <c r="N67" s="291"/>
      <c r="O67" s="291"/>
      <c r="P67" s="291"/>
      <c r="Q67" s="291"/>
      <c r="R67" s="291"/>
      <c r="S67" s="291"/>
      <c r="T67" s="291"/>
      <c r="U67" s="291"/>
      <c r="V67" s="291"/>
      <c r="W67" s="291"/>
      <c r="X67" s="291"/>
      <c r="Y67" s="291"/>
      <c r="Z67" s="177">
        <f>SUM(N67:Y67)</f>
        <v>0</v>
      </c>
      <c r="AC67" s="16">
        <v>0</v>
      </c>
      <c r="AD67" s="286" t="s">
        <v>445</v>
      </c>
    </row>
    <row r="68" spans="2:30" ht="15.6" hidden="1">
      <c r="B68" s="16"/>
      <c r="C68" s="314"/>
      <c r="D68" s="174" t="s">
        <v>22</v>
      </c>
      <c r="E68" s="148">
        <f>SUM(N68:Y68)</f>
        <v>1970</v>
      </c>
      <c r="F68" s="175" t="s">
        <v>445</v>
      </c>
      <c r="G68" s="175" t="s">
        <v>620</v>
      </c>
      <c r="H68" s="148"/>
      <c r="I68" s="176"/>
      <c r="J68" s="176"/>
      <c r="K68" s="182" t="str">
        <f>VLOOKUP(F:F,'FCST data'!D:O,12,0)</f>
        <v>90W*4.5PHI</v>
      </c>
      <c r="L68" s="176"/>
      <c r="M68" s="356"/>
      <c r="N68" s="181">
        <f>SUMIFS('FCST data'!Q:Q,'FCST data'!$D:$D,$F68,'FCST data'!$K:$K,$G68,'FCST data'!$O:$O,$K68)</f>
        <v>0</v>
      </c>
      <c r="O68" s="181">
        <f>SUMIFS('FCST data'!R:R,'FCST data'!$D:$D,$F68,'FCST data'!$K:$K,$G68,'FCST data'!$O:$O,$K68)</f>
        <v>0</v>
      </c>
      <c r="P68" s="181">
        <f>SUMIFS('FCST data'!S:S,'FCST data'!$D:$D,$F68,'FCST data'!$K:$K,$G68,'FCST data'!$O:$O,$K68)</f>
        <v>0</v>
      </c>
      <c r="Q68" s="181">
        <f>SUMIFS('FCST data'!T:T,'FCST data'!$D:$D,$F68,'FCST data'!$K:$K,$G68,'FCST data'!$O:$O,$K68)</f>
        <v>0</v>
      </c>
      <c r="R68" s="181">
        <f>SUMIFS('FCST data'!U:U,'FCST data'!$D:$D,$F68,'FCST data'!$K:$K,$G68,'FCST data'!$O:$O,$K68)</f>
        <v>180</v>
      </c>
      <c r="S68" s="181">
        <f>SUMIFS('FCST data'!V:V,'FCST data'!$D:$D,$F68,'FCST data'!$K:$K,$G68,'FCST data'!$O:$O,$K68)</f>
        <v>200</v>
      </c>
      <c r="T68" s="181">
        <f>SUMIFS('FCST data'!W:W,'FCST data'!$D:$D,$F68,'FCST data'!$K:$K,$G68,'FCST data'!$O:$O,$K68)</f>
        <v>530</v>
      </c>
      <c r="U68" s="181">
        <f>SUMIFS('FCST data'!X:X,'FCST data'!$D:$D,$F68,'FCST data'!$K:$K,$G68,'FCST data'!$O:$O,$K68)</f>
        <v>530</v>
      </c>
      <c r="V68" s="181">
        <f>SUMIFS('FCST data'!Y:Y,'FCST data'!$D:$D,$F68,'FCST data'!$K:$K,$G68,'FCST data'!$O:$O,$K68)</f>
        <v>530</v>
      </c>
      <c r="W68" s="181">
        <f>SUMIFS('FCST data'!Z:Z,'FCST data'!$D:$D,$F68,'FCST data'!$K:$K,$G68,'FCST data'!$O:$O,$K68)</f>
        <v>0</v>
      </c>
      <c r="X68" s="181">
        <f>SUMIFS('FCST data'!AA:AA,'FCST data'!$D:$D,$F68,'FCST data'!$K:$K,$G68,'FCST data'!$O:$O,$K68)</f>
        <v>0</v>
      </c>
      <c r="Y68" s="181">
        <f>SUMIFS('FCST data'!AB:AB,'FCST data'!$D:$D,$F68,'FCST data'!$K:$K,$G68,'FCST data'!$O:$O,$K68)</f>
        <v>0</v>
      </c>
      <c r="Z68" s="148"/>
      <c r="AA68" s="17">
        <f>E68-SUM(Z69:Z70)</f>
        <v>0</v>
      </c>
      <c r="AC68" s="16">
        <v>0</v>
      </c>
      <c r="AD68" s="175" t="s">
        <v>445</v>
      </c>
    </row>
    <row r="69" spans="2:30" ht="24" hidden="1">
      <c r="B69" s="16"/>
      <c r="C69" s="283"/>
      <c r="D69" s="284"/>
      <c r="E69" s="285"/>
      <c r="F69" s="286" t="s">
        <v>445</v>
      </c>
      <c r="G69" s="286" t="s">
        <v>620</v>
      </c>
      <c r="H69" s="284" t="s">
        <v>715</v>
      </c>
      <c r="I69" s="284" t="s">
        <v>716</v>
      </c>
      <c r="J69" s="287" t="s">
        <v>268</v>
      </c>
      <c r="K69" s="287" t="s">
        <v>452</v>
      </c>
      <c r="L69" s="160"/>
      <c r="M69" s="354" t="s">
        <v>567</v>
      </c>
      <c r="N69" s="291"/>
      <c r="O69" s="291"/>
      <c r="P69" s="291"/>
      <c r="Q69" s="291"/>
      <c r="R69" s="291">
        <v>180</v>
      </c>
      <c r="S69" s="291">
        <v>200</v>
      </c>
      <c r="T69" s="291">
        <v>530</v>
      </c>
      <c r="U69" s="291">
        <v>530</v>
      </c>
      <c r="V69" s="291">
        <v>530</v>
      </c>
      <c r="W69" s="291"/>
      <c r="X69" s="291"/>
      <c r="Y69" s="291"/>
      <c r="Z69" s="177">
        <f>SUM(N69:Y69)</f>
        <v>1970</v>
      </c>
      <c r="AC69" s="16">
        <v>0</v>
      </c>
      <c r="AD69" s="286" t="s">
        <v>445</v>
      </c>
    </row>
    <row r="70" spans="2:30" ht="14.4">
      <c r="B70" s="16"/>
      <c r="C70" s="283"/>
      <c r="D70" s="284"/>
      <c r="E70" s="285"/>
      <c r="F70" s="286" t="s">
        <v>445</v>
      </c>
      <c r="G70" s="286" t="s">
        <v>620</v>
      </c>
      <c r="H70" s="284" t="s">
        <v>717</v>
      </c>
      <c r="I70" s="287" t="s">
        <v>133</v>
      </c>
      <c r="J70" s="287" t="s">
        <v>268</v>
      </c>
      <c r="K70" s="287" t="s">
        <v>452</v>
      </c>
      <c r="L70" s="160"/>
      <c r="M70" s="355"/>
      <c r="N70" s="291"/>
      <c r="O70" s="291"/>
      <c r="P70" s="291"/>
      <c r="Q70" s="291"/>
      <c r="R70" s="291"/>
      <c r="S70" s="291"/>
      <c r="T70" s="291"/>
      <c r="U70" s="291"/>
      <c r="V70" s="291"/>
      <c r="W70" s="291"/>
      <c r="X70" s="291"/>
      <c r="Y70" s="291"/>
      <c r="Z70" s="177">
        <f>SUM(N70:Y70)</f>
        <v>0</v>
      </c>
      <c r="AC70" s="16">
        <v>0</v>
      </c>
      <c r="AD70" s="286" t="s">
        <v>445</v>
      </c>
    </row>
    <row r="71" spans="2:30" ht="15.6" hidden="1">
      <c r="B71" s="16"/>
      <c r="C71" s="314"/>
      <c r="D71" s="174" t="s">
        <v>22</v>
      </c>
      <c r="E71" s="148">
        <f>SUM(N71:Y71)</f>
        <v>100</v>
      </c>
      <c r="F71" s="175" t="s">
        <v>444</v>
      </c>
      <c r="G71" s="175" t="s">
        <v>621</v>
      </c>
      <c r="H71" s="148"/>
      <c r="I71" s="176"/>
      <c r="J71" s="176"/>
      <c r="K71" s="182" t="str">
        <f>VLOOKUP(F:F,'FCST data'!D:O,12,0)</f>
        <v xml:space="preserve">45W*4.5PHI </v>
      </c>
      <c r="L71" s="176"/>
      <c r="M71" s="356"/>
      <c r="N71" s="181">
        <f>SUMIFS('FCST data'!Q:Q,'FCST data'!$D:$D,$F71,'FCST data'!$K:$K,$G71,'FCST data'!$O:$O,$K71)</f>
        <v>0</v>
      </c>
      <c r="O71" s="181">
        <f>SUMIFS('FCST data'!R:R,'FCST data'!$D:$D,$F71,'FCST data'!$K:$K,$G71,'FCST data'!$O:$O,$K71)</f>
        <v>100</v>
      </c>
      <c r="P71" s="181">
        <f>SUMIFS('FCST data'!S:S,'FCST data'!$D:$D,$F71,'FCST data'!$K:$K,$G71,'FCST data'!$O:$O,$K71)</f>
        <v>0</v>
      </c>
      <c r="Q71" s="181">
        <f>SUMIFS('FCST data'!T:T,'FCST data'!$D:$D,$F71,'FCST data'!$K:$K,$G71,'FCST data'!$O:$O,$K71)</f>
        <v>0</v>
      </c>
      <c r="R71" s="181">
        <f>SUMIFS('FCST data'!U:U,'FCST data'!$D:$D,$F71,'FCST data'!$K:$K,$G71,'FCST data'!$O:$O,$K71)</f>
        <v>0</v>
      </c>
      <c r="S71" s="181">
        <f>SUMIFS('FCST data'!V:V,'FCST data'!$D:$D,$F71,'FCST data'!$K:$K,$G71,'FCST data'!$O:$O,$K71)</f>
        <v>0</v>
      </c>
      <c r="T71" s="181">
        <f>SUMIFS('FCST data'!W:W,'FCST data'!$D:$D,$F71,'FCST data'!$K:$K,$G71,'FCST data'!$O:$O,$K71)</f>
        <v>0</v>
      </c>
      <c r="U71" s="181">
        <f>SUMIFS('FCST data'!X:X,'FCST data'!$D:$D,$F71,'FCST data'!$K:$K,$G71,'FCST data'!$O:$O,$K71)</f>
        <v>0</v>
      </c>
      <c r="V71" s="181">
        <f>SUMIFS('FCST data'!Y:Y,'FCST data'!$D:$D,$F71,'FCST data'!$K:$K,$G71,'FCST data'!$O:$O,$K71)</f>
        <v>0</v>
      </c>
      <c r="W71" s="181">
        <f>SUMIFS('FCST data'!Z:Z,'FCST data'!$D:$D,$F71,'FCST data'!$K:$K,$G71,'FCST data'!$O:$O,$K71)</f>
        <v>0</v>
      </c>
      <c r="X71" s="181">
        <f>SUMIFS('FCST data'!AA:AA,'FCST data'!$D:$D,$F71,'FCST data'!$K:$K,$G71,'FCST data'!$O:$O,$K71)</f>
        <v>0</v>
      </c>
      <c r="Y71" s="181">
        <f>SUMIFS('FCST data'!AB:AB,'FCST data'!$D:$D,$F71,'FCST data'!$K:$K,$G71,'FCST data'!$O:$O,$K71)</f>
        <v>0</v>
      </c>
      <c r="Z71" s="148"/>
      <c r="AA71" s="17">
        <f>E71-SUM(Z72:Z73)</f>
        <v>0</v>
      </c>
      <c r="AC71" s="16">
        <v>0</v>
      </c>
      <c r="AD71" s="175" t="s">
        <v>444</v>
      </c>
    </row>
    <row r="72" spans="2:30" ht="24" hidden="1">
      <c r="B72" s="16"/>
      <c r="C72" s="283"/>
      <c r="D72" s="284"/>
      <c r="E72" s="285"/>
      <c r="F72" s="286" t="s">
        <v>444</v>
      </c>
      <c r="G72" s="286" t="s">
        <v>621</v>
      </c>
      <c r="H72" s="284" t="s">
        <v>715</v>
      </c>
      <c r="I72" s="284" t="s">
        <v>716</v>
      </c>
      <c r="J72" s="287" t="s">
        <v>268</v>
      </c>
      <c r="K72" s="287" t="s">
        <v>727</v>
      </c>
      <c r="L72" s="160"/>
      <c r="M72" s="354" t="s">
        <v>728</v>
      </c>
      <c r="N72" s="291">
        <v>0</v>
      </c>
      <c r="O72" s="291">
        <v>100</v>
      </c>
      <c r="P72" s="291">
        <v>0</v>
      </c>
      <c r="Q72" s="291">
        <v>0</v>
      </c>
      <c r="R72" s="291"/>
      <c r="S72" s="291"/>
      <c r="T72" s="291"/>
      <c r="U72" s="291"/>
      <c r="V72" s="291"/>
      <c r="W72" s="291"/>
      <c r="X72" s="291"/>
      <c r="Y72" s="291"/>
      <c r="Z72" s="177">
        <f>SUM(N72:Y72)</f>
        <v>100</v>
      </c>
      <c r="AC72" s="16">
        <v>0</v>
      </c>
      <c r="AD72" s="286" t="s">
        <v>444</v>
      </c>
    </row>
    <row r="73" spans="2:30" ht="14.4">
      <c r="B73" s="16"/>
      <c r="C73" s="283"/>
      <c r="D73" s="284"/>
      <c r="E73" s="285"/>
      <c r="F73" s="286" t="s">
        <v>444</v>
      </c>
      <c r="G73" s="286" t="s">
        <v>621</v>
      </c>
      <c r="H73" s="284" t="s">
        <v>717</v>
      </c>
      <c r="I73" s="287" t="s">
        <v>133</v>
      </c>
      <c r="J73" s="287" t="s">
        <v>268</v>
      </c>
      <c r="K73" s="287" t="s">
        <v>727</v>
      </c>
      <c r="L73" s="160"/>
      <c r="M73" s="355"/>
      <c r="N73" s="291"/>
      <c r="O73" s="291"/>
      <c r="P73" s="291"/>
      <c r="Q73" s="291"/>
      <c r="R73" s="291"/>
      <c r="S73" s="291"/>
      <c r="T73" s="291"/>
      <c r="U73" s="291"/>
      <c r="V73" s="291"/>
      <c r="W73" s="291"/>
      <c r="X73" s="291"/>
      <c r="Y73" s="291"/>
      <c r="Z73" s="177">
        <f>SUM(N73:Y73)</f>
        <v>0</v>
      </c>
      <c r="AC73" s="16">
        <v>0</v>
      </c>
      <c r="AD73" s="286" t="s">
        <v>444</v>
      </c>
    </row>
    <row r="74" spans="2:30" s="17" customFormat="1" ht="15.6" hidden="1">
      <c r="B74" s="16"/>
      <c r="C74" s="314"/>
      <c r="D74" s="174" t="s">
        <v>22</v>
      </c>
      <c r="E74" s="148">
        <f>SUM(N74:Y74)</f>
        <v>600</v>
      </c>
      <c r="F74" s="175" t="s">
        <v>444</v>
      </c>
      <c r="G74" s="175" t="s">
        <v>622</v>
      </c>
      <c r="H74" s="148"/>
      <c r="I74" s="176"/>
      <c r="J74" s="176"/>
      <c r="K74" s="182" t="str">
        <f>VLOOKUP(F:F,'FCST data'!D:O,12,0)</f>
        <v xml:space="preserve">45W*4.5PHI </v>
      </c>
      <c r="L74" s="176"/>
      <c r="M74" s="356"/>
      <c r="N74" s="181">
        <f>SUMIFS('FCST data'!Q:Q,'FCST data'!$D:$D,$F74,'FCST data'!$K:$K,$G74,'FCST data'!$O:$O,$K74)</f>
        <v>200</v>
      </c>
      <c r="O74" s="181">
        <f>SUMIFS('FCST data'!R:R,'FCST data'!$D:$D,$F74,'FCST data'!$K:$K,$G74,'FCST data'!$O:$O,$K74)</f>
        <v>200</v>
      </c>
      <c r="P74" s="181">
        <f>SUMIFS('FCST data'!S:S,'FCST data'!$D:$D,$F74,'FCST data'!$K:$K,$G74,'FCST data'!$O:$O,$K74)</f>
        <v>200</v>
      </c>
      <c r="Q74" s="181">
        <f>SUMIFS('FCST data'!T:T,'FCST data'!$D:$D,$F74,'FCST data'!$K:$K,$G74,'FCST data'!$O:$O,$K74)</f>
        <v>0</v>
      </c>
      <c r="R74" s="181">
        <f>SUMIFS('FCST data'!U:U,'FCST data'!$D:$D,$F74,'FCST data'!$K:$K,$G74,'FCST data'!$O:$O,$K74)</f>
        <v>0</v>
      </c>
      <c r="S74" s="181">
        <f>SUMIFS('FCST data'!V:V,'FCST data'!$D:$D,$F74,'FCST data'!$K:$K,$G74,'FCST data'!$O:$O,$K74)</f>
        <v>0</v>
      </c>
      <c r="T74" s="181">
        <f>SUMIFS('FCST data'!W:W,'FCST data'!$D:$D,$F74,'FCST data'!$K:$K,$G74,'FCST data'!$O:$O,$K74)</f>
        <v>0</v>
      </c>
      <c r="U74" s="181">
        <f>SUMIFS('FCST data'!X:X,'FCST data'!$D:$D,$F74,'FCST data'!$K:$K,$G74,'FCST data'!$O:$O,$K74)</f>
        <v>0</v>
      </c>
      <c r="V74" s="181">
        <f>SUMIFS('FCST data'!Y:Y,'FCST data'!$D:$D,$F74,'FCST data'!$K:$K,$G74,'FCST data'!$O:$O,$K74)</f>
        <v>0</v>
      </c>
      <c r="W74" s="181">
        <f>SUMIFS('FCST data'!Z:Z,'FCST data'!$D:$D,$F74,'FCST data'!$K:$K,$G74,'FCST data'!$O:$O,$K74)</f>
        <v>0</v>
      </c>
      <c r="X74" s="181">
        <f>SUMIFS('FCST data'!AA:AA,'FCST data'!$D:$D,$F74,'FCST data'!$K:$K,$G74,'FCST data'!$O:$O,$K74)</f>
        <v>0</v>
      </c>
      <c r="Y74" s="181">
        <f>SUMIFS('FCST data'!AB:AB,'FCST data'!$D:$D,$F74,'FCST data'!$K:$K,$G74,'FCST data'!$O:$O,$K74)</f>
        <v>0</v>
      </c>
      <c r="Z74" s="148"/>
      <c r="AA74" s="17">
        <f>E74-SUM(Z75:Z76)</f>
        <v>0</v>
      </c>
      <c r="AC74" s="16">
        <v>0</v>
      </c>
      <c r="AD74" s="175" t="s">
        <v>444</v>
      </c>
    </row>
    <row r="75" spans="2:30" s="17" customFormat="1" ht="24" hidden="1">
      <c r="B75" s="16"/>
      <c r="C75" s="283"/>
      <c r="D75" s="284"/>
      <c r="E75" s="285"/>
      <c r="F75" s="286" t="s">
        <v>444</v>
      </c>
      <c r="G75" s="286" t="s">
        <v>622</v>
      </c>
      <c r="H75" s="284" t="s">
        <v>715</v>
      </c>
      <c r="I75" s="284" t="s">
        <v>716</v>
      </c>
      <c r="J75" s="287" t="s">
        <v>268</v>
      </c>
      <c r="K75" s="287" t="s">
        <v>727</v>
      </c>
      <c r="L75" s="160"/>
      <c r="M75" s="354" t="s">
        <v>728</v>
      </c>
      <c r="N75" s="291">
        <v>200</v>
      </c>
      <c r="O75" s="291">
        <v>200</v>
      </c>
      <c r="P75" s="291">
        <v>200</v>
      </c>
      <c r="Q75" s="291"/>
      <c r="R75" s="291"/>
      <c r="S75" s="291"/>
      <c r="T75" s="291"/>
      <c r="U75" s="291"/>
      <c r="V75" s="291"/>
      <c r="W75" s="291"/>
      <c r="X75" s="291"/>
      <c r="Y75" s="291"/>
      <c r="Z75" s="177">
        <f>SUM(N75:Y75)</f>
        <v>600</v>
      </c>
      <c r="AC75" s="16">
        <v>200</v>
      </c>
      <c r="AD75" s="286" t="s">
        <v>444</v>
      </c>
    </row>
    <row r="76" spans="2:30" s="17" customFormat="1" ht="14.4">
      <c r="B76" s="16"/>
      <c r="C76" s="283"/>
      <c r="D76" s="284"/>
      <c r="E76" s="285"/>
      <c r="F76" s="286" t="s">
        <v>444</v>
      </c>
      <c r="G76" s="286" t="s">
        <v>622</v>
      </c>
      <c r="H76" s="284" t="s">
        <v>717</v>
      </c>
      <c r="I76" s="287" t="s">
        <v>133</v>
      </c>
      <c r="J76" s="287" t="s">
        <v>268</v>
      </c>
      <c r="K76" s="287" t="s">
        <v>727</v>
      </c>
      <c r="L76" s="160"/>
      <c r="M76" s="355"/>
      <c r="N76" s="291"/>
      <c r="O76" s="291"/>
      <c r="P76" s="291"/>
      <c r="Q76" s="291"/>
      <c r="R76" s="291"/>
      <c r="S76" s="291"/>
      <c r="T76" s="291"/>
      <c r="U76" s="291"/>
      <c r="V76" s="291"/>
      <c r="W76" s="291"/>
      <c r="X76" s="291"/>
      <c r="Y76" s="291"/>
      <c r="Z76" s="177">
        <f>SUM(N76:Y76)</f>
        <v>0</v>
      </c>
      <c r="AC76" s="16">
        <v>0</v>
      </c>
      <c r="AD76" s="286" t="s">
        <v>444</v>
      </c>
    </row>
    <row r="77" spans="2:30" ht="15.6" hidden="1">
      <c r="B77" s="16"/>
      <c r="C77" s="314"/>
      <c r="D77" s="174" t="s">
        <v>22</v>
      </c>
      <c r="E77" s="148">
        <f>SUM(N77:Y77)</f>
        <v>0</v>
      </c>
      <c r="F77" s="175" t="s">
        <v>628</v>
      </c>
      <c r="G77" s="175" t="s">
        <v>390</v>
      </c>
      <c r="H77" s="148"/>
      <c r="I77" s="176"/>
      <c r="J77" s="176"/>
      <c r="K77" s="182" t="s">
        <v>452</v>
      </c>
      <c r="L77" s="176"/>
      <c r="M77" s="356"/>
      <c r="N77" s="181">
        <f>SUMIFS('FCST data'!Q:Q,'FCST data'!$D:$D,$F77,'FCST data'!$K:$K,$G77,'FCST data'!$O:$O,$K77)</f>
        <v>0</v>
      </c>
      <c r="O77" s="181">
        <f>SUMIFS('FCST data'!R:R,'FCST data'!$D:$D,$F77,'FCST data'!$K:$K,$G77,'FCST data'!$O:$O,$K77)</f>
        <v>0</v>
      </c>
      <c r="P77" s="181">
        <f>SUMIFS('FCST data'!S:S,'FCST data'!$D:$D,$F77,'FCST data'!$K:$K,$G77,'FCST data'!$O:$O,$K77)</f>
        <v>0</v>
      </c>
      <c r="Q77" s="181">
        <f>SUMIFS('FCST data'!T:T,'FCST data'!$D:$D,$F77,'FCST data'!$K:$K,$G77,'FCST data'!$O:$O,$K77)</f>
        <v>0</v>
      </c>
      <c r="R77" s="181">
        <f>SUMIFS('FCST data'!U:U,'FCST data'!$D:$D,$F77,'FCST data'!$K:$K,$G77,'FCST data'!$O:$O,$K77)</f>
        <v>0</v>
      </c>
      <c r="S77" s="181">
        <f>SUMIFS('FCST data'!V:V,'FCST data'!$D:$D,$F77,'FCST data'!$K:$K,$G77,'FCST data'!$O:$O,$K77)</f>
        <v>0</v>
      </c>
      <c r="T77" s="181">
        <f>SUMIFS('FCST data'!W:W,'FCST data'!$D:$D,$F77,'FCST data'!$K:$K,$G77,'FCST data'!$O:$O,$K77)</f>
        <v>0</v>
      </c>
      <c r="U77" s="181">
        <f>SUMIFS('FCST data'!X:X,'FCST data'!$D:$D,$F77,'FCST data'!$K:$K,$G77,'FCST data'!$O:$O,$K77)</f>
        <v>0</v>
      </c>
      <c r="V77" s="181">
        <f>SUMIFS('FCST data'!Y:Y,'FCST data'!$D:$D,$F77,'FCST data'!$K:$K,$G77,'FCST data'!$O:$O,$K77)</f>
        <v>0</v>
      </c>
      <c r="W77" s="181">
        <f>SUMIFS('FCST data'!Z:Z,'FCST data'!$D:$D,$F77,'FCST data'!$K:$K,$G77,'FCST data'!$O:$O,$K77)</f>
        <v>0</v>
      </c>
      <c r="X77" s="181">
        <f>SUMIFS('FCST data'!AA:AA,'FCST data'!$D:$D,$F77,'FCST data'!$K:$K,$G77,'FCST data'!$O:$O,$K77)</f>
        <v>0</v>
      </c>
      <c r="Y77" s="181">
        <f>SUMIFS('FCST data'!AB:AB,'FCST data'!$D:$D,$F77,'FCST data'!$K:$K,$G77,'FCST data'!$O:$O,$K77)</f>
        <v>0</v>
      </c>
      <c r="Z77" s="148"/>
      <c r="AA77" s="17">
        <f>E77-SUM(Z78:Z79)</f>
        <v>0</v>
      </c>
      <c r="AC77" s="16">
        <v>0</v>
      </c>
      <c r="AD77" s="175" t="s">
        <v>628</v>
      </c>
    </row>
    <row r="78" spans="2:30" ht="24" hidden="1">
      <c r="B78" s="16"/>
      <c r="C78" s="283"/>
      <c r="D78" s="284"/>
      <c r="E78" s="285"/>
      <c r="F78" s="286" t="s">
        <v>624</v>
      </c>
      <c r="G78" s="286" t="s">
        <v>390</v>
      </c>
      <c r="H78" s="284" t="s">
        <v>715</v>
      </c>
      <c r="I78" s="284" t="s">
        <v>716</v>
      </c>
      <c r="J78" s="287" t="s">
        <v>268</v>
      </c>
      <c r="K78" s="287" t="s">
        <v>452</v>
      </c>
      <c r="L78" s="160"/>
      <c r="M78" s="354" t="s">
        <v>567</v>
      </c>
      <c r="N78" s="291"/>
      <c r="O78" s="291"/>
      <c r="P78" s="291"/>
      <c r="Q78" s="291"/>
      <c r="R78" s="291"/>
      <c r="S78" s="291"/>
      <c r="T78" s="291"/>
      <c r="U78" s="291"/>
      <c r="V78" s="291"/>
      <c r="W78" s="291"/>
      <c r="X78" s="291"/>
      <c r="Y78" s="291"/>
      <c r="Z78" s="177">
        <f>SUM(N78:Y78)</f>
        <v>0</v>
      </c>
      <c r="AC78" s="16">
        <v>0</v>
      </c>
      <c r="AD78" s="286" t="s">
        <v>624</v>
      </c>
    </row>
    <row r="79" spans="2:30" ht="14.4">
      <c r="B79" s="16"/>
      <c r="C79" s="283"/>
      <c r="D79" s="284"/>
      <c r="E79" s="285"/>
      <c r="F79" s="286" t="s">
        <v>624</v>
      </c>
      <c r="G79" s="286" t="s">
        <v>390</v>
      </c>
      <c r="H79" s="284" t="s">
        <v>717</v>
      </c>
      <c r="I79" s="287" t="s">
        <v>133</v>
      </c>
      <c r="J79" s="287" t="s">
        <v>268</v>
      </c>
      <c r="K79" s="287" t="s">
        <v>452</v>
      </c>
      <c r="L79" s="160"/>
      <c r="M79" s="355"/>
      <c r="N79" s="291"/>
      <c r="O79" s="291"/>
      <c r="P79" s="291"/>
      <c r="Q79" s="291"/>
      <c r="R79" s="291"/>
      <c r="S79" s="291"/>
      <c r="T79" s="291"/>
      <c r="U79" s="291"/>
      <c r="V79" s="291"/>
      <c r="W79" s="291"/>
      <c r="X79" s="291"/>
      <c r="Y79" s="291"/>
      <c r="Z79" s="177">
        <f>SUM(N79:Y79)</f>
        <v>0</v>
      </c>
      <c r="AC79" s="16">
        <v>0</v>
      </c>
      <c r="AD79" s="286" t="s">
        <v>624</v>
      </c>
    </row>
    <row r="80" spans="2:30" ht="15.6" hidden="1">
      <c r="B80" s="16"/>
      <c r="C80" s="314"/>
      <c r="D80" s="174" t="s">
        <v>22</v>
      </c>
      <c r="E80" s="181">
        <f>SUM(N80:Y80)</f>
        <v>0</v>
      </c>
      <c r="F80" s="175" t="s">
        <v>295</v>
      </c>
      <c r="G80" s="175" t="s">
        <v>297</v>
      </c>
      <c r="H80" s="181"/>
      <c r="I80" s="182"/>
      <c r="J80" s="182"/>
      <c r="K80" s="182" t="str">
        <f>VLOOKUP(F:F,'FCST data'!D:O,12,0)</f>
        <v>65W PD</v>
      </c>
      <c r="L80" s="182"/>
      <c r="M80" s="353"/>
      <c r="N80" s="181">
        <f>SUMIFS('FCST data'!Q:Q,'FCST data'!$D:$D,$F80,'FCST data'!$K:$K,$G80,'FCST data'!$O:$O,$K80)</f>
        <v>0</v>
      </c>
      <c r="O80" s="181">
        <f>SUMIFS('FCST data'!R:R,'FCST data'!$D:$D,$F80,'FCST data'!$K:$K,$G80,'FCST data'!$O:$O,$K80)</f>
        <v>0</v>
      </c>
      <c r="P80" s="181">
        <f>SUMIFS('FCST data'!S:S,'FCST data'!$D:$D,$F80,'FCST data'!$K:$K,$G80,'FCST data'!$O:$O,$K80)</f>
        <v>0</v>
      </c>
      <c r="Q80" s="181">
        <f>SUMIFS('FCST data'!T:T,'FCST data'!$D:$D,$F80,'FCST data'!$K:$K,$G80,'FCST data'!$O:$O,$K80)</f>
        <v>0</v>
      </c>
      <c r="R80" s="181">
        <f>SUMIFS('FCST data'!U:U,'FCST data'!$D:$D,$F80,'FCST data'!$K:$K,$G80,'FCST data'!$O:$O,$K80)</f>
        <v>0</v>
      </c>
      <c r="S80" s="181">
        <f>SUMIFS('FCST data'!V:V,'FCST data'!$D:$D,$F80,'FCST data'!$K:$K,$G80,'FCST data'!$O:$O,$K80)</f>
        <v>0</v>
      </c>
      <c r="T80" s="181">
        <f>SUMIFS('FCST data'!W:W,'FCST data'!$D:$D,$F80,'FCST data'!$K:$K,$G80,'FCST data'!$O:$O,$K80)</f>
        <v>0</v>
      </c>
      <c r="U80" s="181">
        <f>SUMIFS('FCST data'!X:X,'FCST data'!$D:$D,$F80,'FCST data'!$K:$K,$G80,'FCST data'!$O:$O,$K80)</f>
        <v>0</v>
      </c>
      <c r="V80" s="181">
        <f>SUMIFS('FCST data'!Y:Y,'FCST data'!$D:$D,$F80,'FCST data'!$K:$K,$G80,'FCST data'!$O:$O,$K80)</f>
        <v>0</v>
      </c>
      <c r="W80" s="181">
        <f>SUMIFS('FCST data'!Z:Z,'FCST data'!$D:$D,$F80,'FCST data'!$K:$K,$G80,'FCST data'!$O:$O,$K80)</f>
        <v>0</v>
      </c>
      <c r="X80" s="181">
        <f>SUMIFS('FCST data'!AA:AA,'FCST data'!$D:$D,$F80,'FCST data'!$K:$K,$G80,'FCST data'!$O:$O,$K80)</f>
        <v>0</v>
      </c>
      <c r="Y80" s="181">
        <f>SUMIFS('FCST data'!AB:AB,'FCST data'!$D:$D,$F80,'FCST data'!$K:$K,$G80,'FCST data'!$O:$O,$K80)</f>
        <v>0</v>
      </c>
      <c r="Z80" s="148"/>
      <c r="AA80" s="17">
        <f>E80-SUM(Z81:Z82)</f>
        <v>0</v>
      </c>
      <c r="AC80" s="16">
        <v>0</v>
      </c>
      <c r="AD80" s="175" t="s">
        <v>295</v>
      </c>
    </row>
    <row r="81" spans="2:30" ht="24" hidden="1">
      <c r="B81" s="16"/>
      <c r="C81" s="283"/>
      <c r="D81" s="284"/>
      <c r="E81" s="285"/>
      <c r="F81" s="286" t="s">
        <v>295</v>
      </c>
      <c r="G81" s="286" t="s">
        <v>297</v>
      </c>
      <c r="H81" s="284" t="s">
        <v>715</v>
      </c>
      <c r="I81" s="284" t="s">
        <v>716</v>
      </c>
      <c r="J81" s="287" t="s">
        <v>268</v>
      </c>
      <c r="K81" s="287" t="s">
        <v>275</v>
      </c>
      <c r="L81" s="160"/>
      <c r="M81" s="354" t="s">
        <v>568</v>
      </c>
      <c r="N81" s="291"/>
      <c r="O81" s="291"/>
      <c r="P81" s="291"/>
      <c r="Q81" s="291"/>
      <c r="R81" s="291"/>
      <c r="S81" s="291"/>
      <c r="T81" s="291"/>
      <c r="U81" s="291"/>
      <c r="V81" s="291"/>
      <c r="W81" s="291"/>
      <c r="X81" s="291"/>
      <c r="Y81" s="291"/>
      <c r="Z81" s="177">
        <f>SUM(N81:Y81)</f>
        <v>0</v>
      </c>
      <c r="AC81" s="16">
        <v>0</v>
      </c>
      <c r="AD81" s="286" t="s">
        <v>295</v>
      </c>
    </row>
    <row r="82" spans="2:30" ht="14.4">
      <c r="B82" s="16"/>
      <c r="C82" s="283"/>
      <c r="D82" s="284"/>
      <c r="E82" s="285"/>
      <c r="F82" s="286" t="s">
        <v>295</v>
      </c>
      <c r="G82" s="286" t="s">
        <v>297</v>
      </c>
      <c r="H82" s="284" t="s">
        <v>717</v>
      </c>
      <c r="I82" s="287" t="s">
        <v>133</v>
      </c>
      <c r="J82" s="287" t="s">
        <v>268</v>
      </c>
      <c r="K82" s="287" t="s">
        <v>275</v>
      </c>
      <c r="L82" s="160"/>
      <c r="M82" s="355"/>
      <c r="N82" s="291"/>
      <c r="O82" s="291"/>
      <c r="P82" s="291"/>
      <c r="Q82" s="291"/>
      <c r="R82" s="291"/>
      <c r="S82" s="291"/>
      <c r="T82" s="291"/>
      <c r="U82" s="291"/>
      <c r="V82" s="291"/>
      <c r="W82" s="291"/>
      <c r="X82" s="291"/>
      <c r="Y82" s="291"/>
      <c r="Z82" s="177">
        <f>SUM(N82:Y82)</f>
        <v>0</v>
      </c>
      <c r="AC82" s="16">
        <v>0</v>
      </c>
      <c r="AD82" s="286" t="s">
        <v>295</v>
      </c>
    </row>
    <row r="83" spans="2:30" s="17" customFormat="1" ht="15.6" hidden="1">
      <c r="B83" s="16"/>
      <c r="C83" s="314"/>
      <c r="D83" s="174" t="s">
        <v>22</v>
      </c>
      <c r="E83" s="181">
        <f>SUM(N83:Y83)</f>
        <v>0</v>
      </c>
      <c r="F83" s="175" t="s">
        <v>625</v>
      </c>
      <c r="G83" s="175" t="s">
        <v>373</v>
      </c>
      <c r="H83" s="181"/>
      <c r="I83" s="182"/>
      <c r="J83" s="182"/>
      <c r="K83" s="182" t="str">
        <f>VLOOKUP(F:F,'FCST data'!D:O,12,0)</f>
        <v>65W PD</v>
      </c>
      <c r="L83" s="182"/>
      <c r="M83" s="353"/>
      <c r="N83" s="181">
        <f>SUMIFS('FCST data'!Q:Q,'FCST data'!$D:$D,$F83,'FCST data'!$K:$K,$G83,'FCST data'!$O:$O,$K83)</f>
        <v>0</v>
      </c>
      <c r="O83" s="181">
        <f>SUMIFS('FCST data'!R:R,'FCST data'!$D:$D,$F83,'FCST data'!$K:$K,$G83,'FCST data'!$O:$O,$K83)</f>
        <v>0</v>
      </c>
      <c r="P83" s="181">
        <f>SUMIFS('FCST data'!S:S,'FCST data'!$D:$D,$F83,'FCST data'!$K:$K,$G83,'FCST data'!$O:$O,$K83)</f>
        <v>0</v>
      </c>
      <c r="Q83" s="181">
        <f>SUMIFS('FCST data'!T:T,'FCST data'!$D:$D,$F83,'FCST data'!$K:$K,$G83,'FCST data'!$O:$O,$K83)</f>
        <v>0</v>
      </c>
      <c r="R83" s="181">
        <f>SUMIFS('FCST data'!U:U,'FCST data'!$D:$D,$F83,'FCST data'!$K:$K,$G83,'FCST data'!$O:$O,$K83)</f>
        <v>0</v>
      </c>
      <c r="S83" s="181">
        <f>SUMIFS('FCST data'!V:V,'FCST data'!$D:$D,$F83,'FCST data'!$K:$K,$G83,'FCST data'!$O:$O,$K83)</f>
        <v>0</v>
      </c>
      <c r="T83" s="181">
        <f>SUMIFS('FCST data'!W:W,'FCST data'!$D:$D,$F83,'FCST data'!$K:$K,$G83,'FCST data'!$O:$O,$K83)</f>
        <v>0</v>
      </c>
      <c r="U83" s="181">
        <f>SUMIFS('FCST data'!X:X,'FCST data'!$D:$D,$F83,'FCST data'!$K:$K,$G83,'FCST data'!$O:$O,$K83)</f>
        <v>0</v>
      </c>
      <c r="V83" s="181">
        <f>SUMIFS('FCST data'!Y:Y,'FCST data'!$D:$D,$F83,'FCST data'!$K:$K,$G83,'FCST data'!$O:$O,$K83)</f>
        <v>0</v>
      </c>
      <c r="W83" s="181">
        <f>SUMIFS('FCST data'!Z:Z,'FCST data'!$D:$D,$F83,'FCST data'!$K:$K,$G83,'FCST data'!$O:$O,$K83)</f>
        <v>0</v>
      </c>
      <c r="X83" s="181">
        <f>SUMIFS('FCST data'!AA:AA,'FCST data'!$D:$D,$F83,'FCST data'!$K:$K,$G83,'FCST data'!$O:$O,$K83)</f>
        <v>0</v>
      </c>
      <c r="Y83" s="181">
        <f>SUMIFS('FCST data'!AB:AB,'FCST data'!$D:$D,$F83,'FCST data'!$K:$K,$G83,'FCST data'!$O:$O,$K83)</f>
        <v>0</v>
      </c>
      <c r="Z83" s="148"/>
      <c r="AA83" s="17">
        <f>E83-SUM(Z84:Z85)</f>
        <v>0</v>
      </c>
      <c r="AC83" s="16">
        <v>0</v>
      </c>
      <c r="AD83" s="175" t="s">
        <v>625</v>
      </c>
    </row>
    <row r="84" spans="2:30" s="17" customFormat="1" ht="24" hidden="1">
      <c r="B84" s="16"/>
      <c r="C84" s="283"/>
      <c r="D84" s="284"/>
      <c r="E84" s="285"/>
      <c r="F84" s="286" t="s">
        <v>625</v>
      </c>
      <c r="G84" s="286" t="s">
        <v>373</v>
      </c>
      <c r="H84" s="284" t="s">
        <v>715</v>
      </c>
      <c r="I84" s="284" t="s">
        <v>716</v>
      </c>
      <c r="J84" s="287" t="s">
        <v>268</v>
      </c>
      <c r="K84" s="287" t="s">
        <v>275</v>
      </c>
      <c r="L84" s="160"/>
      <c r="M84" s="354" t="s">
        <v>568</v>
      </c>
      <c r="N84" s="291"/>
      <c r="O84" s="291"/>
      <c r="P84" s="291"/>
      <c r="Q84" s="291"/>
      <c r="R84" s="291"/>
      <c r="S84" s="291"/>
      <c r="T84" s="291"/>
      <c r="U84" s="291"/>
      <c r="V84" s="291"/>
      <c r="W84" s="291"/>
      <c r="X84" s="291"/>
      <c r="Y84" s="291"/>
      <c r="Z84" s="177">
        <f>SUM(N84:Y84)</f>
        <v>0</v>
      </c>
      <c r="AC84" s="16">
        <v>0</v>
      </c>
      <c r="AD84" s="286" t="s">
        <v>625</v>
      </c>
    </row>
    <row r="85" spans="2:30" s="17" customFormat="1" ht="14.4">
      <c r="B85" s="16"/>
      <c r="C85" s="283"/>
      <c r="D85" s="284"/>
      <c r="E85" s="285"/>
      <c r="F85" s="286" t="s">
        <v>625</v>
      </c>
      <c r="G85" s="286" t="s">
        <v>373</v>
      </c>
      <c r="H85" s="284" t="s">
        <v>717</v>
      </c>
      <c r="I85" s="287" t="s">
        <v>133</v>
      </c>
      <c r="J85" s="287" t="s">
        <v>268</v>
      </c>
      <c r="K85" s="287" t="s">
        <v>275</v>
      </c>
      <c r="L85" s="160"/>
      <c r="M85" s="355"/>
      <c r="N85" s="291"/>
      <c r="O85" s="291"/>
      <c r="P85" s="291"/>
      <c r="Q85" s="291"/>
      <c r="R85" s="291"/>
      <c r="S85" s="291"/>
      <c r="T85" s="291"/>
      <c r="U85" s="291"/>
      <c r="V85" s="291"/>
      <c r="W85" s="291"/>
      <c r="X85" s="291"/>
      <c r="Y85" s="291"/>
      <c r="Z85" s="177">
        <f>SUM(N85:Y85)</f>
        <v>0</v>
      </c>
      <c r="AC85" s="16">
        <v>0</v>
      </c>
      <c r="AD85" s="286" t="s">
        <v>625</v>
      </c>
    </row>
    <row r="86" spans="2:30" ht="15.6" hidden="1">
      <c r="B86" s="16"/>
      <c r="C86" s="314"/>
      <c r="D86" s="174" t="s">
        <v>22</v>
      </c>
      <c r="E86" s="181">
        <f>SUM(N86:Y86)</f>
        <v>0</v>
      </c>
      <c r="F86" s="183" t="s">
        <v>296</v>
      </c>
      <c r="G86" s="183" t="s">
        <v>529</v>
      </c>
      <c r="H86" s="181"/>
      <c r="I86" s="182"/>
      <c r="J86" s="182"/>
      <c r="K86" s="182" t="str">
        <f>VLOOKUP(F:F,'FCST data'!D:O,12,0)</f>
        <v>65W PD</v>
      </c>
      <c r="L86" s="182"/>
      <c r="M86" s="353"/>
      <c r="N86" s="181">
        <f>SUMIFS('FCST data'!Q:Q,'FCST data'!$D:$D,$F86,'FCST data'!$K:$K,$G86,'FCST data'!$O:$O,$K86)</f>
        <v>0</v>
      </c>
      <c r="O86" s="181">
        <f>SUMIFS('FCST data'!R:R,'FCST data'!$D:$D,$F86,'FCST data'!$K:$K,$G86,'FCST data'!$O:$O,$K86)</f>
        <v>0</v>
      </c>
      <c r="P86" s="181">
        <f>SUMIFS('FCST data'!S:S,'FCST data'!$D:$D,$F86,'FCST data'!$K:$K,$G86,'FCST data'!$O:$O,$K86)</f>
        <v>0</v>
      </c>
      <c r="Q86" s="181">
        <f>SUMIFS('FCST data'!T:T,'FCST data'!$D:$D,$F86,'FCST data'!$K:$K,$G86,'FCST data'!$O:$O,$K86)</f>
        <v>0</v>
      </c>
      <c r="R86" s="181">
        <f>SUMIFS('FCST data'!U:U,'FCST data'!$D:$D,$F86,'FCST data'!$K:$K,$G86,'FCST data'!$O:$O,$K86)</f>
        <v>0</v>
      </c>
      <c r="S86" s="181">
        <f>SUMIFS('FCST data'!V:V,'FCST data'!$D:$D,$F86,'FCST data'!$K:$K,$G86,'FCST data'!$O:$O,$K86)</f>
        <v>0</v>
      </c>
      <c r="T86" s="181">
        <f>SUMIFS('FCST data'!W:W,'FCST data'!$D:$D,$F86,'FCST data'!$K:$K,$G86,'FCST data'!$O:$O,$K86)</f>
        <v>0</v>
      </c>
      <c r="U86" s="181">
        <f>SUMIFS('FCST data'!X:X,'FCST data'!$D:$D,$F86,'FCST data'!$K:$K,$G86,'FCST data'!$O:$O,$K86)</f>
        <v>0</v>
      </c>
      <c r="V86" s="181">
        <f>SUMIFS('FCST data'!Y:Y,'FCST data'!$D:$D,$F86,'FCST data'!$K:$K,$G86,'FCST data'!$O:$O,$K86)</f>
        <v>0</v>
      </c>
      <c r="W86" s="181">
        <f>SUMIFS('FCST data'!Z:Z,'FCST data'!$D:$D,$F86,'FCST data'!$K:$K,$G86,'FCST data'!$O:$O,$K86)</f>
        <v>0</v>
      </c>
      <c r="X86" s="181">
        <f>SUMIFS('FCST data'!AA:AA,'FCST data'!$D:$D,$F86,'FCST data'!$K:$K,$G86,'FCST data'!$O:$O,$K86)</f>
        <v>0</v>
      </c>
      <c r="Y86" s="181">
        <f>SUMIFS('FCST data'!AB:AB,'FCST data'!$D:$D,$F86,'FCST data'!$K:$K,$G86,'FCST data'!$O:$O,$K86)</f>
        <v>0</v>
      </c>
      <c r="Z86" s="148"/>
      <c r="AA86" s="17">
        <f>E86-SUM(Z87:Z88)</f>
        <v>0</v>
      </c>
      <c r="AC86" s="16">
        <v>0</v>
      </c>
      <c r="AD86" s="183" t="s">
        <v>296</v>
      </c>
    </row>
    <row r="87" spans="2:30" ht="24" hidden="1">
      <c r="B87" s="16"/>
      <c r="C87" s="283"/>
      <c r="D87" s="284"/>
      <c r="E87" s="285"/>
      <c r="F87" s="286" t="s">
        <v>296</v>
      </c>
      <c r="G87" s="286" t="s">
        <v>529</v>
      </c>
      <c r="H87" s="284" t="s">
        <v>715</v>
      </c>
      <c r="I87" s="284" t="s">
        <v>716</v>
      </c>
      <c r="J87" s="287" t="s">
        <v>268</v>
      </c>
      <c r="K87" s="287" t="s">
        <v>275</v>
      </c>
      <c r="L87" s="209"/>
      <c r="M87" s="354" t="s">
        <v>568</v>
      </c>
      <c r="N87" s="291"/>
      <c r="O87" s="291"/>
      <c r="P87" s="291"/>
      <c r="Q87" s="291"/>
      <c r="R87" s="291"/>
      <c r="S87" s="291"/>
      <c r="T87" s="291"/>
      <c r="U87" s="291"/>
      <c r="V87" s="291"/>
      <c r="W87" s="291"/>
      <c r="X87" s="291"/>
      <c r="Y87" s="291"/>
      <c r="Z87" s="177">
        <f>SUM(N87:Y87)</f>
        <v>0</v>
      </c>
      <c r="AC87" s="16">
        <v>0</v>
      </c>
      <c r="AD87" s="286" t="s">
        <v>296</v>
      </c>
    </row>
    <row r="88" spans="2:30" ht="14.4">
      <c r="B88" s="16"/>
      <c r="C88" s="283"/>
      <c r="D88" s="284"/>
      <c r="E88" s="285"/>
      <c r="F88" s="286" t="s">
        <v>296</v>
      </c>
      <c r="G88" s="286" t="s">
        <v>529</v>
      </c>
      <c r="H88" s="284" t="s">
        <v>717</v>
      </c>
      <c r="I88" s="287" t="s">
        <v>133</v>
      </c>
      <c r="J88" s="287" t="s">
        <v>268</v>
      </c>
      <c r="K88" s="287" t="s">
        <v>275</v>
      </c>
      <c r="L88" s="160"/>
      <c r="M88" s="355"/>
      <c r="N88" s="291"/>
      <c r="O88" s="291"/>
      <c r="P88" s="291"/>
      <c r="Q88" s="291"/>
      <c r="R88" s="291"/>
      <c r="S88" s="291"/>
      <c r="T88" s="291"/>
      <c r="U88" s="291"/>
      <c r="V88" s="291"/>
      <c r="W88" s="291"/>
      <c r="X88" s="291"/>
      <c r="Y88" s="291"/>
      <c r="Z88" s="177">
        <f>SUM(N88:Y88)</f>
        <v>0</v>
      </c>
      <c r="AC88" s="16">
        <v>0</v>
      </c>
      <c r="AD88" s="286" t="s">
        <v>296</v>
      </c>
    </row>
    <row r="89" spans="2:30" ht="15.6" hidden="1">
      <c r="B89" s="16"/>
      <c r="C89" s="314"/>
      <c r="D89" s="174" t="s">
        <v>22</v>
      </c>
      <c r="E89" s="181">
        <f>SUM(N89:Y89)</f>
        <v>450</v>
      </c>
      <c r="F89" s="175" t="s">
        <v>447</v>
      </c>
      <c r="G89" s="175" t="s">
        <v>710</v>
      </c>
      <c r="H89" s="181"/>
      <c r="I89" s="182"/>
      <c r="J89" s="182"/>
      <c r="K89" s="182" t="str">
        <f>VLOOKUP(F:F,'FCST data'!D:O,12,0)</f>
        <v>65W PD</v>
      </c>
      <c r="L89" s="182"/>
      <c r="M89" s="353"/>
      <c r="N89" s="181">
        <f>SUMIFS('FCST data'!Q:Q,'FCST data'!$D:$D,$F89,'FCST data'!$K:$K,$G89,'FCST data'!$O:$O,$K89)</f>
        <v>50</v>
      </c>
      <c r="O89" s="181">
        <f>SUMIFS('FCST data'!R:R,'FCST data'!$D:$D,$F89,'FCST data'!$K:$K,$G89,'FCST data'!$O:$O,$K89)</f>
        <v>100</v>
      </c>
      <c r="P89" s="181">
        <f>SUMIFS('FCST data'!S:S,'FCST data'!$D:$D,$F89,'FCST data'!$K:$K,$G89,'FCST data'!$O:$O,$K89)</f>
        <v>0</v>
      </c>
      <c r="Q89" s="181">
        <f>SUMIFS('FCST data'!T:T,'FCST data'!$D:$D,$F89,'FCST data'!$K:$K,$G89,'FCST data'!$O:$O,$K89)</f>
        <v>0</v>
      </c>
      <c r="R89" s="513">
        <f>SUMIFS('FCST data'!U:U,'FCST data'!$D:$D,$F89,'FCST data'!$K:$K,$G89,'FCST data'!$O:$O,$K89)</f>
        <v>150</v>
      </c>
      <c r="S89" s="513">
        <f>SUMIFS('FCST data'!V:V,'FCST data'!$D:$D,$F89,'FCST data'!$K:$K,$G89,'FCST data'!$O:$O,$K89)</f>
        <v>150</v>
      </c>
      <c r="T89" s="181">
        <f>SUMIFS('FCST data'!W:W,'FCST data'!$D:$D,$F89,'FCST data'!$K:$K,$G89,'FCST data'!$O:$O,$K89)</f>
        <v>0</v>
      </c>
      <c r="U89" s="181">
        <f>SUMIFS('FCST data'!X:X,'FCST data'!$D:$D,$F89,'FCST data'!$K:$K,$G89,'FCST data'!$O:$O,$K89)</f>
        <v>0</v>
      </c>
      <c r="V89" s="181">
        <f>SUMIFS('FCST data'!Y:Y,'FCST data'!$D:$D,$F89,'FCST data'!$K:$K,$G89,'FCST data'!$O:$O,$K89)</f>
        <v>0</v>
      </c>
      <c r="W89" s="181">
        <f>SUMIFS('FCST data'!Z:Z,'FCST data'!$D:$D,$F89,'FCST data'!$K:$K,$G89,'FCST data'!$O:$O,$K89)</f>
        <v>0</v>
      </c>
      <c r="X89" s="181">
        <f>SUMIFS('FCST data'!AA:AA,'FCST data'!$D:$D,$F89,'FCST data'!$K:$K,$G89,'FCST data'!$O:$O,$K89)</f>
        <v>0</v>
      </c>
      <c r="Y89" s="181">
        <f>SUMIFS('FCST data'!AB:AB,'FCST data'!$D:$D,$F89,'FCST data'!$K:$K,$G89,'FCST data'!$O:$O,$K89)</f>
        <v>0</v>
      </c>
      <c r="Z89" s="148"/>
      <c r="AA89" s="17">
        <f>E89-SUM(Z90:Z91)</f>
        <v>0</v>
      </c>
      <c r="AC89" s="16">
        <v>0</v>
      </c>
      <c r="AD89" s="175" t="s">
        <v>447</v>
      </c>
    </row>
    <row r="90" spans="2:30" ht="14.4" hidden="1">
      <c r="B90" s="16"/>
      <c r="C90" s="283"/>
      <c r="D90" s="284"/>
      <c r="E90" s="285"/>
      <c r="F90" s="286" t="s">
        <v>447</v>
      </c>
      <c r="G90" s="286" t="s">
        <v>710</v>
      </c>
      <c r="H90" s="284" t="s">
        <v>715</v>
      </c>
      <c r="I90" s="284" t="s">
        <v>716</v>
      </c>
      <c r="J90" s="287" t="s">
        <v>268</v>
      </c>
      <c r="K90" s="287" t="s">
        <v>275</v>
      </c>
      <c r="L90" s="160"/>
      <c r="M90" s="354"/>
      <c r="N90" s="291">
        <v>50</v>
      </c>
      <c r="O90" s="291">
        <v>100</v>
      </c>
      <c r="P90" s="291">
        <v>0</v>
      </c>
      <c r="Q90" s="291">
        <v>0</v>
      </c>
      <c r="R90" s="291">
        <v>150</v>
      </c>
      <c r="S90" s="291">
        <v>150</v>
      </c>
      <c r="T90" s="291"/>
      <c r="U90" s="291"/>
      <c r="V90" s="291"/>
      <c r="W90" s="291"/>
      <c r="X90" s="291"/>
      <c r="Y90" s="291"/>
      <c r="Z90" s="177">
        <f>SUM(N90:Y90)</f>
        <v>450</v>
      </c>
      <c r="AC90" s="16">
        <v>150</v>
      </c>
      <c r="AD90" s="286" t="s">
        <v>447</v>
      </c>
    </row>
    <row r="91" spans="2:30" ht="14.4">
      <c r="B91" s="16"/>
      <c r="C91" s="283"/>
      <c r="D91" s="284"/>
      <c r="E91" s="285"/>
      <c r="F91" s="286" t="s">
        <v>447</v>
      </c>
      <c r="G91" s="286" t="s">
        <v>710</v>
      </c>
      <c r="H91" s="284" t="s">
        <v>717</v>
      </c>
      <c r="I91" s="287" t="s">
        <v>133</v>
      </c>
      <c r="J91" s="287" t="s">
        <v>268</v>
      </c>
      <c r="K91" s="287" t="s">
        <v>275</v>
      </c>
      <c r="L91" s="160"/>
      <c r="M91" s="355"/>
      <c r="N91" s="291"/>
      <c r="O91" s="291"/>
      <c r="P91" s="291"/>
      <c r="Q91" s="291"/>
      <c r="R91" s="291"/>
      <c r="S91" s="291"/>
      <c r="T91" s="291"/>
      <c r="U91" s="291"/>
      <c r="V91" s="291"/>
      <c r="W91" s="291"/>
      <c r="X91" s="291"/>
      <c r="Y91" s="291"/>
      <c r="Z91" s="177">
        <f>SUM(N91:Y91)</f>
        <v>0</v>
      </c>
      <c r="AC91" s="16">
        <v>0</v>
      </c>
      <c r="AD91" s="286" t="s">
        <v>447</v>
      </c>
    </row>
    <row r="92" spans="2:30" ht="15.6" hidden="1">
      <c r="B92" s="16"/>
      <c r="C92" s="314"/>
      <c r="D92" s="174" t="s">
        <v>22</v>
      </c>
      <c r="E92" s="181">
        <f>SUM(N92:Y92)</f>
        <v>0</v>
      </c>
      <c r="F92" s="175" t="s">
        <v>448</v>
      </c>
      <c r="G92" s="175" t="s">
        <v>530</v>
      </c>
      <c r="H92" s="181"/>
      <c r="I92" s="182"/>
      <c r="J92" s="182"/>
      <c r="K92" s="182" t="str">
        <f>VLOOKUP(F:F,'FCST data'!D:O,12,0)</f>
        <v>100W PD</v>
      </c>
      <c r="L92" s="182"/>
      <c r="M92" s="353"/>
      <c r="N92" s="181">
        <f>SUMIFS('FCST data'!Q:Q,'FCST data'!$D:$D,$F92,'FCST data'!$K:$K,$G92,'FCST data'!$O:$O,$K92)</f>
        <v>0</v>
      </c>
      <c r="O92" s="181">
        <f>SUMIFS('FCST data'!R:R,'FCST data'!$D:$D,$F92,'FCST data'!$K:$K,$G92,'FCST data'!$O:$O,$K92)</f>
        <v>0</v>
      </c>
      <c r="P92" s="181">
        <f>SUMIFS('FCST data'!S:S,'FCST data'!$D:$D,$F92,'FCST data'!$K:$K,$G92,'FCST data'!$O:$O,$K92)</f>
        <v>0</v>
      </c>
      <c r="Q92" s="181">
        <f>SUMIFS('FCST data'!T:T,'FCST data'!$D:$D,$F92,'FCST data'!$K:$K,$G92,'FCST data'!$O:$O,$K92)</f>
        <v>0</v>
      </c>
      <c r="R92" s="181">
        <f>SUMIFS('FCST data'!U:U,'FCST data'!$D:$D,$F92,'FCST data'!$K:$K,$G92,'FCST data'!$O:$O,$K92)</f>
        <v>0</v>
      </c>
      <c r="S92" s="181">
        <f>SUMIFS('FCST data'!V:V,'FCST data'!$D:$D,$F92,'FCST data'!$K:$K,$G92,'FCST data'!$O:$O,$K92)</f>
        <v>0</v>
      </c>
      <c r="T92" s="181">
        <f>SUMIFS('FCST data'!W:W,'FCST data'!$D:$D,$F92,'FCST data'!$K:$K,$G92,'FCST data'!$O:$O,$K92)</f>
        <v>0</v>
      </c>
      <c r="U92" s="181">
        <f>SUMIFS('FCST data'!X:X,'FCST data'!$D:$D,$F92,'FCST data'!$K:$K,$G92,'FCST data'!$O:$O,$K92)</f>
        <v>0</v>
      </c>
      <c r="V92" s="181">
        <f>SUMIFS('FCST data'!Y:Y,'FCST data'!$D:$D,$F92,'FCST data'!$K:$K,$G92,'FCST data'!$O:$O,$K92)</f>
        <v>0</v>
      </c>
      <c r="W92" s="181">
        <f>SUMIFS('FCST data'!Z:Z,'FCST data'!$D:$D,$F92,'FCST data'!$K:$K,$G92,'FCST data'!$O:$O,$K92)</f>
        <v>0</v>
      </c>
      <c r="X92" s="181">
        <f>SUMIFS('FCST data'!AA:AA,'FCST data'!$D:$D,$F92,'FCST data'!$K:$K,$G92,'FCST data'!$O:$O,$K92)</f>
        <v>0</v>
      </c>
      <c r="Y92" s="181">
        <f>SUMIFS('FCST data'!AB:AB,'FCST data'!$D:$D,$F92,'FCST data'!$K:$K,$G92,'FCST data'!$O:$O,$K92)</f>
        <v>0</v>
      </c>
      <c r="Z92" s="148"/>
      <c r="AA92" s="17">
        <f>E92-SUM(Z93:Z94)</f>
        <v>0</v>
      </c>
      <c r="AC92" s="16">
        <v>0</v>
      </c>
      <c r="AD92" s="175" t="s">
        <v>448</v>
      </c>
    </row>
    <row r="93" spans="2:30" ht="14.4" hidden="1">
      <c r="B93" s="16"/>
      <c r="C93" s="283"/>
      <c r="D93" s="284"/>
      <c r="E93" s="285"/>
      <c r="F93" s="286" t="s">
        <v>448</v>
      </c>
      <c r="G93" s="286" t="s">
        <v>530</v>
      </c>
      <c r="H93" s="284" t="s">
        <v>715</v>
      </c>
      <c r="I93" s="284" t="s">
        <v>716</v>
      </c>
      <c r="J93" s="287" t="s">
        <v>268</v>
      </c>
      <c r="K93" s="287" t="s">
        <v>453</v>
      </c>
      <c r="L93" s="160"/>
      <c r="M93" s="355" t="s">
        <v>569</v>
      </c>
      <c r="N93" s="291"/>
      <c r="O93" s="291"/>
      <c r="P93" s="291"/>
      <c r="Q93" s="291"/>
      <c r="R93" s="291"/>
      <c r="S93" s="291"/>
      <c r="T93" s="291"/>
      <c r="U93" s="291"/>
      <c r="V93" s="291"/>
      <c r="W93" s="291"/>
      <c r="X93" s="291"/>
      <c r="Y93" s="291"/>
      <c r="Z93" s="177">
        <f>SUM(N93:Y93)</f>
        <v>0</v>
      </c>
      <c r="AC93" s="16">
        <v>0</v>
      </c>
      <c r="AD93" s="286" t="s">
        <v>448</v>
      </c>
    </row>
    <row r="94" spans="2:30" ht="14.4">
      <c r="B94" s="16"/>
      <c r="C94" s="283"/>
      <c r="D94" s="284"/>
      <c r="E94" s="285"/>
      <c r="F94" s="286" t="s">
        <v>448</v>
      </c>
      <c r="G94" s="286" t="s">
        <v>530</v>
      </c>
      <c r="H94" s="284" t="s">
        <v>717</v>
      </c>
      <c r="I94" s="287" t="s">
        <v>133</v>
      </c>
      <c r="J94" s="287" t="s">
        <v>268</v>
      </c>
      <c r="K94" s="287" t="s">
        <v>453</v>
      </c>
      <c r="L94" s="160"/>
      <c r="M94" s="355"/>
      <c r="N94" s="291"/>
      <c r="O94" s="291"/>
      <c r="P94" s="291"/>
      <c r="Q94" s="291"/>
      <c r="R94" s="291"/>
      <c r="S94" s="291"/>
      <c r="T94" s="291"/>
      <c r="U94" s="291"/>
      <c r="V94" s="291"/>
      <c r="W94" s="291"/>
      <c r="X94" s="291"/>
      <c r="Y94" s="291"/>
      <c r="Z94" s="177">
        <f>SUM(N94:Y94)</f>
        <v>0</v>
      </c>
      <c r="AC94" s="16">
        <v>0</v>
      </c>
      <c r="AD94" s="286" t="s">
        <v>448</v>
      </c>
    </row>
    <row r="95" spans="2:30" ht="15.6" hidden="1">
      <c r="B95" s="16"/>
      <c r="C95" s="315" t="s">
        <v>769</v>
      </c>
      <c r="D95" s="174" t="s">
        <v>22</v>
      </c>
      <c r="E95" s="181">
        <f>SUM(N95:Y95)</f>
        <v>4450</v>
      </c>
      <c r="F95" s="175" t="s">
        <v>767</v>
      </c>
      <c r="G95" s="175" t="s">
        <v>1063</v>
      </c>
      <c r="H95" s="181"/>
      <c r="I95" s="182"/>
      <c r="J95" s="182"/>
      <c r="K95" s="182" t="str">
        <f>VLOOKUP(F:F,'FCST data'!D:O,12,0)</f>
        <v>150W*4.5PHI</v>
      </c>
      <c r="L95" s="182"/>
      <c r="M95" s="353"/>
      <c r="N95" s="181">
        <f>SUMIFS('FCST data'!Q:Q,'FCST data'!$D:$D,$F95,'FCST data'!$K:$K,$G95,'FCST data'!$O:$O,$K95)</f>
        <v>250</v>
      </c>
      <c r="O95" s="181">
        <f>SUMIFS('FCST data'!R:R,'FCST data'!$D:$D,$F95,'FCST data'!$K:$K,$G95,'FCST data'!$O:$O,$K95)</f>
        <v>350</v>
      </c>
      <c r="P95" s="181">
        <f>SUMIFS('FCST data'!S:S,'FCST data'!$D:$D,$F95,'FCST data'!$K:$K,$G95,'FCST data'!$O:$O,$K95)</f>
        <v>550</v>
      </c>
      <c r="Q95" s="181">
        <f>SUMIFS('FCST data'!T:T,'FCST data'!$D:$D,$F95,'FCST data'!$K:$K,$G95,'FCST data'!$O:$O,$K95)</f>
        <v>700</v>
      </c>
      <c r="R95" s="181">
        <f>SUMIFS('FCST data'!U:U,'FCST data'!$D:$D,$F95,'FCST data'!$K:$K,$G95,'FCST data'!$O:$O,$K95)</f>
        <v>450</v>
      </c>
      <c r="S95" s="181">
        <f>SUMIFS('FCST data'!V:V,'FCST data'!$D:$D,$F95,'FCST data'!$K:$K,$G95,'FCST data'!$O:$O,$K95)</f>
        <v>600</v>
      </c>
      <c r="T95" s="181">
        <f>SUMIFS('FCST data'!W:W,'FCST data'!$D:$D,$F95,'FCST data'!$K:$K,$G95,'FCST data'!$O:$O,$K95)</f>
        <v>450</v>
      </c>
      <c r="U95" s="181">
        <f>SUMIFS('FCST data'!X:X,'FCST data'!$D:$D,$F95,'FCST data'!$K:$K,$G95,'FCST data'!$O:$O,$K95)</f>
        <v>550</v>
      </c>
      <c r="V95" s="181">
        <f>SUMIFS('FCST data'!Y:Y,'FCST data'!$D:$D,$F95,'FCST data'!$K:$K,$G95,'FCST data'!$O:$O,$K95)</f>
        <v>550</v>
      </c>
      <c r="W95" s="181">
        <f>SUMIFS('FCST data'!Z:Z,'FCST data'!$D:$D,$F95,'FCST data'!$K:$K,$G95,'FCST data'!$O:$O,$K95)</f>
        <v>0</v>
      </c>
      <c r="X95" s="181">
        <f>SUMIFS('FCST data'!AA:AA,'FCST data'!$D:$D,$F95,'FCST data'!$K:$K,$G95,'FCST data'!$O:$O,$K95)</f>
        <v>0</v>
      </c>
      <c r="Y95" s="181">
        <f>SUMIFS('FCST data'!AB:AB,'FCST data'!$D:$D,$F95,'FCST data'!$K:$K,$G95,'FCST data'!$O:$O,$K95)</f>
        <v>0</v>
      </c>
      <c r="Z95" s="148"/>
      <c r="AA95" s="17">
        <f>E95-SUM(Z96:Z97)</f>
        <v>0</v>
      </c>
      <c r="AC95" s="16">
        <v>0</v>
      </c>
      <c r="AD95" s="175" t="s">
        <v>767</v>
      </c>
    </row>
    <row r="96" spans="2:30" ht="14.4" hidden="1">
      <c r="B96" s="16"/>
      <c r="C96" s="283"/>
      <c r="D96" s="284"/>
      <c r="E96" s="285"/>
      <c r="F96" s="286" t="s">
        <v>767</v>
      </c>
      <c r="G96" s="286" t="s">
        <v>1063</v>
      </c>
      <c r="H96" s="284" t="s">
        <v>715</v>
      </c>
      <c r="I96" s="284" t="s">
        <v>716</v>
      </c>
      <c r="J96" s="287" t="s">
        <v>268</v>
      </c>
      <c r="K96" s="287" t="s">
        <v>778</v>
      </c>
      <c r="L96" s="160"/>
      <c r="M96" s="355" t="s">
        <v>776</v>
      </c>
      <c r="N96" s="291">
        <v>250</v>
      </c>
      <c r="O96" s="291">
        <v>350</v>
      </c>
      <c r="P96" s="291">
        <v>550</v>
      </c>
      <c r="Q96" s="291">
        <v>700</v>
      </c>
      <c r="R96" s="291">
        <v>450</v>
      </c>
      <c r="S96" s="291">
        <v>600</v>
      </c>
      <c r="T96" s="291">
        <v>450</v>
      </c>
      <c r="U96" s="291">
        <v>550</v>
      </c>
      <c r="V96" s="291">
        <v>550</v>
      </c>
      <c r="W96" s="291"/>
      <c r="X96" s="291"/>
      <c r="Y96" s="291"/>
      <c r="Z96" s="177">
        <f>SUM(N96:Y96)</f>
        <v>4450</v>
      </c>
      <c r="AA96" s="17"/>
      <c r="AC96" s="16">
        <v>0</v>
      </c>
      <c r="AD96" s="286" t="s">
        <v>767</v>
      </c>
    </row>
    <row r="97" spans="2:30" ht="14.4">
      <c r="B97" s="16"/>
      <c r="C97" s="283"/>
      <c r="D97" s="284"/>
      <c r="E97" s="285"/>
      <c r="F97" s="286" t="s">
        <v>767</v>
      </c>
      <c r="G97" s="286" t="s">
        <v>1063</v>
      </c>
      <c r="H97" s="284" t="s">
        <v>717</v>
      </c>
      <c r="I97" s="287" t="s">
        <v>133</v>
      </c>
      <c r="J97" s="287" t="s">
        <v>268</v>
      </c>
      <c r="K97" s="287" t="s">
        <v>778</v>
      </c>
      <c r="L97" s="160"/>
      <c r="M97" s="355"/>
      <c r="N97" s="291"/>
      <c r="O97" s="291"/>
      <c r="P97" s="291"/>
      <c r="Q97" s="291"/>
      <c r="R97" s="291"/>
      <c r="S97" s="291"/>
      <c r="T97" s="291"/>
      <c r="U97" s="291"/>
      <c r="V97" s="291"/>
      <c r="W97" s="291"/>
      <c r="X97" s="291"/>
      <c r="Y97" s="291"/>
      <c r="Z97" s="177">
        <f>SUM(N97:Y97)</f>
        <v>0</v>
      </c>
      <c r="AA97" s="17"/>
      <c r="AC97" s="16">
        <v>0</v>
      </c>
      <c r="AD97" s="286" t="s">
        <v>767</v>
      </c>
    </row>
    <row r="98" spans="2:30" ht="15.6" hidden="1">
      <c r="B98" s="16"/>
      <c r="C98" s="315" t="s">
        <v>769</v>
      </c>
      <c r="D98" s="174" t="s">
        <v>22</v>
      </c>
      <c r="E98" s="181">
        <f>SUM(N98:Y98)</f>
        <v>300</v>
      </c>
      <c r="F98" s="175" t="s">
        <v>775</v>
      </c>
      <c r="G98" s="175" t="s">
        <v>783</v>
      </c>
      <c r="H98" s="181"/>
      <c r="I98" s="182"/>
      <c r="J98" s="182"/>
      <c r="K98" s="182" t="str">
        <f>VLOOKUP(F:F,'FCST data'!D:O,12,0)</f>
        <v>150W*4.5PHI</v>
      </c>
      <c r="L98" s="182"/>
      <c r="M98" s="353"/>
      <c r="N98" s="181">
        <f>SUMIFS('FCST data'!Q:Q,'FCST data'!$D:$D,$F98,'FCST data'!$K:$K,$G98,'FCST data'!$O:$O,$K98)</f>
        <v>0</v>
      </c>
      <c r="O98" s="181">
        <f>SUMIFS('FCST data'!R:R,'FCST data'!$D:$D,$F98,'FCST data'!$K:$K,$G98,'FCST data'!$O:$O,$K98)</f>
        <v>200</v>
      </c>
      <c r="P98" s="181">
        <f>SUMIFS('FCST data'!S:S,'FCST data'!$D:$D,$F98,'FCST data'!$K:$K,$G98,'FCST data'!$O:$O,$K98)</f>
        <v>0</v>
      </c>
      <c r="Q98" s="181">
        <f>SUMIFS('FCST data'!T:T,'FCST data'!$D:$D,$F98,'FCST data'!$K:$K,$G98,'FCST data'!$O:$O,$K98)</f>
        <v>100</v>
      </c>
      <c r="R98" s="181">
        <f>SUMIFS('FCST data'!U:U,'FCST data'!$D:$D,$F98,'FCST data'!$K:$K,$G98,'FCST data'!$O:$O,$K98)</f>
        <v>0</v>
      </c>
      <c r="S98" s="181">
        <f>SUMIFS('FCST data'!V:V,'FCST data'!$D:$D,$F98,'FCST data'!$K:$K,$G98,'FCST data'!$O:$O,$K98)</f>
        <v>0</v>
      </c>
      <c r="T98" s="181">
        <f>SUMIFS('FCST data'!W:W,'FCST data'!$D:$D,$F98,'FCST data'!$K:$K,$G98,'FCST data'!$O:$O,$K98)</f>
        <v>0</v>
      </c>
      <c r="U98" s="181">
        <f>SUMIFS('FCST data'!X:X,'FCST data'!$D:$D,$F98,'FCST data'!$K:$K,$G98,'FCST data'!$O:$O,$K98)</f>
        <v>0</v>
      </c>
      <c r="V98" s="181">
        <f>SUMIFS('FCST data'!Y:Y,'FCST data'!$D:$D,$F98,'FCST data'!$K:$K,$G98,'FCST data'!$O:$O,$K98)</f>
        <v>0</v>
      </c>
      <c r="W98" s="181">
        <f>SUMIFS('FCST data'!Z:Z,'FCST data'!$D:$D,$F98,'FCST data'!$K:$K,$G98,'FCST data'!$O:$O,$K98)</f>
        <v>0</v>
      </c>
      <c r="X98" s="181">
        <f>SUMIFS('FCST data'!AA:AA,'FCST data'!$D:$D,$F98,'FCST data'!$K:$K,$G98,'FCST data'!$O:$O,$K98)</f>
        <v>0</v>
      </c>
      <c r="Y98" s="181">
        <f>SUMIFS('FCST data'!AB:AB,'FCST data'!$D:$D,$F98,'FCST data'!$K:$K,$G98,'FCST data'!$O:$O,$K98)</f>
        <v>0</v>
      </c>
      <c r="Z98" s="148"/>
      <c r="AA98" s="17">
        <f>E98-SUM(Z99:Z100)</f>
        <v>0</v>
      </c>
      <c r="AC98" s="16">
        <v>0</v>
      </c>
      <c r="AD98" s="175" t="s">
        <v>775</v>
      </c>
    </row>
    <row r="99" spans="2:30" ht="14.4" hidden="1">
      <c r="B99" s="16"/>
      <c r="C99" s="283"/>
      <c r="D99" s="284"/>
      <c r="E99" s="285"/>
      <c r="F99" s="286" t="s">
        <v>775</v>
      </c>
      <c r="G99" s="286" t="s">
        <v>783</v>
      </c>
      <c r="H99" s="284" t="s">
        <v>715</v>
      </c>
      <c r="I99" s="284" t="s">
        <v>716</v>
      </c>
      <c r="J99" s="287" t="s">
        <v>268</v>
      </c>
      <c r="K99" s="287" t="s">
        <v>778</v>
      </c>
      <c r="L99" s="160"/>
      <c r="M99" s="355" t="s">
        <v>776</v>
      </c>
      <c r="N99" s="291">
        <v>0</v>
      </c>
      <c r="O99" s="291">
        <v>200</v>
      </c>
      <c r="P99" s="291">
        <v>0</v>
      </c>
      <c r="Q99" s="291">
        <v>100</v>
      </c>
      <c r="R99" s="291">
        <v>0</v>
      </c>
      <c r="S99" s="291">
        <v>0</v>
      </c>
      <c r="T99" s="291"/>
      <c r="U99" s="291"/>
      <c r="V99" s="291"/>
      <c r="W99" s="291"/>
      <c r="X99" s="291"/>
      <c r="Y99" s="291"/>
      <c r="Z99" s="177">
        <f>SUM(N99:Y99)</f>
        <v>300</v>
      </c>
      <c r="AA99" s="17"/>
      <c r="AC99" s="16">
        <v>0</v>
      </c>
      <c r="AD99" s="286" t="s">
        <v>775</v>
      </c>
    </row>
    <row r="100" spans="2:30" ht="14.4">
      <c r="B100" s="16"/>
      <c r="C100" s="283"/>
      <c r="D100" s="284"/>
      <c r="E100" s="285"/>
      <c r="F100" s="286" t="s">
        <v>775</v>
      </c>
      <c r="G100" s="286" t="s">
        <v>783</v>
      </c>
      <c r="H100" s="284" t="s">
        <v>717</v>
      </c>
      <c r="I100" s="287" t="s">
        <v>133</v>
      </c>
      <c r="J100" s="287" t="s">
        <v>268</v>
      </c>
      <c r="K100" s="287" t="s">
        <v>778</v>
      </c>
      <c r="L100" s="160"/>
      <c r="M100" s="355"/>
      <c r="N100" s="291"/>
      <c r="O100" s="291"/>
      <c r="P100" s="291"/>
      <c r="Q100" s="291"/>
      <c r="R100" s="291"/>
      <c r="S100" s="291"/>
      <c r="T100" s="291"/>
      <c r="U100" s="291"/>
      <c r="V100" s="291"/>
      <c r="W100" s="291"/>
      <c r="X100" s="291"/>
      <c r="Y100" s="291"/>
      <c r="Z100" s="177">
        <f>SUM(N100:Y100)</f>
        <v>0</v>
      </c>
      <c r="AA100" s="17"/>
      <c r="AC100" s="16">
        <v>0</v>
      </c>
      <c r="AD100" s="286" t="s">
        <v>775</v>
      </c>
    </row>
    <row r="101" spans="2:30" ht="15.6" hidden="1">
      <c r="B101" s="16"/>
      <c r="C101" s="315" t="s">
        <v>769</v>
      </c>
      <c r="D101" s="174" t="s">
        <v>22</v>
      </c>
      <c r="E101" s="181">
        <f>SUM(N101:Y101)</f>
        <v>300</v>
      </c>
      <c r="F101" s="175" t="s">
        <v>766</v>
      </c>
      <c r="G101" s="175" t="s">
        <v>1064</v>
      </c>
      <c r="H101" s="181"/>
      <c r="I101" s="182"/>
      <c r="J101" s="182"/>
      <c r="K101" s="182" t="str">
        <f>VLOOKUP(F:F,'FCST data'!D:O,12,0)</f>
        <v>150W*4.5PHI</v>
      </c>
      <c r="L101" s="182"/>
      <c r="M101" s="353"/>
      <c r="N101" s="181">
        <f>SUMIFS('FCST data'!Q:Q,'FCST data'!$D:$D,$F101,'FCST data'!$K:$K,$G101,'FCST data'!$O:$O,$K101)</f>
        <v>0</v>
      </c>
      <c r="O101" s="181">
        <f>SUMIFS('FCST data'!R:R,'FCST data'!$D:$D,$F101,'FCST data'!$K:$K,$G101,'FCST data'!$O:$O,$K101)</f>
        <v>200</v>
      </c>
      <c r="P101" s="181">
        <f>SUMIFS('FCST data'!S:S,'FCST data'!$D:$D,$F101,'FCST data'!$K:$K,$G101,'FCST data'!$O:$O,$K101)</f>
        <v>0</v>
      </c>
      <c r="Q101" s="181">
        <f>SUMIFS('FCST data'!T:T,'FCST data'!$D:$D,$F101,'FCST data'!$K:$K,$G101,'FCST data'!$O:$O,$K101)</f>
        <v>100</v>
      </c>
      <c r="R101" s="181">
        <f>SUMIFS('FCST data'!U:U,'FCST data'!$D:$D,$F101,'FCST data'!$K:$K,$G101,'FCST data'!$O:$O,$K101)</f>
        <v>0</v>
      </c>
      <c r="S101" s="181">
        <f>SUMIFS('FCST data'!V:V,'FCST data'!$D:$D,$F101,'FCST data'!$K:$K,$G101,'FCST data'!$O:$O,$K101)</f>
        <v>0</v>
      </c>
      <c r="T101" s="181">
        <f>SUMIFS('FCST data'!W:W,'FCST data'!$D:$D,$F101,'FCST data'!$K:$K,$G101,'FCST data'!$O:$O,$K101)</f>
        <v>0</v>
      </c>
      <c r="U101" s="181">
        <f>SUMIFS('FCST data'!X:X,'FCST data'!$D:$D,$F101,'FCST data'!$K:$K,$G101,'FCST data'!$O:$O,$K101)</f>
        <v>0</v>
      </c>
      <c r="V101" s="181">
        <f>SUMIFS('FCST data'!Y:Y,'FCST data'!$D:$D,$F101,'FCST data'!$K:$K,$G101,'FCST data'!$O:$O,$K101)</f>
        <v>0</v>
      </c>
      <c r="W101" s="181">
        <f>SUMIFS('FCST data'!Z:Z,'FCST data'!$D:$D,$F101,'FCST data'!$K:$K,$G101,'FCST data'!$O:$O,$K101)</f>
        <v>0</v>
      </c>
      <c r="X101" s="181">
        <f>SUMIFS('FCST data'!AA:AA,'FCST data'!$D:$D,$F101,'FCST data'!$K:$K,$G101,'FCST data'!$O:$O,$K101)</f>
        <v>0</v>
      </c>
      <c r="Y101" s="181">
        <f>SUMIFS('FCST data'!AB:AB,'FCST data'!$D:$D,$F101,'FCST data'!$K:$K,$G101,'FCST data'!$O:$O,$K101)</f>
        <v>0</v>
      </c>
      <c r="Z101" s="148"/>
      <c r="AA101" s="17">
        <f>E101-SUM(Z102:Z103)</f>
        <v>0</v>
      </c>
      <c r="AC101" s="16">
        <v>0</v>
      </c>
      <c r="AD101" s="175" t="s">
        <v>766</v>
      </c>
    </row>
    <row r="102" spans="2:30" ht="14.4" hidden="1">
      <c r="B102" s="16"/>
      <c r="C102" s="283"/>
      <c r="D102" s="284"/>
      <c r="E102" s="285"/>
      <c r="F102" s="286" t="s">
        <v>766</v>
      </c>
      <c r="G102" s="286" t="s">
        <v>1064</v>
      </c>
      <c r="H102" s="284" t="s">
        <v>715</v>
      </c>
      <c r="I102" s="284" t="s">
        <v>716</v>
      </c>
      <c r="J102" s="287" t="s">
        <v>268</v>
      </c>
      <c r="K102" s="287" t="s">
        <v>778</v>
      </c>
      <c r="L102" s="160"/>
      <c r="M102" s="355" t="s">
        <v>776</v>
      </c>
      <c r="N102" s="291">
        <v>0</v>
      </c>
      <c r="O102" s="291">
        <v>200</v>
      </c>
      <c r="P102" s="291">
        <v>0</v>
      </c>
      <c r="Q102" s="291">
        <v>100</v>
      </c>
      <c r="R102" s="291">
        <v>0</v>
      </c>
      <c r="S102" s="291">
        <v>0</v>
      </c>
      <c r="T102" s="291"/>
      <c r="U102" s="291"/>
      <c r="V102" s="291"/>
      <c r="W102" s="291"/>
      <c r="X102" s="291"/>
      <c r="Y102" s="291"/>
      <c r="Z102" s="177">
        <f>SUM(N102:Y102)</f>
        <v>300</v>
      </c>
      <c r="AA102" s="17"/>
      <c r="AC102" s="16">
        <v>0</v>
      </c>
      <c r="AD102" s="286" t="s">
        <v>766</v>
      </c>
    </row>
    <row r="103" spans="2:30" ht="14.4">
      <c r="B103" s="16"/>
      <c r="C103" s="283"/>
      <c r="D103" s="284"/>
      <c r="E103" s="285"/>
      <c r="F103" s="286" t="s">
        <v>766</v>
      </c>
      <c r="G103" s="286" t="s">
        <v>1064</v>
      </c>
      <c r="H103" s="284" t="s">
        <v>717</v>
      </c>
      <c r="I103" s="287" t="s">
        <v>133</v>
      </c>
      <c r="J103" s="287" t="s">
        <v>268</v>
      </c>
      <c r="K103" s="287" t="s">
        <v>778</v>
      </c>
      <c r="L103" s="160"/>
      <c r="M103" s="355"/>
      <c r="N103" s="291"/>
      <c r="O103" s="291"/>
      <c r="P103" s="291"/>
      <c r="Q103" s="291"/>
      <c r="R103" s="291"/>
      <c r="S103" s="291"/>
      <c r="T103" s="291"/>
      <c r="U103" s="291"/>
      <c r="V103" s="291"/>
      <c r="W103" s="291"/>
      <c r="X103" s="291"/>
      <c r="Y103" s="291"/>
      <c r="Z103" s="177">
        <f>SUM(N103:Y103)</f>
        <v>0</v>
      </c>
      <c r="AA103" s="17"/>
      <c r="AC103" s="16">
        <v>0</v>
      </c>
      <c r="AD103" s="286" t="s">
        <v>766</v>
      </c>
    </row>
    <row r="104" spans="2:30" s="17" customFormat="1" ht="15.6" hidden="1">
      <c r="B104" s="16"/>
      <c r="C104" s="315" t="s">
        <v>769</v>
      </c>
      <c r="D104" s="174" t="s">
        <v>22</v>
      </c>
      <c r="E104" s="181">
        <f>SUM(N104:Y104)</f>
        <v>40700</v>
      </c>
      <c r="F104" s="175" t="s">
        <v>875</v>
      </c>
      <c r="G104" s="175" t="s">
        <v>365</v>
      </c>
      <c r="H104" s="181"/>
      <c r="I104" s="182"/>
      <c r="J104" s="182"/>
      <c r="K104" s="182" t="str">
        <f>VLOOKUP(F:F,'FCST data'!D:O,12,0)</f>
        <v>65W*4.0PHI</v>
      </c>
      <c r="L104" s="182"/>
      <c r="M104" s="353"/>
      <c r="N104" s="181">
        <f>SUMIFS('FCST data'!Q:Q,'FCST data'!$D:$D,$F104,'FCST data'!$K:$K,$G104,'FCST data'!$O:$O,$K104)</f>
        <v>0</v>
      </c>
      <c r="O104" s="181">
        <f>SUMIFS('FCST data'!R:R,'FCST data'!$D:$D,$F104,'FCST data'!$K:$K,$G104,'FCST data'!$O:$O,$K104)</f>
        <v>0</v>
      </c>
      <c r="P104" s="181">
        <f>SUMIFS('FCST data'!S:S,'FCST data'!$D:$D,$F104,'FCST data'!$K:$K,$G104,'FCST data'!$O:$O,$K104)</f>
        <v>0</v>
      </c>
      <c r="Q104" s="181">
        <f>SUMIFS('FCST data'!T:T,'FCST data'!$D:$D,$F104,'FCST data'!$K:$K,$G104,'FCST data'!$O:$O,$K104)</f>
        <v>8500</v>
      </c>
      <c r="R104" s="181">
        <f>SUMIFS('FCST data'!U:U,'FCST data'!$D:$D,$F104,'FCST data'!$K:$K,$G104,'FCST data'!$O:$O,$K104)</f>
        <v>8400</v>
      </c>
      <c r="S104" s="181">
        <f>SUMIFS('FCST data'!V:V,'FCST data'!$D:$D,$F104,'FCST data'!$K:$K,$G104,'FCST data'!$O:$O,$K104)</f>
        <v>8500</v>
      </c>
      <c r="T104" s="181">
        <f>SUMIFS('FCST data'!W:W,'FCST data'!$D:$D,$F104,'FCST data'!$K:$K,$G104,'FCST data'!$O:$O,$K104)</f>
        <v>7100</v>
      </c>
      <c r="U104" s="181">
        <f>SUMIFS('FCST data'!X:X,'FCST data'!$D:$D,$F104,'FCST data'!$K:$K,$G104,'FCST data'!$O:$O,$K104)</f>
        <v>4100</v>
      </c>
      <c r="V104" s="181">
        <f>SUMIFS('FCST data'!Y:Y,'FCST data'!$D:$D,$F104,'FCST data'!$K:$K,$G104,'FCST data'!$O:$O,$K104)</f>
        <v>4100</v>
      </c>
      <c r="W104" s="181">
        <f>SUMIFS('FCST data'!Z:Z,'FCST data'!$D:$D,$F104,'FCST data'!$K:$K,$G104,'FCST data'!$O:$O,$K104)</f>
        <v>0</v>
      </c>
      <c r="X104" s="181">
        <f>SUMIFS('FCST data'!AA:AA,'FCST data'!$D:$D,$F104,'FCST data'!$K:$K,$G104,'FCST data'!$O:$O,$K104)</f>
        <v>0</v>
      </c>
      <c r="Y104" s="181">
        <f>SUMIFS('FCST data'!AB:AB,'FCST data'!$D:$D,$F104,'FCST data'!$K:$K,$G104,'FCST data'!$O:$O,$K104)</f>
        <v>0</v>
      </c>
      <c r="Z104" s="148"/>
      <c r="AA104" s="17">
        <f>E104-SUM(Z105:Z106)</f>
        <v>0</v>
      </c>
      <c r="AC104" s="16">
        <v>0</v>
      </c>
      <c r="AD104" s="175" t="s">
        <v>766</v>
      </c>
    </row>
    <row r="105" spans="2:30" s="17" customFormat="1" ht="36" hidden="1">
      <c r="B105" s="16"/>
      <c r="C105" s="283"/>
      <c r="D105" s="284"/>
      <c r="E105" s="285"/>
      <c r="F105" s="286" t="s">
        <v>875</v>
      </c>
      <c r="G105" s="286" t="s">
        <v>365</v>
      </c>
      <c r="H105" s="284" t="s">
        <v>715</v>
      </c>
      <c r="I105" s="284" t="s">
        <v>716</v>
      </c>
      <c r="J105" s="287" t="s">
        <v>268</v>
      </c>
      <c r="K105" s="287" t="s">
        <v>419</v>
      </c>
      <c r="L105" s="160"/>
      <c r="M105" s="354" t="s">
        <v>913</v>
      </c>
      <c r="N105" s="291"/>
      <c r="O105" s="291"/>
      <c r="P105" s="291"/>
      <c r="Q105" s="291">
        <v>8500</v>
      </c>
      <c r="R105" s="291">
        <v>8400</v>
      </c>
      <c r="S105" s="291">
        <v>8500</v>
      </c>
      <c r="T105" s="291">
        <v>7100</v>
      </c>
      <c r="U105" s="291">
        <v>4100</v>
      </c>
      <c r="V105" s="291">
        <v>4100</v>
      </c>
      <c r="W105" s="291"/>
      <c r="X105" s="291"/>
      <c r="Y105" s="291"/>
      <c r="Z105" s="177">
        <f>SUM(N105:Y105)</f>
        <v>40700</v>
      </c>
      <c r="AC105" s="16">
        <v>0</v>
      </c>
      <c r="AD105" s="286" t="s">
        <v>766</v>
      </c>
    </row>
    <row r="106" spans="2:30" s="17" customFormat="1" ht="14.4">
      <c r="B106" s="16"/>
      <c r="C106" s="283"/>
      <c r="D106" s="284"/>
      <c r="E106" s="285"/>
      <c r="F106" s="286" t="s">
        <v>875</v>
      </c>
      <c r="G106" s="286" t="s">
        <v>365</v>
      </c>
      <c r="H106" s="284" t="s">
        <v>717</v>
      </c>
      <c r="I106" s="287" t="s">
        <v>133</v>
      </c>
      <c r="J106" s="287" t="s">
        <v>268</v>
      </c>
      <c r="K106" s="287" t="s">
        <v>419</v>
      </c>
      <c r="L106" s="160"/>
      <c r="M106" s="355"/>
      <c r="N106" s="291"/>
      <c r="O106" s="291"/>
      <c r="P106" s="291"/>
      <c r="Q106" s="291"/>
      <c r="R106" s="291"/>
      <c r="S106" s="291"/>
      <c r="T106" s="291"/>
      <c r="U106" s="291"/>
      <c r="V106" s="291"/>
      <c r="W106" s="291"/>
      <c r="X106" s="291"/>
      <c r="Y106" s="291"/>
      <c r="Z106" s="177">
        <f>SUM(N106:Y106)</f>
        <v>0</v>
      </c>
      <c r="AC106" s="16">
        <v>0</v>
      </c>
      <c r="AD106" s="286" t="s">
        <v>766</v>
      </c>
    </row>
    <row r="107" spans="2:30" s="17" customFormat="1" ht="15.6" hidden="1">
      <c r="B107" s="16"/>
      <c r="C107" s="315" t="s">
        <v>769</v>
      </c>
      <c r="D107" s="174" t="s">
        <v>22</v>
      </c>
      <c r="E107" s="181">
        <f>SUM(N107:Y107)</f>
        <v>48150</v>
      </c>
      <c r="F107" s="175" t="s">
        <v>875</v>
      </c>
      <c r="G107" s="175" t="s">
        <v>373</v>
      </c>
      <c r="H107" s="181"/>
      <c r="I107" s="182"/>
      <c r="J107" s="182"/>
      <c r="K107" s="182" t="str">
        <f>VLOOKUP(F:F,'FCST data'!D:O,12,0)</f>
        <v>65W*4.0PHI</v>
      </c>
      <c r="L107" s="182"/>
      <c r="M107" s="353"/>
      <c r="N107" s="181">
        <f>SUMIFS('FCST data'!Q:Q,'FCST data'!$D:$D,$F107,'FCST data'!$K:$K,$G107,'FCST data'!$O:$O,$K107)</f>
        <v>0</v>
      </c>
      <c r="O107" s="181">
        <f>SUMIFS('FCST data'!R:R,'FCST data'!$D:$D,$F107,'FCST data'!$K:$K,$G107,'FCST data'!$O:$O,$K107)</f>
        <v>0</v>
      </c>
      <c r="P107" s="181">
        <f>SUMIFS('FCST data'!S:S,'FCST data'!$D:$D,$F107,'FCST data'!$K:$K,$G107,'FCST data'!$O:$O,$K107)</f>
        <v>0</v>
      </c>
      <c r="Q107" s="181">
        <f>SUMIFS('FCST data'!T:T,'FCST data'!$D:$D,$F107,'FCST data'!$K:$K,$G107,'FCST data'!$O:$O,$K107)</f>
        <v>2100</v>
      </c>
      <c r="R107" s="181">
        <f>SUMIFS('FCST data'!U:U,'FCST data'!$D:$D,$F107,'FCST data'!$K:$K,$G107,'FCST data'!$O:$O,$K107)</f>
        <v>7800</v>
      </c>
      <c r="S107" s="181">
        <f>SUMIFS('FCST data'!V:V,'FCST data'!$D:$D,$F107,'FCST data'!$K:$K,$G107,'FCST data'!$O:$O,$K107)</f>
        <v>7800</v>
      </c>
      <c r="T107" s="181">
        <f>SUMIFS('FCST data'!W:W,'FCST data'!$D:$D,$F107,'FCST data'!$K:$K,$G107,'FCST data'!$O:$O,$K107)</f>
        <v>10150</v>
      </c>
      <c r="U107" s="181">
        <f>SUMIFS('FCST data'!X:X,'FCST data'!$D:$D,$F107,'FCST data'!$K:$K,$G107,'FCST data'!$O:$O,$K107)</f>
        <v>10150</v>
      </c>
      <c r="V107" s="181">
        <f>SUMIFS('FCST data'!Y:Y,'FCST data'!$D:$D,$F107,'FCST data'!$K:$K,$G107,'FCST data'!$O:$O,$K107)</f>
        <v>10150</v>
      </c>
      <c r="W107" s="181">
        <f>SUMIFS('FCST data'!Z:Z,'FCST data'!$D:$D,$F107,'FCST data'!$K:$K,$G107,'FCST data'!$O:$O,$K107)</f>
        <v>0</v>
      </c>
      <c r="X107" s="181">
        <f>SUMIFS('FCST data'!AA:AA,'FCST data'!$D:$D,$F107,'FCST data'!$K:$K,$G107,'FCST data'!$O:$O,$K107)</f>
        <v>0</v>
      </c>
      <c r="Y107" s="181">
        <f>SUMIFS('FCST data'!AB:AB,'FCST data'!$D:$D,$F107,'FCST data'!$K:$K,$G107,'FCST data'!$O:$O,$K107)</f>
        <v>0</v>
      </c>
      <c r="Z107" s="148"/>
      <c r="AA107" s="17">
        <f>E107-SUM(Z108:Z109)</f>
        <v>0</v>
      </c>
      <c r="AC107" s="16">
        <v>0</v>
      </c>
      <c r="AD107" s="175" t="s">
        <v>766</v>
      </c>
    </row>
    <row r="108" spans="2:30" s="17" customFormat="1" ht="36" hidden="1">
      <c r="B108" s="16"/>
      <c r="C108" s="283"/>
      <c r="D108" s="284"/>
      <c r="E108" s="285"/>
      <c r="F108" s="286" t="s">
        <v>875</v>
      </c>
      <c r="G108" s="286" t="s">
        <v>373</v>
      </c>
      <c r="H108" s="284" t="s">
        <v>715</v>
      </c>
      <c r="I108" s="284" t="s">
        <v>716</v>
      </c>
      <c r="J108" s="287" t="s">
        <v>268</v>
      </c>
      <c r="K108" s="287" t="s">
        <v>419</v>
      </c>
      <c r="L108" s="160"/>
      <c r="M108" s="354" t="s">
        <v>913</v>
      </c>
      <c r="N108" s="291"/>
      <c r="O108" s="291"/>
      <c r="P108" s="291"/>
      <c r="Q108" s="291">
        <v>2100</v>
      </c>
      <c r="R108" s="291">
        <v>7800</v>
      </c>
      <c r="S108" s="291">
        <v>7800</v>
      </c>
      <c r="T108" s="291">
        <v>10150</v>
      </c>
      <c r="U108" s="291">
        <v>10150</v>
      </c>
      <c r="V108" s="291">
        <v>10150</v>
      </c>
      <c r="W108" s="291"/>
      <c r="X108" s="291"/>
      <c r="Y108" s="291"/>
      <c r="Z108" s="177">
        <f>SUM(N108:Y108)</f>
        <v>48150</v>
      </c>
      <c r="AC108" s="16">
        <v>0</v>
      </c>
      <c r="AD108" s="286" t="s">
        <v>766</v>
      </c>
    </row>
    <row r="109" spans="2:30" s="17" customFormat="1" ht="14.4">
      <c r="B109" s="16"/>
      <c r="C109" s="283"/>
      <c r="D109" s="284"/>
      <c r="E109" s="285"/>
      <c r="F109" s="286" t="s">
        <v>875</v>
      </c>
      <c r="G109" s="286" t="s">
        <v>373</v>
      </c>
      <c r="H109" s="284" t="s">
        <v>717</v>
      </c>
      <c r="I109" s="287" t="s">
        <v>133</v>
      </c>
      <c r="J109" s="287" t="s">
        <v>268</v>
      </c>
      <c r="K109" s="287" t="s">
        <v>419</v>
      </c>
      <c r="L109" s="160"/>
      <c r="M109" s="355"/>
      <c r="N109" s="291"/>
      <c r="O109" s="291"/>
      <c r="P109" s="291"/>
      <c r="Q109" s="291"/>
      <c r="R109" s="291"/>
      <c r="S109" s="291"/>
      <c r="T109" s="291"/>
      <c r="U109" s="291"/>
      <c r="V109" s="291"/>
      <c r="W109" s="291"/>
      <c r="X109" s="291"/>
      <c r="Y109" s="291"/>
      <c r="Z109" s="177">
        <f>SUM(N109:Y109)</f>
        <v>0</v>
      </c>
      <c r="AC109" s="16">
        <v>0</v>
      </c>
      <c r="AD109" s="286" t="s">
        <v>766</v>
      </c>
    </row>
    <row r="110" spans="2:30" s="17" customFormat="1" ht="15.6" hidden="1">
      <c r="B110" s="16"/>
      <c r="C110" s="315" t="s">
        <v>769</v>
      </c>
      <c r="D110" s="174" t="s">
        <v>22</v>
      </c>
      <c r="E110" s="181">
        <f>SUM(N110:Y110)</f>
        <v>1700</v>
      </c>
      <c r="F110" s="175" t="s">
        <v>876</v>
      </c>
      <c r="G110" s="175" t="s">
        <v>373</v>
      </c>
      <c r="H110" s="181"/>
      <c r="I110" s="182"/>
      <c r="J110" s="182"/>
      <c r="K110" s="182" t="str">
        <f>VLOOKUP(F:F,'FCST data'!D:O,12,0)</f>
        <v>65W*4.0PHI</v>
      </c>
      <c r="L110" s="182"/>
      <c r="M110" s="353"/>
      <c r="N110" s="181">
        <f>SUMIFS('FCST data'!Q:Q,'FCST data'!$D:$D,$F110,'FCST data'!$K:$K,$G110,'FCST data'!$O:$O,$K110)</f>
        <v>0</v>
      </c>
      <c r="O110" s="181">
        <f>SUMIFS('FCST data'!R:R,'FCST data'!$D:$D,$F110,'FCST data'!$K:$K,$G110,'FCST data'!$O:$O,$K110)</f>
        <v>0</v>
      </c>
      <c r="P110" s="181">
        <f>SUMIFS('FCST data'!S:S,'FCST data'!$D:$D,$F110,'FCST data'!$K:$K,$G110,'FCST data'!$O:$O,$K110)</f>
        <v>0</v>
      </c>
      <c r="Q110" s="181">
        <f>SUMIFS('FCST data'!T:T,'FCST data'!$D:$D,$F110,'FCST data'!$K:$K,$G110,'FCST data'!$O:$O,$K110)</f>
        <v>300</v>
      </c>
      <c r="R110" s="181">
        <f>SUMIFS('FCST data'!U:U,'FCST data'!$D:$D,$F110,'FCST data'!$K:$K,$G110,'FCST data'!$O:$O,$K110)</f>
        <v>300</v>
      </c>
      <c r="S110" s="181">
        <f>SUMIFS('FCST data'!V:V,'FCST data'!$D:$D,$F110,'FCST data'!$K:$K,$G110,'FCST data'!$O:$O,$K110)</f>
        <v>300</v>
      </c>
      <c r="T110" s="181">
        <f>SUMIFS('FCST data'!W:W,'FCST data'!$D:$D,$F110,'FCST data'!$K:$K,$G110,'FCST data'!$O:$O,$K110)</f>
        <v>200</v>
      </c>
      <c r="U110" s="181">
        <f>SUMIFS('FCST data'!X:X,'FCST data'!$D:$D,$F110,'FCST data'!$K:$K,$G110,'FCST data'!$O:$O,$K110)</f>
        <v>300</v>
      </c>
      <c r="V110" s="181">
        <f>SUMIFS('FCST data'!Y:Y,'FCST data'!$D:$D,$F110,'FCST data'!$K:$K,$G110,'FCST data'!$O:$O,$K110)</f>
        <v>300</v>
      </c>
      <c r="W110" s="181">
        <f>SUMIFS('FCST data'!Z:Z,'FCST data'!$D:$D,$F110,'FCST data'!$K:$K,$G110,'FCST data'!$O:$O,$K110)</f>
        <v>0</v>
      </c>
      <c r="X110" s="181">
        <f>SUMIFS('FCST data'!AA:AA,'FCST data'!$D:$D,$F110,'FCST data'!$K:$K,$G110,'FCST data'!$O:$O,$K110)</f>
        <v>0</v>
      </c>
      <c r="Y110" s="181">
        <f>SUMIFS('FCST data'!AB:AB,'FCST data'!$D:$D,$F110,'FCST data'!$K:$K,$G110,'FCST data'!$O:$O,$K110)</f>
        <v>0</v>
      </c>
      <c r="Z110" s="148"/>
      <c r="AA110" s="17">
        <f>E110-SUM(Z111:Z112)</f>
        <v>0</v>
      </c>
      <c r="AC110" s="16">
        <v>0</v>
      </c>
      <c r="AD110" s="175" t="s">
        <v>766</v>
      </c>
    </row>
    <row r="111" spans="2:30" s="17" customFormat="1" ht="24" hidden="1">
      <c r="B111" s="16"/>
      <c r="C111" s="283"/>
      <c r="D111" s="284"/>
      <c r="E111" s="285"/>
      <c r="F111" s="286" t="s">
        <v>876</v>
      </c>
      <c r="G111" s="286" t="s">
        <v>373</v>
      </c>
      <c r="H111" s="284" t="s">
        <v>715</v>
      </c>
      <c r="I111" s="284" t="s">
        <v>716</v>
      </c>
      <c r="J111" s="287" t="s">
        <v>268</v>
      </c>
      <c r="K111" s="287" t="s">
        <v>419</v>
      </c>
      <c r="L111" s="160"/>
      <c r="M111" s="354" t="s">
        <v>914</v>
      </c>
      <c r="N111" s="291"/>
      <c r="O111" s="291"/>
      <c r="P111" s="291"/>
      <c r="Q111" s="291">
        <v>300</v>
      </c>
      <c r="R111" s="291">
        <v>300</v>
      </c>
      <c r="S111" s="291">
        <v>300</v>
      </c>
      <c r="T111" s="291">
        <v>200</v>
      </c>
      <c r="U111" s="291">
        <v>300</v>
      </c>
      <c r="V111" s="291">
        <v>300</v>
      </c>
      <c r="W111" s="291"/>
      <c r="X111" s="291"/>
      <c r="Y111" s="291"/>
      <c r="Z111" s="177">
        <f>SUM(N111:Y111)</f>
        <v>1700</v>
      </c>
      <c r="AC111" s="16">
        <v>0</v>
      </c>
      <c r="AD111" s="286" t="s">
        <v>766</v>
      </c>
    </row>
    <row r="112" spans="2:30" s="17" customFormat="1" ht="14.4">
      <c r="B112" s="16"/>
      <c r="C112" s="283"/>
      <c r="D112" s="284"/>
      <c r="E112" s="285"/>
      <c r="F112" s="286" t="s">
        <v>876</v>
      </c>
      <c r="G112" s="286" t="s">
        <v>373</v>
      </c>
      <c r="H112" s="284" t="s">
        <v>717</v>
      </c>
      <c r="I112" s="287" t="s">
        <v>133</v>
      </c>
      <c r="J112" s="287" t="s">
        <v>268</v>
      </c>
      <c r="K112" s="287" t="s">
        <v>419</v>
      </c>
      <c r="L112" s="160"/>
      <c r="M112" s="355"/>
      <c r="N112" s="291"/>
      <c r="O112" s="291"/>
      <c r="P112" s="291"/>
      <c r="Q112" s="291"/>
      <c r="R112" s="291"/>
      <c r="S112" s="291"/>
      <c r="T112" s="291"/>
      <c r="U112" s="291"/>
      <c r="V112" s="291"/>
      <c r="W112" s="291"/>
      <c r="X112" s="291"/>
      <c r="Y112" s="291"/>
      <c r="Z112" s="177">
        <f>SUM(N112:Y112)</f>
        <v>0</v>
      </c>
      <c r="AC112" s="16">
        <v>0</v>
      </c>
      <c r="AD112" s="286" t="s">
        <v>766</v>
      </c>
    </row>
    <row r="113" spans="2:30" s="17" customFormat="1" ht="15.6" hidden="1">
      <c r="B113" s="16"/>
      <c r="C113" s="315" t="s">
        <v>769</v>
      </c>
      <c r="D113" s="174" t="s">
        <v>22</v>
      </c>
      <c r="E113" s="181">
        <f>SUM(N113:Y113)</f>
        <v>8200</v>
      </c>
      <c r="F113" s="175" t="s">
        <v>910</v>
      </c>
      <c r="G113" s="175" t="s">
        <v>622</v>
      </c>
      <c r="H113" s="181"/>
      <c r="I113" s="182"/>
      <c r="J113" s="182"/>
      <c r="K113" s="182" t="str">
        <f>VLOOKUP(F:F,'FCST data'!D:O,12,0)</f>
        <v xml:space="preserve">45W*4.5PHI </v>
      </c>
      <c r="L113" s="182"/>
      <c r="M113" s="353"/>
      <c r="N113" s="181">
        <f>SUMIFS('FCST data'!Q:Q,'FCST data'!$D:$D,$F113,'FCST data'!$K:$K,$G113,'FCST data'!$O:$O,$K113)</f>
        <v>0</v>
      </c>
      <c r="O113" s="181">
        <f>SUMIFS('FCST data'!R:R,'FCST data'!$D:$D,$F113,'FCST data'!$K:$K,$G113,'FCST data'!$O:$O,$K113)</f>
        <v>0</v>
      </c>
      <c r="P113" s="181">
        <f>SUMIFS('FCST data'!S:S,'FCST data'!$D:$D,$F113,'FCST data'!$K:$K,$G113,'FCST data'!$O:$O,$K113)</f>
        <v>0</v>
      </c>
      <c r="Q113" s="181">
        <f>SUMIFS('FCST data'!T:T,'FCST data'!$D:$D,$F113,'FCST data'!$K:$K,$G113,'FCST data'!$O:$O,$K113)</f>
        <v>1200</v>
      </c>
      <c r="R113" s="181">
        <f>SUMIFS('FCST data'!U:U,'FCST data'!$D:$D,$F113,'FCST data'!$K:$K,$G113,'FCST data'!$O:$O,$K113)</f>
        <v>1200</v>
      </c>
      <c r="S113" s="181">
        <f>SUMIFS('FCST data'!V:V,'FCST data'!$D:$D,$F113,'FCST data'!$K:$K,$G113,'FCST data'!$O:$O,$K113)</f>
        <v>1200</v>
      </c>
      <c r="T113" s="181">
        <f>SUMIFS('FCST data'!W:W,'FCST data'!$D:$D,$F113,'FCST data'!$K:$K,$G113,'FCST data'!$O:$O,$K113)</f>
        <v>1400</v>
      </c>
      <c r="U113" s="181">
        <f>SUMIFS('FCST data'!X:X,'FCST data'!$D:$D,$F113,'FCST data'!$K:$K,$G113,'FCST data'!$O:$O,$K113)</f>
        <v>1600</v>
      </c>
      <c r="V113" s="181">
        <f>SUMIFS('FCST data'!Y:Y,'FCST data'!$D:$D,$F113,'FCST data'!$K:$K,$G113,'FCST data'!$O:$O,$K113)</f>
        <v>1600</v>
      </c>
      <c r="W113" s="181">
        <f>SUMIFS('FCST data'!Z:Z,'FCST data'!$D:$D,$F113,'FCST data'!$K:$K,$G113,'FCST data'!$O:$O,$K113)</f>
        <v>0</v>
      </c>
      <c r="X113" s="181">
        <f>SUMIFS('FCST data'!AA:AA,'FCST data'!$D:$D,$F113,'FCST data'!$K:$K,$G113,'FCST data'!$O:$O,$K113)</f>
        <v>0</v>
      </c>
      <c r="Y113" s="181">
        <f>SUMIFS('FCST data'!AB:AB,'FCST data'!$D:$D,$F113,'FCST data'!$K:$K,$G113,'FCST data'!$O:$O,$K113)</f>
        <v>0</v>
      </c>
      <c r="Z113" s="148"/>
      <c r="AA113" s="17">
        <f>E113-SUM(Z114:Z115)</f>
        <v>0</v>
      </c>
      <c r="AC113" s="16">
        <v>0</v>
      </c>
      <c r="AD113" s="175" t="s">
        <v>766</v>
      </c>
    </row>
    <row r="114" spans="2:30" s="17" customFormat="1" ht="24" hidden="1">
      <c r="B114" s="16"/>
      <c r="C114" s="283"/>
      <c r="D114" s="284"/>
      <c r="E114" s="285"/>
      <c r="F114" s="286" t="s">
        <v>910</v>
      </c>
      <c r="G114" s="286" t="s">
        <v>622</v>
      </c>
      <c r="H114" s="284" t="s">
        <v>715</v>
      </c>
      <c r="I114" s="284" t="s">
        <v>716</v>
      </c>
      <c r="J114" s="287" t="s">
        <v>268</v>
      </c>
      <c r="K114" s="287" t="s">
        <v>727</v>
      </c>
      <c r="L114" s="160"/>
      <c r="M114" s="354" t="s">
        <v>979</v>
      </c>
      <c r="N114" s="291"/>
      <c r="O114" s="291"/>
      <c r="P114" s="291"/>
      <c r="Q114" s="291">
        <v>1200</v>
      </c>
      <c r="R114" s="291">
        <v>1200</v>
      </c>
      <c r="S114" s="291">
        <v>1200</v>
      </c>
      <c r="T114" s="291">
        <v>1400</v>
      </c>
      <c r="U114" s="291">
        <v>1600</v>
      </c>
      <c r="V114" s="291">
        <v>1600</v>
      </c>
      <c r="W114" s="291"/>
      <c r="X114" s="291"/>
      <c r="Y114" s="291"/>
      <c r="Z114" s="177">
        <f>SUM(N114:Y114)</f>
        <v>8200</v>
      </c>
      <c r="AC114" s="16">
        <v>0</v>
      </c>
      <c r="AD114" s="286" t="s">
        <v>766</v>
      </c>
    </row>
    <row r="115" spans="2:30" s="17" customFormat="1" ht="14.4">
      <c r="B115" s="16"/>
      <c r="C115" s="283"/>
      <c r="D115" s="284"/>
      <c r="E115" s="285"/>
      <c r="F115" s="286" t="s">
        <v>910</v>
      </c>
      <c r="G115" s="286" t="s">
        <v>622</v>
      </c>
      <c r="H115" s="284" t="s">
        <v>717</v>
      </c>
      <c r="I115" s="287" t="s">
        <v>133</v>
      </c>
      <c r="J115" s="287" t="s">
        <v>268</v>
      </c>
      <c r="K115" s="287" t="s">
        <v>727</v>
      </c>
      <c r="L115" s="160"/>
      <c r="M115" s="355"/>
      <c r="N115" s="291"/>
      <c r="O115" s="291"/>
      <c r="P115" s="291"/>
      <c r="Q115" s="291"/>
      <c r="R115" s="291"/>
      <c r="S115" s="291"/>
      <c r="T115" s="291"/>
      <c r="U115" s="291"/>
      <c r="V115" s="291"/>
      <c r="W115" s="291"/>
      <c r="X115" s="291"/>
      <c r="Y115" s="291"/>
      <c r="Z115" s="177">
        <f>SUM(N115:Y115)</f>
        <v>0</v>
      </c>
      <c r="AC115" s="16">
        <v>0</v>
      </c>
      <c r="AD115" s="286" t="s">
        <v>766</v>
      </c>
    </row>
    <row r="116" spans="2:30" ht="15.6" hidden="1">
      <c r="C116" s="315" t="s">
        <v>769</v>
      </c>
      <c r="D116" s="174" t="s">
        <v>22</v>
      </c>
      <c r="E116" s="181">
        <f>SUM(N116:Y116)</f>
        <v>1700</v>
      </c>
      <c r="F116" s="175" t="s">
        <v>1019</v>
      </c>
      <c r="G116" s="175" t="s">
        <v>530</v>
      </c>
      <c r="H116" s="181"/>
      <c r="I116" s="182"/>
      <c r="J116" s="182"/>
      <c r="K116" s="182" t="str">
        <f>VLOOKUP(F:F,'FCST data'!D:O,12,0)</f>
        <v>200W*6PHI</v>
      </c>
      <c r="L116" s="182"/>
      <c r="M116" s="353"/>
      <c r="N116" s="181">
        <f>SUMIFS('FCST data'!Q:Q,'FCST data'!$D:$D,$F116,'FCST data'!$K:$K,$G116,'FCST data'!$O:$O,$K116)</f>
        <v>0</v>
      </c>
      <c r="O116" s="181">
        <f>SUMIFS('FCST data'!R:R,'FCST data'!$D:$D,$F116,'FCST data'!$K:$K,$G116,'FCST data'!$O:$O,$K116)</f>
        <v>0</v>
      </c>
      <c r="P116" s="181">
        <f>SUMIFS('FCST data'!S:S,'FCST data'!$D:$D,$F116,'FCST data'!$K:$K,$G116,'FCST data'!$O:$O,$K116)</f>
        <v>0</v>
      </c>
      <c r="Q116" s="181">
        <f>SUMIFS('FCST data'!T:T,'FCST data'!$D:$D,$F116,'FCST data'!$K:$K,$G116,'FCST data'!$O:$O,$K116)</f>
        <v>0</v>
      </c>
      <c r="R116" s="181">
        <f>SUMIFS('FCST data'!U:U,'FCST data'!$D:$D,$F116,'FCST data'!$K:$K,$G116,'FCST data'!$O:$O,$K116)</f>
        <v>300</v>
      </c>
      <c r="S116" s="181">
        <f>SUMIFS('FCST data'!V:V,'FCST data'!$D:$D,$F116,'FCST data'!$K:$K,$G116,'FCST data'!$O:$O,$K116)</f>
        <v>300</v>
      </c>
      <c r="T116" s="181">
        <f>SUMIFS('FCST data'!W:W,'FCST data'!$D:$D,$F116,'FCST data'!$K:$K,$G116,'FCST data'!$O:$O,$K116)</f>
        <v>300</v>
      </c>
      <c r="U116" s="181">
        <f>SUMIFS('FCST data'!X:X,'FCST data'!$D:$D,$F116,'FCST data'!$K:$K,$G116,'FCST data'!$O:$O,$K116)</f>
        <v>400</v>
      </c>
      <c r="V116" s="181">
        <f>SUMIFS('FCST data'!Y:Y,'FCST data'!$D:$D,$F116,'FCST data'!$K:$K,$G116,'FCST data'!$O:$O,$K116)</f>
        <v>400</v>
      </c>
      <c r="W116" s="181">
        <f>SUMIFS('FCST data'!Z:Z,'FCST data'!$D:$D,$F116,'FCST data'!$K:$K,$G116,'FCST data'!$O:$O,$K116)</f>
        <v>0</v>
      </c>
      <c r="X116" s="181">
        <f>SUMIFS('FCST data'!AA:AA,'FCST data'!$D:$D,$F116,'FCST data'!$K:$K,$G116,'FCST data'!$O:$O,$K116)</f>
        <v>0</v>
      </c>
      <c r="Y116" s="181">
        <f>SUMIFS('FCST data'!AB:AB,'FCST data'!$D:$D,$F116,'FCST data'!$K:$K,$G116,'FCST data'!$O:$O,$K116)</f>
        <v>0</v>
      </c>
      <c r="Z116" s="148"/>
      <c r="AA116" s="17">
        <f>E116-SUM(Z117:Z118)</f>
        <v>0</v>
      </c>
    </row>
    <row r="117" spans="2:30" ht="36" hidden="1">
      <c r="C117" s="283"/>
      <c r="D117" s="284"/>
      <c r="E117" s="285"/>
      <c r="F117" s="286" t="s">
        <v>1016</v>
      </c>
      <c r="G117" s="286" t="s">
        <v>530</v>
      </c>
      <c r="H117" s="284" t="s">
        <v>715</v>
      </c>
      <c r="I117" s="284" t="s">
        <v>716</v>
      </c>
      <c r="J117" s="284" t="s">
        <v>268</v>
      </c>
      <c r="K117" s="284" t="s">
        <v>975</v>
      </c>
      <c r="L117" s="160"/>
      <c r="M117" s="354" t="s">
        <v>976</v>
      </c>
      <c r="N117" s="291"/>
      <c r="O117" s="291"/>
      <c r="P117" s="291"/>
      <c r="Q117" s="291"/>
      <c r="R117" s="291">
        <v>300</v>
      </c>
      <c r="S117" s="291">
        <v>300</v>
      </c>
      <c r="T117" s="291">
        <v>300</v>
      </c>
      <c r="U117" s="291">
        <v>400</v>
      </c>
      <c r="V117" s="291">
        <v>400</v>
      </c>
      <c r="W117" s="291"/>
      <c r="X117" s="291"/>
      <c r="Y117" s="291"/>
      <c r="Z117" s="177">
        <f>SUM(N117:Y117)</f>
        <v>1700</v>
      </c>
      <c r="AA117" s="17"/>
    </row>
    <row r="118" spans="2:30" ht="14.4">
      <c r="C118" s="283"/>
      <c r="D118" s="284"/>
      <c r="E118" s="285"/>
      <c r="F118" s="286" t="s">
        <v>1016</v>
      </c>
      <c r="G118" s="286" t="s">
        <v>530</v>
      </c>
      <c r="H118" s="284" t="s">
        <v>717</v>
      </c>
      <c r="I118" s="287" t="s">
        <v>133</v>
      </c>
      <c r="J118" s="287" t="s">
        <v>268</v>
      </c>
      <c r="K118" s="287" t="s">
        <v>975</v>
      </c>
      <c r="L118" s="160"/>
      <c r="M118" s="355"/>
      <c r="N118" s="291"/>
      <c r="O118" s="291"/>
      <c r="P118" s="291"/>
      <c r="Q118" s="291"/>
      <c r="R118" s="291"/>
      <c r="S118" s="291"/>
      <c r="T118" s="291"/>
      <c r="U118" s="291"/>
      <c r="V118" s="291"/>
      <c r="W118" s="291"/>
      <c r="X118" s="291"/>
      <c r="Y118" s="291"/>
      <c r="Z118" s="177">
        <f>SUM(N118:Y118)</f>
        <v>0</v>
      </c>
      <c r="AA118" s="17"/>
    </row>
    <row r="119" spans="2:30" ht="15.6" hidden="1">
      <c r="C119" s="315" t="s">
        <v>769</v>
      </c>
      <c r="D119" s="174" t="s">
        <v>22</v>
      </c>
      <c r="E119" s="181">
        <f>SUM(N119:Y119)</f>
        <v>300</v>
      </c>
      <c r="F119" s="175" t="s">
        <v>989</v>
      </c>
      <c r="G119" s="175" t="s">
        <v>622</v>
      </c>
      <c r="H119" s="181"/>
      <c r="I119" s="182"/>
      <c r="J119" s="182"/>
      <c r="K119" s="182" t="str">
        <f>VLOOKUP(F:F,'FCST data'!D:O,12,0)</f>
        <v>65W*4.5PHI</v>
      </c>
      <c r="L119" s="182"/>
      <c r="M119" s="353"/>
      <c r="N119" s="181">
        <f>SUMIFS('FCST data'!Q:Q,'FCST data'!$D:$D,$F119,'FCST data'!$K:$K,$G119,'FCST data'!$O:$O,$K119)</f>
        <v>0</v>
      </c>
      <c r="O119" s="181">
        <f>SUMIFS('FCST data'!R:R,'FCST data'!$D:$D,$F119,'FCST data'!$K:$K,$G119,'FCST data'!$O:$O,$K119)</f>
        <v>0</v>
      </c>
      <c r="P119" s="181">
        <f>SUMIFS('FCST data'!S:S,'FCST data'!$D:$D,$F119,'FCST data'!$K:$K,$G119,'FCST data'!$O:$O,$K119)</f>
        <v>0</v>
      </c>
      <c r="Q119" s="181">
        <f>SUMIFS('FCST data'!T:T,'FCST data'!$D:$D,$F119,'FCST data'!$K:$K,$G119,'FCST data'!$O:$O,$K119)</f>
        <v>0</v>
      </c>
      <c r="R119" s="181">
        <f>SUMIFS('FCST data'!U:U,'FCST data'!$D:$D,$F119,'FCST data'!$K:$K,$G119,'FCST data'!$O:$O,$K119)</f>
        <v>0</v>
      </c>
      <c r="S119" s="181">
        <f>SUMIFS('FCST data'!V:V,'FCST data'!$D:$D,$F119,'FCST data'!$K:$K,$G119,'FCST data'!$O:$O,$K119)</f>
        <v>0</v>
      </c>
      <c r="T119" s="181">
        <f>SUMIFS('FCST data'!W:W,'FCST data'!$D:$D,$F119,'FCST data'!$K:$K,$G119,'FCST data'!$O:$O,$K119)</f>
        <v>0</v>
      </c>
      <c r="U119" s="181">
        <f>SUMIFS('FCST data'!X:X,'FCST data'!$D:$D,$F119,'FCST data'!$K:$K,$G119,'FCST data'!$O:$O,$K119)</f>
        <v>150</v>
      </c>
      <c r="V119" s="181">
        <f>SUMIFS('FCST data'!Y:Y,'FCST data'!$D:$D,$F119,'FCST data'!$K:$K,$G119,'FCST data'!$O:$O,$K119)</f>
        <v>150</v>
      </c>
      <c r="W119" s="181">
        <f>SUMIFS('FCST data'!Z:Z,'FCST data'!$D:$D,$F119,'FCST data'!$K:$K,$G119,'FCST data'!$O:$O,$K119)</f>
        <v>0</v>
      </c>
      <c r="X119" s="181">
        <f>SUMIFS('FCST data'!AA:AA,'FCST data'!$D:$D,$F119,'FCST data'!$K:$K,$G119,'FCST data'!$O:$O,$K119)</f>
        <v>0</v>
      </c>
      <c r="Y119" s="181">
        <f>SUMIFS('FCST data'!AB:AB,'FCST data'!$D:$D,$F119,'FCST data'!$K:$K,$G119,'FCST data'!$O:$O,$K119)</f>
        <v>0</v>
      </c>
      <c r="Z119" s="148"/>
      <c r="AA119" s="17">
        <f>E119-SUM(Z120:Z121)</f>
        <v>0</v>
      </c>
    </row>
    <row r="120" spans="2:30" ht="48" hidden="1">
      <c r="C120" s="283"/>
      <c r="D120" s="284"/>
      <c r="E120" s="285"/>
      <c r="F120" s="286" t="s">
        <v>989</v>
      </c>
      <c r="G120" s="286" t="s">
        <v>622</v>
      </c>
      <c r="H120" s="284" t="s">
        <v>715</v>
      </c>
      <c r="I120" s="284" t="s">
        <v>716</v>
      </c>
      <c r="J120" s="284" t="s">
        <v>268</v>
      </c>
      <c r="K120" s="284" t="s">
        <v>1032</v>
      </c>
      <c r="L120" s="160"/>
      <c r="M120" s="354" t="s">
        <v>1034</v>
      </c>
      <c r="N120" s="291"/>
      <c r="O120" s="291"/>
      <c r="P120" s="291"/>
      <c r="Q120" s="291"/>
      <c r="R120" s="291"/>
      <c r="S120" s="291"/>
      <c r="T120" s="291"/>
      <c r="U120" s="291">
        <v>150</v>
      </c>
      <c r="V120" s="291">
        <v>150</v>
      </c>
      <c r="W120" s="291"/>
      <c r="X120" s="291"/>
      <c r="Y120" s="291"/>
      <c r="Z120" s="177">
        <f>SUM(N120:Y120)</f>
        <v>300</v>
      </c>
      <c r="AA120" s="17"/>
    </row>
    <row r="121" spans="2:30" ht="14.4">
      <c r="C121" s="283"/>
      <c r="D121" s="284"/>
      <c r="E121" s="285"/>
      <c r="F121" s="286" t="s">
        <v>989</v>
      </c>
      <c r="G121" s="286" t="s">
        <v>622</v>
      </c>
      <c r="H121" s="284" t="s">
        <v>717</v>
      </c>
      <c r="I121" s="287" t="s">
        <v>133</v>
      </c>
      <c r="J121" s="287" t="s">
        <v>268</v>
      </c>
      <c r="K121" s="287" t="s">
        <v>1032</v>
      </c>
      <c r="L121" s="160"/>
      <c r="M121" s="355"/>
      <c r="N121" s="291"/>
      <c r="O121" s="291"/>
      <c r="P121" s="291"/>
      <c r="Q121" s="291"/>
      <c r="R121" s="291"/>
      <c r="S121" s="291"/>
      <c r="T121" s="291"/>
      <c r="U121" s="291"/>
      <c r="V121" s="291"/>
      <c r="W121" s="291"/>
      <c r="X121" s="291"/>
      <c r="Y121" s="291"/>
      <c r="Z121" s="177">
        <f>SUM(N121:Y121)</f>
        <v>0</v>
      </c>
      <c r="AA121" s="17"/>
    </row>
    <row r="122" spans="2:30" ht="15.6" hidden="1">
      <c r="C122" s="315" t="s">
        <v>769</v>
      </c>
      <c r="D122" s="174" t="s">
        <v>22</v>
      </c>
      <c r="E122" s="181">
        <f>SUM(N122:Y122)</f>
        <v>2150</v>
      </c>
      <c r="F122" s="175" t="s">
        <v>990</v>
      </c>
      <c r="G122" s="175" t="s">
        <v>1064</v>
      </c>
      <c r="H122" s="181"/>
      <c r="I122" s="182"/>
      <c r="J122" s="182"/>
      <c r="K122" s="182" t="str">
        <f>VLOOKUP(F:F,'FCST data'!D:O,12,0)</f>
        <v>120W*4.5PHI</v>
      </c>
      <c r="L122" s="182"/>
      <c r="M122" s="353"/>
      <c r="N122" s="181">
        <f>SUMIFS('FCST data'!Q:Q,'FCST data'!$D:$D,$F122,'FCST data'!$K:$K,$G122,'FCST data'!$O:$O,$K122)</f>
        <v>0</v>
      </c>
      <c r="O122" s="181">
        <f>SUMIFS('FCST data'!R:R,'FCST data'!$D:$D,$F122,'FCST data'!$K:$K,$G122,'FCST data'!$O:$O,$K122)</f>
        <v>0</v>
      </c>
      <c r="P122" s="181">
        <f>SUMIFS('FCST data'!S:S,'FCST data'!$D:$D,$F122,'FCST data'!$K:$K,$G122,'FCST data'!$O:$O,$K122)</f>
        <v>0</v>
      </c>
      <c r="Q122" s="181">
        <f>SUMIFS('FCST data'!T:T,'FCST data'!$D:$D,$F122,'FCST data'!$K:$K,$G122,'FCST data'!$O:$O,$K122)</f>
        <v>0</v>
      </c>
      <c r="R122" s="181">
        <f>SUMIFS('FCST data'!U:U,'FCST data'!$D:$D,$F122,'FCST data'!$K:$K,$G122,'FCST data'!$O:$O,$K122)</f>
        <v>0</v>
      </c>
      <c r="S122" s="181">
        <f>SUMIFS('FCST data'!V:V,'FCST data'!$D:$D,$F122,'FCST data'!$K:$K,$G122,'FCST data'!$O:$O,$K122)</f>
        <v>0</v>
      </c>
      <c r="T122" s="181">
        <f>SUMIFS('FCST data'!W:W,'FCST data'!$D:$D,$F122,'FCST data'!$K:$K,$G122,'FCST data'!$O:$O,$K122)</f>
        <v>650</v>
      </c>
      <c r="U122" s="181">
        <f>SUMIFS('FCST data'!X:X,'FCST data'!$D:$D,$F122,'FCST data'!$K:$K,$G122,'FCST data'!$O:$O,$K122)</f>
        <v>750</v>
      </c>
      <c r="V122" s="181">
        <f>SUMIFS('FCST data'!Y:Y,'FCST data'!$D:$D,$F122,'FCST data'!$K:$K,$G122,'FCST data'!$O:$O,$K122)</f>
        <v>750</v>
      </c>
      <c r="W122" s="181">
        <f>SUMIFS('FCST data'!Z:Z,'FCST data'!$D:$D,$F122,'FCST data'!$K:$K,$G122,'FCST data'!$O:$O,$K122)</f>
        <v>0</v>
      </c>
      <c r="X122" s="181">
        <f>SUMIFS('FCST data'!AA:AA,'FCST data'!$D:$D,$F122,'FCST data'!$K:$K,$G122,'FCST data'!$O:$O,$K122)</f>
        <v>0</v>
      </c>
      <c r="Y122" s="181">
        <f>SUMIFS('FCST data'!AB:AB,'FCST data'!$D:$D,$F122,'FCST data'!$K:$K,$G122,'FCST data'!$O:$O,$K122)</f>
        <v>0</v>
      </c>
      <c r="Z122" s="148"/>
      <c r="AA122" s="17">
        <f>E122-SUM(Z123:Z124)</f>
        <v>0</v>
      </c>
    </row>
    <row r="123" spans="2:30" ht="24" hidden="1">
      <c r="C123" s="283"/>
      <c r="D123" s="284"/>
      <c r="E123" s="285"/>
      <c r="F123" s="286" t="s">
        <v>990</v>
      </c>
      <c r="G123" s="286" t="s">
        <v>1064</v>
      </c>
      <c r="H123" s="284" t="s">
        <v>715</v>
      </c>
      <c r="I123" s="284" t="s">
        <v>716</v>
      </c>
      <c r="J123" s="284" t="s">
        <v>268</v>
      </c>
      <c r="K123" s="284" t="s">
        <v>420</v>
      </c>
      <c r="L123" s="160"/>
      <c r="M123" s="354" t="s">
        <v>1035</v>
      </c>
      <c r="N123" s="291"/>
      <c r="O123" s="291"/>
      <c r="P123" s="291"/>
      <c r="Q123" s="291"/>
      <c r="R123" s="291"/>
      <c r="S123" s="291"/>
      <c r="T123" s="291">
        <v>650</v>
      </c>
      <c r="U123" s="291">
        <v>750</v>
      </c>
      <c r="V123" s="291">
        <v>750</v>
      </c>
      <c r="W123" s="291">
        <v>0</v>
      </c>
      <c r="X123" s="291"/>
      <c r="Y123" s="291"/>
      <c r="Z123" s="177">
        <f>SUM(N123:Y123)</f>
        <v>2150</v>
      </c>
      <c r="AA123" s="17"/>
    </row>
    <row r="124" spans="2:30" ht="14.4">
      <c r="C124" s="283"/>
      <c r="D124" s="284"/>
      <c r="E124" s="285"/>
      <c r="F124" s="286" t="s">
        <v>990</v>
      </c>
      <c r="G124" s="286" t="s">
        <v>1064</v>
      </c>
      <c r="H124" s="284" t="s">
        <v>717</v>
      </c>
      <c r="I124" s="287" t="s">
        <v>133</v>
      </c>
      <c r="J124" s="287" t="s">
        <v>268</v>
      </c>
      <c r="K124" s="287" t="s">
        <v>420</v>
      </c>
      <c r="L124" s="160"/>
      <c r="M124" s="355"/>
      <c r="N124" s="291"/>
      <c r="O124" s="291"/>
      <c r="P124" s="291"/>
      <c r="Q124" s="291"/>
      <c r="R124" s="291"/>
      <c r="S124" s="291"/>
      <c r="T124" s="291"/>
      <c r="U124" s="291"/>
      <c r="V124" s="291"/>
      <c r="W124" s="291"/>
      <c r="X124" s="291"/>
      <c r="Y124" s="291"/>
      <c r="Z124" s="177">
        <f>SUM(N124:Y124)</f>
        <v>0</v>
      </c>
      <c r="AA124" s="17"/>
    </row>
    <row r="125" spans="2:30" ht="15.6" hidden="1">
      <c r="C125" s="315" t="s">
        <v>769</v>
      </c>
      <c r="D125" s="174" t="s">
        <v>22</v>
      </c>
      <c r="E125" s="181">
        <f>SUM(N125:Y125)</f>
        <v>400</v>
      </c>
      <c r="F125" s="175" t="s">
        <v>1018</v>
      </c>
      <c r="G125" s="175" t="s">
        <v>1065</v>
      </c>
      <c r="H125" s="181"/>
      <c r="I125" s="182"/>
      <c r="J125" s="182"/>
      <c r="K125" s="182" t="str">
        <f>VLOOKUP(F:F,'FCST data'!D:O,12,0)</f>
        <v>280W*6PHI</v>
      </c>
      <c r="L125" s="182"/>
      <c r="M125" s="353"/>
      <c r="N125" s="181">
        <f>SUMIFS('FCST data'!Q:Q,'FCST data'!$D:$D,$F125,'FCST data'!$K:$K,$G125,'FCST data'!$O:$O,$K125)</f>
        <v>0</v>
      </c>
      <c r="O125" s="181">
        <f>SUMIFS('FCST data'!R:R,'FCST data'!$D:$D,$F125,'FCST data'!$K:$K,$G125,'FCST data'!$O:$O,$K125)</f>
        <v>0</v>
      </c>
      <c r="P125" s="181">
        <f>SUMIFS('FCST data'!S:S,'FCST data'!$D:$D,$F125,'FCST data'!$K:$K,$G125,'FCST data'!$O:$O,$K125)</f>
        <v>0</v>
      </c>
      <c r="Q125" s="181">
        <f>SUMIFS('FCST data'!T:T,'FCST data'!$D:$D,$F125,'FCST data'!$K:$K,$G125,'FCST data'!$O:$O,$K125)</f>
        <v>0</v>
      </c>
      <c r="R125" s="181">
        <f>SUMIFS('FCST data'!U:U,'FCST data'!$D:$D,$F125,'FCST data'!$K:$K,$G125,'FCST data'!$O:$O,$K125)</f>
        <v>0</v>
      </c>
      <c r="S125" s="181">
        <f>SUMIFS('FCST data'!V:V,'FCST data'!$D:$D,$F125,'FCST data'!$K:$K,$G125,'FCST data'!$O:$O,$K125)</f>
        <v>0</v>
      </c>
      <c r="T125" s="181">
        <f>SUMIFS('FCST data'!W:W,'FCST data'!$D:$D,$F125,'FCST data'!$K:$K,$G125,'FCST data'!$O:$O,$K125)</f>
        <v>200</v>
      </c>
      <c r="U125" s="181">
        <f>SUMIFS('FCST data'!X:X,'FCST data'!$D:$D,$F125,'FCST data'!$K:$K,$G125,'FCST data'!$O:$O,$K125)</f>
        <v>100</v>
      </c>
      <c r="V125" s="181">
        <f>SUMIFS('FCST data'!Y:Y,'FCST data'!$D:$D,$F125,'FCST data'!$K:$K,$G125,'FCST data'!$O:$O,$K125)</f>
        <v>100</v>
      </c>
      <c r="W125" s="181">
        <f>SUMIFS('FCST data'!Z:Z,'FCST data'!$D:$D,$F125,'FCST data'!$K:$K,$G125,'FCST data'!$O:$O,$K125)</f>
        <v>0</v>
      </c>
      <c r="X125" s="181">
        <f>SUMIFS('FCST data'!AA:AA,'FCST data'!$D:$D,$F125,'FCST data'!$K:$K,$G125,'FCST data'!$O:$O,$K125)</f>
        <v>0</v>
      </c>
      <c r="Y125" s="181">
        <f>SUMIFS('FCST data'!AB:AB,'FCST data'!$D:$D,$F125,'FCST data'!$K:$K,$G125,'FCST data'!$O:$O,$K125)</f>
        <v>0</v>
      </c>
      <c r="Z125" s="148"/>
      <c r="AA125" s="17">
        <f>E125-SUM(Z126:Z127)</f>
        <v>0</v>
      </c>
    </row>
    <row r="126" spans="2:30" ht="14.4" hidden="1">
      <c r="C126" s="283"/>
      <c r="D126" s="284"/>
      <c r="E126" s="285"/>
      <c r="F126" s="286" t="s">
        <v>1018</v>
      </c>
      <c r="G126" s="286" t="s">
        <v>1065</v>
      </c>
      <c r="H126" s="284" t="s">
        <v>715</v>
      </c>
      <c r="I126" s="284" t="s">
        <v>716</v>
      </c>
      <c r="J126" s="284" t="s">
        <v>268</v>
      </c>
      <c r="K126" s="284" t="s">
        <v>1033</v>
      </c>
      <c r="L126" s="160"/>
      <c r="M126" s="354" t="s">
        <v>1036</v>
      </c>
      <c r="N126" s="291"/>
      <c r="O126" s="291"/>
      <c r="P126" s="291"/>
      <c r="Q126" s="291"/>
      <c r="R126" s="291"/>
      <c r="S126" s="291"/>
      <c r="T126" s="291">
        <v>200</v>
      </c>
      <c r="U126" s="291">
        <v>100</v>
      </c>
      <c r="V126" s="291">
        <v>100</v>
      </c>
      <c r="W126" s="291"/>
      <c r="X126" s="291"/>
      <c r="Y126" s="291"/>
      <c r="Z126" s="177">
        <f>SUM(N126:Y126)</f>
        <v>400</v>
      </c>
      <c r="AA126" s="17"/>
    </row>
    <row r="127" spans="2:30" ht="14.4">
      <c r="C127" s="283"/>
      <c r="D127" s="284"/>
      <c r="E127" s="285"/>
      <c r="F127" s="286" t="s">
        <v>1018</v>
      </c>
      <c r="G127" s="286" t="s">
        <v>1065</v>
      </c>
      <c r="H127" s="284" t="s">
        <v>717</v>
      </c>
      <c r="I127" s="287" t="s">
        <v>133</v>
      </c>
      <c r="J127" s="287" t="s">
        <v>268</v>
      </c>
      <c r="K127" s="287" t="s">
        <v>1033</v>
      </c>
      <c r="L127" s="160"/>
      <c r="M127" s="355"/>
      <c r="N127" s="291"/>
      <c r="O127" s="291"/>
      <c r="P127" s="291"/>
      <c r="Q127" s="291"/>
      <c r="R127" s="291"/>
      <c r="S127" s="291"/>
      <c r="T127" s="291"/>
      <c r="U127" s="291"/>
      <c r="V127" s="291"/>
      <c r="W127" s="291"/>
      <c r="X127" s="291"/>
      <c r="Y127" s="291"/>
      <c r="Z127" s="177">
        <f>SUM(N127:Y127)</f>
        <v>0</v>
      </c>
      <c r="AA127" s="17"/>
    </row>
    <row r="128" spans="2:30" ht="15.6" hidden="1">
      <c r="C128" s="315" t="s">
        <v>769</v>
      </c>
      <c r="D128" s="174" t="s">
        <v>22</v>
      </c>
      <c r="E128" s="181">
        <f>SUM(N128:Y128)</f>
        <v>210</v>
      </c>
      <c r="F128" s="175" t="s">
        <v>1003</v>
      </c>
      <c r="G128" s="175" t="s">
        <v>1066</v>
      </c>
      <c r="H128" s="181"/>
      <c r="I128" s="182"/>
      <c r="J128" s="182"/>
      <c r="K128" s="182" t="str">
        <f>VLOOKUP(F:F,'FCST data'!D:O,12,0)</f>
        <v>65W PD</v>
      </c>
      <c r="L128" s="182"/>
      <c r="M128" s="353"/>
      <c r="N128" s="181">
        <f>SUMIFS('FCST data'!Q:Q,'FCST data'!$D:$D,$F128,'FCST data'!$K:$K,$G128,'FCST data'!$O:$O,$K128)</f>
        <v>0</v>
      </c>
      <c r="O128" s="181">
        <f>SUMIFS('FCST data'!R:R,'FCST data'!$D:$D,$F128,'FCST data'!$K:$K,$G128,'FCST data'!$O:$O,$K128)</f>
        <v>0</v>
      </c>
      <c r="P128" s="181">
        <f>SUMIFS('FCST data'!S:S,'FCST data'!$D:$D,$F128,'FCST data'!$K:$K,$G128,'FCST data'!$O:$O,$K128)</f>
        <v>0</v>
      </c>
      <c r="Q128" s="181">
        <f>SUMIFS('FCST data'!T:T,'FCST data'!$D:$D,$F128,'FCST data'!$K:$K,$G128,'FCST data'!$O:$O,$K128)</f>
        <v>0</v>
      </c>
      <c r="R128" s="181">
        <f>SUMIFS('FCST data'!U:U,'FCST data'!$D:$D,$F128,'FCST data'!$K:$K,$G128,'FCST data'!$O:$O,$K128)</f>
        <v>0</v>
      </c>
      <c r="S128" s="181">
        <f>SUMIFS('FCST data'!V:V,'FCST data'!$D:$D,$F128,'FCST data'!$K:$K,$G128,'FCST data'!$O:$O,$K128)</f>
        <v>0</v>
      </c>
      <c r="T128" s="181">
        <f>SUMIFS('FCST data'!W:W,'FCST data'!$D:$D,$F128,'FCST data'!$K:$K,$G128,'FCST data'!$O:$O,$K128)</f>
        <v>210</v>
      </c>
      <c r="U128" s="181">
        <f>SUMIFS('FCST data'!X:X,'FCST data'!$D:$D,$F128,'FCST data'!$K:$K,$G128,'FCST data'!$O:$O,$K128)</f>
        <v>0</v>
      </c>
      <c r="V128" s="181">
        <f>SUMIFS('FCST data'!Y:Y,'FCST data'!$D:$D,$F128,'FCST data'!$K:$K,$G128,'FCST data'!$O:$O,$K128)</f>
        <v>0</v>
      </c>
      <c r="W128" s="181">
        <f>SUMIFS('FCST data'!Z:Z,'FCST data'!$D:$D,$F128,'FCST data'!$K:$K,$G128,'FCST data'!$O:$O,$K128)</f>
        <v>0</v>
      </c>
      <c r="X128" s="181">
        <f>SUMIFS('FCST data'!AA:AA,'FCST data'!$D:$D,$F128,'FCST data'!$K:$K,$G128,'FCST data'!$O:$O,$K128)</f>
        <v>0</v>
      </c>
      <c r="Y128" s="181">
        <f>SUMIFS('FCST data'!AB:AB,'FCST data'!$D:$D,$F128,'FCST data'!$K:$K,$G128,'FCST data'!$O:$O,$K128)</f>
        <v>0</v>
      </c>
      <c r="Z128" s="148"/>
      <c r="AA128" s="17">
        <f>E128-SUM(Z129:Z130)</f>
        <v>0</v>
      </c>
    </row>
    <row r="129" spans="3:27" ht="48" hidden="1">
      <c r="C129" s="283"/>
      <c r="D129" s="284"/>
      <c r="E129" s="285"/>
      <c r="F129" s="286" t="s">
        <v>1003</v>
      </c>
      <c r="G129" s="286" t="s">
        <v>1066</v>
      </c>
      <c r="H129" s="284" t="s">
        <v>715</v>
      </c>
      <c r="I129" s="284" t="s">
        <v>716</v>
      </c>
      <c r="J129" s="284" t="s">
        <v>268</v>
      </c>
      <c r="K129" s="284" t="s">
        <v>275</v>
      </c>
      <c r="L129" s="160"/>
      <c r="M129" s="354" t="s">
        <v>1037</v>
      </c>
      <c r="N129" s="291"/>
      <c r="O129" s="291"/>
      <c r="P129" s="291"/>
      <c r="Q129" s="291"/>
      <c r="R129" s="291"/>
      <c r="S129" s="291"/>
      <c r="T129" s="291">
        <v>210</v>
      </c>
      <c r="U129" s="291">
        <v>0</v>
      </c>
      <c r="V129" s="291">
        <v>0</v>
      </c>
      <c r="W129" s="291"/>
      <c r="X129" s="291"/>
      <c r="Y129" s="291"/>
      <c r="Z129" s="177">
        <f>SUM(N129:Y129)</f>
        <v>210</v>
      </c>
      <c r="AA129" s="17"/>
    </row>
    <row r="130" spans="3:27" ht="14.4">
      <c r="C130" s="283"/>
      <c r="D130" s="284"/>
      <c r="E130" s="285"/>
      <c r="F130" s="286" t="s">
        <v>1003</v>
      </c>
      <c r="G130" s="286" t="s">
        <v>1066</v>
      </c>
      <c r="H130" s="284" t="s">
        <v>717</v>
      </c>
      <c r="I130" s="287" t="s">
        <v>133</v>
      </c>
      <c r="J130" s="287" t="s">
        <v>268</v>
      </c>
      <c r="K130" s="287" t="s">
        <v>275</v>
      </c>
      <c r="L130" s="160"/>
      <c r="M130" s="355"/>
      <c r="N130" s="291"/>
      <c r="O130" s="291"/>
      <c r="P130" s="291"/>
      <c r="Q130" s="291"/>
      <c r="R130" s="291"/>
      <c r="S130" s="291"/>
      <c r="T130" s="291"/>
      <c r="U130" s="291"/>
      <c r="V130" s="291"/>
      <c r="W130" s="291"/>
      <c r="X130" s="291"/>
      <c r="Y130" s="291"/>
      <c r="Z130" s="177">
        <f>SUM(N130:Y130)</f>
        <v>0</v>
      </c>
      <c r="AA130" s="17"/>
    </row>
  </sheetData>
  <autoFilter ref="A13:AA130">
    <filterColumn colId="7">
      <filters>
        <filter val="Local"/>
      </filters>
    </filterColumn>
  </autoFilter>
  <phoneticPr fontId="6" type="noConversion"/>
  <conditionalFormatting sqref="K4:K6">
    <cfRule type="cellIs" dxfId="120" priority="65" operator="equal">
      <formula>"Need to Review"</formula>
    </cfRule>
    <cfRule type="cellIs" dxfId="119" priority="66" operator="equal">
      <formula>"OK"</formula>
    </cfRule>
  </conditionalFormatting>
  <conditionalFormatting sqref="L4">
    <cfRule type="cellIs" dxfId="118" priority="63" operator="equal">
      <formula>"Need to Review"</formula>
    </cfRule>
    <cfRule type="cellIs" dxfId="117" priority="64" operator="equal">
      <formula>"OK"</formula>
    </cfRule>
  </conditionalFormatting>
  <conditionalFormatting sqref="N14:Y14">
    <cfRule type="cellIs" dxfId="116" priority="62" operator="notEqual">
      <formula>SUM(N15:N16)</formula>
    </cfRule>
  </conditionalFormatting>
  <conditionalFormatting sqref="N17:Y17 N20:Y20 N23:Y23 N26:Y26 N35:Y35 N38:Y38 N41:Y41 N44:Y44 N50:Y50 N59:Y59 N65:Y65 N68:Y68 N71:Y71 N77:Y77 N80:Y80 N86:Y86 N89:Y89 N92:Y92 N29:Y29 N53:Y53 N56:Y56 N62:Y62 N74:Y74 N47:Y47 N83:Y83 N32:Y32 N95:Y95 N98:Y98 N101:Y101">
    <cfRule type="cellIs" dxfId="115" priority="41" operator="notEqual">
      <formula>SUM(N18:N19)</formula>
    </cfRule>
  </conditionalFormatting>
  <conditionalFormatting sqref="N104:Y104">
    <cfRule type="cellIs" dxfId="114" priority="9" operator="notEqual">
      <formula>SUM(N105:N106)</formula>
    </cfRule>
  </conditionalFormatting>
  <conditionalFormatting sqref="N107:Y107">
    <cfRule type="cellIs" dxfId="113" priority="8" operator="notEqual">
      <formula>SUM(N108:N109)</formula>
    </cfRule>
  </conditionalFormatting>
  <conditionalFormatting sqref="N110:Y110">
    <cfRule type="cellIs" dxfId="112" priority="7" operator="notEqual">
      <formula>SUM(N111:N112)</formula>
    </cfRule>
  </conditionalFormatting>
  <conditionalFormatting sqref="N113:Y113">
    <cfRule type="cellIs" dxfId="111" priority="6" operator="notEqual">
      <formula>SUM(N114:N115)</formula>
    </cfRule>
  </conditionalFormatting>
  <conditionalFormatting sqref="N116:Y116">
    <cfRule type="cellIs" dxfId="110" priority="5" operator="notEqual">
      <formula>SUM(N117:N118)</formula>
    </cfRule>
  </conditionalFormatting>
  <conditionalFormatting sqref="N119:Y119">
    <cfRule type="cellIs" dxfId="109" priority="4" operator="notEqual">
      <formula>SUM(N120:N121)</formula>
    </cfRule>
  </conditionalFormatting>
  <conditionalFormatting sqref="N122:Y122">
    <cfRule type="cellIs" dxfId="108" priority="3" operator="notEqual">
      <formula>SUM(N123:N124)</formula>
    </cfRule>
  </conditionalFormatting>
  <conditionalFormatting sqref="N125:Y125">
    <cfRule type="cellIs" dxfId="107" priority="2" operator="notEqual">
      <formula>SUM(N126:N127)</formula>
    </cfRule>
  </conditionalFormatting>
  <conditionalFormatting sqref="N128:Y128">
    <cfRule type="cellIs" dxfId="106" priority="1" operator="notEqual">
      <formula>SUM(N129:N130)</formula>
    </cfRule>
  </conditionalFormatting>
  <pageMargins left="0.511811024" right="0.511811024" top="0.78740157499999996" bottom="0.78740157499999996" header="0.31496062000000002" footer="0.31496062000000002"/>
  <pageSetup orientation="portrait" r:id="rId1"/>
  <ignoredErrors>
    <ignoredError sqref="Z15" unlocked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 filterMode="1">
    <tabColor rgb="FF00B050"/>
  </sheetPr>
  <dimension ref="B1:AF270"/>
  <sheetViews>
    <sheetView showGridLines="0" topLeftCell="H1" zoomScale="85" zoomScaleNormal="85" workbookViewId="0">
      <pane ySplit="13" topLeftCell="A14" activePane="bottomLeft" state="frozen"/>
      <selection activeCell="R22" sqref="R22"/>
      <selection pane="bottomLeft" activeCell="S266" sqref="S266"/>
    </sheetView>
  </sheetViews>
  <sheetFormatPr defaultColWidth="9.109375" defaultRowHeight="14.4" outlineLevelRow="1"/>
  <cols>
    <col min="1" max="1" width="2.5546875" style="16" customWidth="1"/>
    <col min="2" max="2" width="10.21875" style="16" bestFit="1" customWidth="1"/>
    <col min="3" max="3" width="6.88671875" style="16" customWidth="1"/>
    <col min="4" max="4" width="8.5546875" style="14" bestFit="1" customWidth="1"/>
    <col min="5" max="5" width="10.6640625" style="16" customWidth="1"/>
    <col min="6" max="6" width="21.88671875" style="1" bestFit="1" customWidth="1"/>
    <col min="7" max="7" width="15.44140625" style="1" bestFit="1" customWidth="1"/>
    <col min="8" max="8" width="10" style="1" bestFit="1" customWidth="1"/>
    <col min="9" max="9" width="13.88671875" style="1" customWidth="1"/>
    <col min="10" max="10" width="12.5546875" style="1" bestFit="1" customWidth="1"/>
    <col min="11" max="11" width="20.6640625" style="1" bestFit="1" customWidth="1"/>
    <col min="12" max="12" width="12.33203125" style="1" customWidth="1"/>
    <col min="13" max="13" width="18.6640625" style="1" customWidth="1"/>
    <col min="14" max="25" width="9.5546875" style="17" customWidth="1"/>
    <col min="26" max="26" width="11" style="17" customWidth="1"/>
    <col min="27" max="27" width="17.5546875" style="1" customWidth="1"/>
    <col min="28" max="28" width="15.6640625" style="16" customWidth="1"/>
    <col min="29" max="29" width="9.109375" style="16" customWidth="1"/>
    <col min="30" max="30" width="25.6640625" style="1" customWidth="1"/>
    <col min="31" max="31" width="15.21875" style="16" customWidth="1"/>
    <col min="32" max="16384" width="9.109375" style="16"/>
  </cols>
  <sheetData>
    <row r="1" spans="2:32">
      <c r="N1" s="3"/>
      <c r="O1" s="3"/>
      <c r="P1" s="3"/>
    </row>
    <row r="2" spans="2:32">
      <c r="E2" s="12"/>
      <c r="G2" s="1" t="s">
        <v>43</v>
      </c>
      <c r="J2" s="1" t="s">
        <v>44</v>
      </c>
      <c r="K2" s="47"/>
      <c r="M2" s="3"/>
      <c r="N2" s="3"/>
      <c r="O2" s="3"/>
      <c r="Z2" s="1"/>
      <c r="AA2" s="16"/>
    </row>
    <row r="3" spans="2:32" ht="15.6">
      <c r="E3" s="12"/>
      <c r="F3" s="53" t="s">
        <v>40</v>
      </c>
      <c r="G3" s="51">
        <v>15</v>
      </c>
      <c r="I3" s="53" t="s">
        <v>40</v>
      </c>
      <c r="J3" s="51">
        <v>2</v>
      </c>
      <c r="K3" s="47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  <c r="Z3" s="1"/>
      <c r="AA3" s="16"/>
      <c r="AD3" s="53" t="s">
        <v>40</v>
      </c>
    </row>
    <row r="4" spans="2:32" ht="15.6" outlineLevel="1">
      <c r="E4" s="12"/>
      <c r="F4" s="50" t="s">
        <v>35</v>
      </c>
      <c r="G4" s="372"/>
      <c r="I4" s="50" t="s">
        <v>35</v>
      </c>
      <c r="J4" s="370"/>
      <c r="K4" s="47"/>
      <c r="M4" s="3"/>
      <c r="N4" s="3"/>
      <c r="O4" s="3"/>
      <c r="Q4" s="3"/>
      <c r="R4" s="3"/>
      <c r="S4" s="3"/>
      <c r="T4" s="3"/>
      <c r="U4" s="3"/>
      <c r="V4" s="3"/>
      <c r="W4" s="3"/>
      <c r="X4" s="3"/>
      <c r="Y4" s="3"/>
      <c r="Z4" s="1"/>
      <c r="AA4" s="16"/>
      <c r="AD4" s="50" t="s">
        <v>35</v>
      </c>
    </row>
    <row r="5" spans="2:32" ht="15.6" outlineLevel="1">
      <c r="E5" s="12"/>
      <c r="F5" s="50" t="s">
        <v>37</v>
      </c>
      <c r="G5" s="372"/>
      <c r="I5" s="50" t="s">
        <v>37</v>
      </c>
      <c r="J5" s="370"/>
      <c r="K5" s="47"/>
      <c r="M5" s="17"/>
      <c r="N5" s="3"/>
      <c r="O5" s="3"/>
      <c r="Q5" s="3"/>
      <c r="R5" s="3"/>
      <c r="S5" s="3"/>
      <c r="T5" s="3"/>
      <c r="U5" s="3"/>
      <c r="V5" s="3"/>
      <c r="W5" s="3"/>
      <c r="X5" s="3"/>
      <c r="Y5" s="3"/>
      <c r="Z5" s="1"/>
      <c r="AA5" s="16"/>
      <c r="AD5" s="50" t="s">
        <v>37</v>
      </c>
    </row>
    <row r="6" spans="2:32" ht="15.6" outlineLevel="1">
      <c r="E6" s="12"/>
      <c r="F6" s="50" t="s">
        <v>38</v>
      </c>
      <c r="G6" s="49">
        <f>SUMIFS($Z$14:$Z$49946,$H$14:$H$49946,"Local")+G5</f>
        <v>1103240</v>
      </c>
      <c r="I6" s="50" t="s">
        <v>38</v>
      </c>
      <c r="J6" s="49">
        <f>SUMIFS($AA$14:$AA$49946,$H$14:$H$49946,"Local",$J$14:$J$49946,"Mmodule")+J5</f>
        <v>183340</v>
      </c>
      <c r="K6" s="47"/>
      <c r="M6" s="17"/>
      <c r="N6" s="3"/>
      <c r="O6" s="3"/>
      <c r="Q6" s="3"/>
      <c r="R6" s="3"/>
      <c r="S6" s="3"/>
      <c r="T6" s="3"/>
      <c r="U6" s="3"/>
      <c r="V6" s="3"/>
      <c r="W6" s="3"/>
      <c r="X6" s="3"/>
      <c r="Y6" s="3"/>
      <c r="Z6" s="1"/>
      <c r="AA6" s="16"/>
      <c r="AD6" s="50" t="s">
        <v>38</v>
      </c>
    </row>
    <row r="7" spans="2:32" ht="15.6" outlineLevel="1">
      <c r="E7" s="12"/>
      <c r="F7" s="50" t="s">
        <v>39</v>
      </c>
      <c r="G7" s="49">
        <f>SUMIFS($Z$14:$Z$49946,$H$14:$H$49946,"Imported")</f>
        <v>401820</v>
      </c>
      <c r="I7" s="50" t="s">
        <v>39</v>
      </c>
      <c r="J7" s="49">
        <f>SUMIFS($AA$14:$AA$49946,$H$14:$H$49946,"Imported",$J$14:$J$49946,"Mmodule")</f>
        <v>17580</v>
      </c>
      <c r="K7" s="47"/>
      <c r="L7" s="48"/>
      <c r="M7" s="3"/>
      <c r="N7" s="3"/>
      <c r="O7" s="3"/>
      <c r="P7" s="295"/>
      <c r="Q7" s="3"/>
      <c r="R7" s="3"/>
      <c r="S7" s="3"/>
      <c r="T7" s="3"/>
      <c r="U7" s="3"/>
      <c r="V7" s="3"/>
      <c r="W7" s="3"/>
      <c r="X7" s="3"/>
      <c r="Y7" s="3"/>
      <c r="Z7" s="1"/>
      <c r="AA7" s="16"/>
      <c r="AD7" s="50" t="s">
        <v>39</v>
      </c>
    </row>
    <row r="8" spans="2:32" ht="15.6" outlineLevel="1">
      <c r="E8" s="12"/>
      <c r="F8" s="50" t="s">
        <v>36</v>
      </c>
      <c r="G8" s="49">
        <f>SUMIFS($Z$14:$Z$49946,$D$14:$D$49946,"&lt;&gt; FCST")+G4</f>
        <v>1505060</v>
      </c>
      <c r="I8" s="50" t="s">
        <v>36</v>
      </c>
      <c r="J8" s="49">
        <f>E12+J4</f>
        <v>218630</v>
      </c>
      <c r="K8" s="296">
        <f>J8-(J6+J7)</f>
        <v>17710</v>
      </c>
      <c r="L8" s="297" t="s">
        <v>284</v>
      </c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1"/>
      <c r="AA8" s="16"/>
      <c r="AD8" s="50" t="s">
        <v>36</v>
      </c>
    </row>
    <row r="9" spans="2:32">
      <c r="E9" s="12"/>
      <c r="F9" s="16" t="s">
        <v>33</v>
      </c>
      <c r="G9" s="58">
        <f>(G6)/G8</f>
        <v>0.73302061047400102</v>
      </c>
      <c r="I9" s="16" t="s">
        <v>33</v>
      </c>
      <c r="J9" s="58">
        <f>(J6)/J8</f>
        <v>0.83858573846224216</v>
      </c>
      <c r="K9" s="45"/>
      <c r="L9" s="12"/>
      <c r="M9" s="3"/>
      <c r="N9" s="3"/>
      <c r="O9" s="3"/>
      <c r="P9" s="3"/>
      <c r="Q9" s="3"/>
      <c r="R9" s="3"/>
      <c r="S9" s="3"/>
      <c r="T9" s="3"/>
      <c r="U9" s="3"/>
      <c r="W9" s="3"/>
      <c r="X9" s="3"/>
      <c r="Y9" s="3"/>
      <c r="Z9" s="1"/>
      <c r="AA9" s="16"/>
      <c r="AD9" s="16" t="s">
        <v>33</v>
      </c>
    </row>
    <row r="10" spans="2:32">
      <c r="E10" s="12"/>
      <c r="F10" s="12" t="s">
        <v>34</v>
      </c>
      <c r="G10" s="89">
        <f>IF(G9*G3&gt;15,"15",G9*G3)</f>
        <v>10.995309157110015</v>
      </c>
      <c r="H10" s="94"/>
      <c r="I10" s="12" t="s">
        <v>34</v>
      </c>
      <c r="J10" s="89">
        <f>IF(J9*J3&gt;2,"2",J9*J3)</f>
        <v>1.6771714769244843</v>
      </c>
      <c r="K10" s="45"/>
      <c r="L10" s="12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1"/>
      <c r="AA10" s="16"/>
      <c r="AD10" s="12" t="s">
        <v>34</v>
      </c>
    </row>
    <row r="11" spans="2:32">
      <c r="D11" s="326" t="s">
        <v>415</v>
      </c>
      <c r="E11" s="328">
        <f>E12-MB!E12</f>
        <v>0</v>
      </c>
      <c r="F11" s="16"/>
      <c r="G11" s="16"/>
      <c r="M11" s="17"/>
      <c r="Z11" s="1"/>
      <c r="AA11" s="16"/>
      <c r="AD11" s="16"/>
      <c r="AE11" s="17" t="s">
        <v>848</v>
      </c>
      <c r="AF11" s="17" t="s">
        <v>848</v>
      </c>
    </row>
    <row r="12" spans="2:32">
      <c r="E12" s="17">
        <f>SUMIFS($E$13:$E$9924,$D$13:$D$9924,$D$13)</f>
        <v>218630</v>
      </c>
      <c r="F12" s="16"/>
      <c r="G12" s="16"/>
      <c r="H12" s="16"/>
      <c r="AA12" s="298">
        <f>SUM(AA14:AB274)</f>
        <v>218630</v>
      </c>
      <c r="AB12" s="330">
        <f>E12-AA12</f>
        <v>0</v>
      </c>
      <c r="AD12" s="16"/>
    </row>
    <row r="13" spans="2:32" ht="27.6">
      <c r="C13" s="20" t="s">
        <v>97</v>
      </c>
      <c r="D13" s="28" t="s">
        <v>22</v>
      </c>
      <c r="E13" s="38" t="s">
        <v>24</v>
      </c>
      <c r="F13" s="30" t="s">
        <v>14</v>
      </c>
      <c r="G13" s="30" t="s">
        <v>265</v>
      </c>
      <c r="H13" s="30" t="s">
        <v>15</v>
      </c>
      <c r="I13" s="31" t="s">
        <v>16</v>
      </c>
      <c r="J13" s="31" t="s">
        <v>17</v>
      </c>
      <c r="K13" s="32" t="s">
        <v>18</v>
      </c>
      <c r="L13" s="32" t="s">
        <v>122</v>
      </c>
      <c r="M13" s="26" t="s">
        <v>19</v>
      </c>
      <c r="N13" s="172" t="s">
        <v>1</v>
      </c>
      <c r="O13" s="172" t="s">
        <v>3</v>
      </c>
      <c r="P13" s="172" t="s">
        <v>4</v>
      </c>
      <c r="Q13" s="172" t="s">
        <v>5</v>
      </c>
      <c r="R13" s="172" t="s">
        <v>6</v>
      </c>
      <c r="S13" s="172" t="s">
        <v>842</v>
      </c>
      <c r="T13" s="172" t="s">
        <v>8</v>
      </c>
      <c r="U13" s="172" t="s">
        <v>9</v>
      </c>
      <c r="V13" s="172" t="s">
        <v>10</v>
      </c>
      <c r="W13" s="172" t="s">
        <v>11</v>
      </c>
      <c r="X13" s="172" t="s">
        <v>12</v>
      </c>
      <c r="Y13" s="172" t="s">
        <v>210</v>
      </c>
      <c r="Z13" s="93" t="s">
        <v>93</v>
      </c>
      <c r="AA13" s="36" t="s">
        <v>94</v>
      </c>
      <c r="AB13" s="16" t="s">
        <v>543</v>
      </c>
      <c r="AD13" s="30" t="s">
        <v>14</v>
      </c>
      <c r="AE13" s="442" t="s">
        <v>893</v>
      </c>
    </row>
    <row r="14" spans="2:32" ht="15.6" hidden="1">
      <c r="B14" s="395">
        <v>45017</v>
      </c>
      <c r="C14" s="315"/>
      <c r="D14" s="174" t="s">
        <v>22</v>
      </c>
      <c r="E14" s="181">
        <f>SUM(N14:Y14)</f>
        <v>18300</v>
      </c>
      <c r="F14" s="183" t="s">
        <v>107</v>
      </c>
      <c r="G14" s="183" t="s">
        <v>394</v>
      </c>
      <c r="H14" s="181"/>
      <c r="I14" s="182"/>
      <c r="J14" s="182"/>
      <c r="K14" s="182" t="s">
        <v>277</v>
      </c>
      <c r="L14" s="306"/>
      <c r="M14" s="358"/>
      <c r="N14" s="181">
        <f>SUMIFS('FCST data'!Q:Q,'FCST data'!$D:$D,$F14,'FCST data'!$K:$K,$G14,'FCST data'!$L:$L,$K14)</f>
        <v>7600</v>
      </c>
      <c r="O14" s="181">
        <f>SUMIFS('FCST data'!R:R,'FCST data'!$D:$D,$F14,'FCST data'!$K:$K,$G14,'FCST data'!$L:$L,$K14)</f>
        <v>4600</v>
      </c>
      <c r="P14" s="181">
        <f>SUMIFS('FCST data'!S:S,'FCST data'!$D:$D,$F14,'FCST data'!$K:$K,$G14,'FCST data'!$L:$L,$K14)</f>
        <v>6100</v>
      </c>
      <c r="Q14" s="181">
        <f>SUMIFS('FCST data'!T:T,'FCST data'!$D:$D,$F14,'FCST data'!$K:$K,$G14,'FCST data'!$L:$L,$K14)</f>
        <v>0</v>
      </c>
      <c r="R14" s="181">
        <f>SUMIFS('FCST data'!U:U,'FCST data'!$D:$D,$F14,'FCST data'!$K:$K,$G14,'FCST data'!$L:$L,$K14)</f>
        <v>0</v>
      </c>
      <c r="S14" s="181">
        <f>SUMIFS('FCST data'!V:V,'FCST data'!$D:$D,$F14,'FCST data'!$K:$K,$G14,'FCST data'!$L:$L,$K14)</f>
        <v>0</v>
      </c>
      <c r="T14" s="181">
        <f>SUMIFS('FCST data'!W:W,'FCST data'!$D:$D,$F14,'FCST data'!$K:$K,$G14,'FCST data'!$L:$L,$K14)</f>
        <v>0</v>
      </c>
      <c r="U14" s="181">
        <f>SUMIFS('FCST data'!X:X,'FCST data'!$D:$D,$F14,'FCST data'!$K:$K,$G14,'FCST data'!$L:$L,$K14)</f>
        <v>0</v>
      </c>
      <c r="V14" s="181">
        <f>SUMIFS('FCST data'!Y:Y,'FCST data'!$D:$D,$F14,'FCST data'!$K:$K,$G14,'FCST data'!$L:$L,$K14)</f>
        <v>0</v>
      </c>
      <c r="W14" s="181">
        <f>SUMIFS('FCST data'!Z:Z,'FCST data'!$D:$D,$F14,'FCST data'!$K:$K,$G14,'FCST data'!$L:$L,$K14)</f>
        <v>0</v>
      </c>
      <c r="X14" s="181">
        <f>SUMIFS('FCST data'!AA:AA,'FCST data'!$D:$D,$F14,'FCST data'!$K:$K,$G14,'FCST data'!$L:$L,$K14)</f>
        <v>0</v>
      </c>
      <c r="Y14" s="181">
        <f>SUMIFS('FCST data'!AB:AB,'FCST data'!$D:$D,$F14,'FCST data'!$K:$K,$G14,'FCST data'!$L:$L,$K14)</f>
        <v>0</v>
      </c>
      <c r="Z14" s="148"/>
      <c r="AA14" s="44"/>
      <c r="AC14" s="16">
        <f>E14-SUM(AA15:AB18)</f>
        <v>0</v>
      </c>
      <c r="AD14" s="183" t="s">
        <v>107</v>
      </c>
      <c r="AE14" s="16">
        <v>0</v>
      </c>
      <c r="AF14" s="16">
        <v>0</v>
      </c>
    </row>
    <row r="15" spans="2:32" ht="20.399999999999999" hidden="1">
      <c r="C15" s="20"/>
      <c r="D15" s="284"/>
      <c r="E15" s="147"/>
      <c r="F15" s="286" t="s">
        <v>107</v>
      </c>
      <c r="G15" s="286" t="s">
        <v>394</v>
      </c>
      <c r="H15" s="284" t="s">
        <v>715</v>
      </c>
      <c r="I15" s="287" t="s">
        <v>718</v>
      </c>
      <c r="J15" s="126" t="s">
        <v>119</v>
      </c>
      <c r="K15" s="287" t="s">
        <v>301</v>
      </c>
      <c r="L15" s="180">
        <v>4</v>
      </c>
      <c r="M15" s="359" t="s">
        <v>545</v>
      </c>
      <c r="N15" s="291"/>
      <c r="O15" s="291"/>
      <c r="P15" s="291"/>
      <c r="Q15" s="291"/>
      <c r="R15" s="291"/>
      <c r="S15" s="291"/>
      <c r="T15" s="291"/>
      <c r="U15" s="291"/>
      <c r="V15" s="291"/>
      <c r="W15" s="291"/>
      <c r="X15" s="291"/>
      <c r="Y15" s="291"/>
      <c r="Z15" s="177">
        <f>SUM(N15:Y15)</f>
        <v>0</v>
      </c>
      <c r="AA15" s="7" t="s">
        <v>396</v>
      </c>
      <c r="AB15" s="16">
        <f>Z15/L15</f>
        <v>0</v>
      </c>
      <c r="AD15" s="286" t="s">
        <v>107</v>
      </c>
      <c r="AF15" s="16">
        <v>0</v>
      </c>
    </row>
    <row r="16" spans="2:32" ht="13.8" hidden="1">
      <c r="C16" s="20"/>
      <c r="D16" s="284"/>
      <c r="E16" s="147"/>
      <c r="F16" s="286" t="s">
        <v>107</v>
      </c>
      <c r="G16" s="286" t="s">
        <v>394</v>
      </c>
      <c r="H16" s="333" t="s">
        <v>717</v>
      </c>
      <c r="I16" s="287" t="s">
        <v>422</v>
      </c>
      <c r="J16" s="287" t="s">
        <v>28</v>
      </c>
      <c r="K16" s="287" t="s">
        <v>280</v>
      </c>
      <c r="L16" s="299">
        <v>4</v>
      </c>
      <c r="M16" s="360" t="s">
        <v>423</v>
      </c>
      <c r="N16" s="291">
        <v>2600</v>
      </c>
      <c r="O16" s="291"/>
      <c r="P16" s="291">
        <v>2000</v>
      </c>
      <c r="Q16" s="291"/>
      <c r="R16" s="291"/>
      <c r="S16" s="291"/>
      <c r="T16" s="291"/>
      <c r="U16" s="291"/>
      <c r="V16" s="291"/>
      <c r="W16" s="291"/>
      <c r="X16" s="291"/>
      <c r="Y16" s="291"/>
      <c r="Z16" s="177">
        <f>SUM(N16:Y16)*L16</f>
        <v>18400</v>
      </c>
      <c r="AA16" s="7">
        <f>SUM(N16:Y16)</f>
        <v>4600</v>
      </c>
      <c r="AD16" s="286" t="s">
        <v>107</v>
      </c>
      <c r="AE16" s="16">
        <v>2600</v>
      </c>
      <c r="AF16" s="16">
        <v>0</v>
      </c>
    </row>
    <row r="17" spans="2:32" ht="13.8" hidden="1">
      <c r="C17" s="20"/>
      <c r="D17" s="284"/>
      <c r="E17" s="147"/>
      <c r="F17" s="286" t="s">
        <v>107</v>
      </c>
      <c r="G17" s="286" t="s">
        <v>394</v>
      </c>
      <c r="H17" s="333" t="s">
        <v>717</v>
      </c>
      <c r="I17" s="287" t="s">
        <v>760</v>
      </c>
      <c r="J17" s="287" t="s">
        <v>28</v>
      </c>
      <c r="K17" s="287" t="s">
        <v>280</v>
      </c>
      <c r="L17" s="299">
        <v>4</v>
      </c>
      <c r="M17" s="360" t="s">
        <v>759</v>
      </c>
      <c r="N17" s="291">
        <v>5000</v>
      </c>
      <c r="O17" s="291">
        <v>4600</v>
      </c>
      <c r="P17" s="291">
        <v>4100</v>
      </c>
      <c r="Q17" s="291"/>
      <c r="R17" s="291"/>
      <c r="S17" s="291"/>
      <c r="T17" s="291"/>
      <c r="U17" s="291"/>
      <c r="V17" s="291"/>
      <c r="W17" s="291"/>
      <c r="X17" s="291"/>
      <c r="Y17" s="291"/>
      <c r="Z17" s="177">
        <f t="shared" ref="Z17:Z18" si="0">SUM(N17:Y17)*L17</f>
        <v>54800</v>
      </c>
      <c r="AA17" s="7">
        <f t="shared" ref="AA17:AA18" si="1">SUM(N17:Y17)</f>
        <v>13700</v>
      </c>
      <c r="AD17" s="286" t="s">
        <v>107</v>
      </c>
      <c r="AE17" s="16">
        <v>8900</v>
      </c>
      <c r="AF17" s="16">
        <v>0</v>
      </c>
    </row>
    <row r="18" spans="2:32" ht="13.8" hidden="1">
      <c r="C18" s="20"/>
      <c r="D18" s="284"/>
      <c r="E18" s="147"/>
      <c r="F18" s="286" t="s">
        <v>107</v>
      </c>
      <c r="G18" s="286" t="s">
        <v>394</v>
      </c>
      <c r="H18" s="333" t="s">
        <v>717</v>
      </c>
      <c r="I18" s="287" t="s">
        <v>133</v>
      </c>
      <c r="J18" s="287" t="s">
        <v>28</v>
      </c>
      <c r="K18" s="287" t="s">
        <v>280</v>
      </c>
      <c r="L18" s="299">
        <v>4</v>
      </c>
      <c r="M18" s="360"/>
      <c r="N18" s="291"/>
      <c r="O18" s="291"/>
      <c r="P18" s="291"/>
      <c r="Q18" s="291"/>
      <c r="R18" s="291"/>
      <c r="S18" s="291"/>
      <c r="T18" s="291"/>
      <c r="U18" s="291"/>
      <c r="V18" s="291"/>
      <c r="W18" s="291"/>
      <c r="X18" s="291"/>
      <c r="Y18" s="291"/>
      <c r="Z18" s="177">
        <f t="shared" si="0"/>
        <v>0</v>
      </c>
      <c r="AA18" s="7">
        <f t="shared" si="1"/>
        <v>0</v>
      </c>
      <c r="AD18" s="286" t="s">
        <v>107</v>
      </c>
      <c r="AE18" s="16">
        <v>0</v>
      </c>
      <c r="AF18" s="16">
        <v>0</v>
      </c>
    </row>
    <row r="19" spans="2:32" ht="15.6" hidden="1">
      <c r="B19" s="395">
        <v>45017</v>
      </c>
      <c r="C19" s="315"/>
      <c r="D19" s="174" t="s">
        <v>22</v>
      </c>
      <c r="E19" s="181">
        <f>SUM(N19:Y19)</f>
        <v>3000</v>
      </c>
      <c r="F19" s="183" t="s">
        <v>107</v>
      </c>
      <c r="G19" s="183" t="s">
        <v>394</v>
      </c>
      <c r="H19" s="181"/>
      <c r="I19" s="182"/>
      <c r="J19" s="182"/>
      <c r="K19" s="182" t="s">
        <v>364</v>
      </c>
      <c r="L19" s="306"/>
      <c r="M19" s="358"/>
      <c r="N19" s="181">
        <f>SUMIFS('FCST data'!Q:Q,'FCST data'!$D:$D,$F19,'FCST data'!$K:$K,$G19,'FCST data'!$L:$L,$K19)</f>
        <v>1200</v>
      </c>
      <c r="O19" s="181">
        <f>SUMIFS('FCST data'!R:R,'FCST data'!$D:$D,$F19,'FCST data'!$K:$K,$G19,'FCST data'!$L:$L,$K19)</f>
        <v>1100</v>
      </c>
      <c r="P19" s="181">
        <f>SUMIFS('FCST data'!S:S,'FCST data'!$D:$D,$F19,'FCST data'!$K:$K,$G19,'FCST data'!$L:$L,$K19)</f>
        <v>700</v>
      </c>
      <c r="Q19" s="181">
        <f>SUMIFS('FCST data'!T:T,'FCST data'!$D:$D,$F19,'FCST data'!$K:$K,$G19,'FCST data'!$L:$L,$K19)</f>
        <v>0</v>
      </c>
      <c r="R19" s="181">
        <f>SUMIFS('FCST data'!U:U,'FCST data'!$D:$D,$F19,'FCST data'!$K:$K,$G19,'FCST data'!$L:$L,$K19)</f>
        <v>0</v>
      </c>
      <c r="S19" s="181">
        <f>SUMIFS('FCST data'!V:V,'FCST data'!$D:$D,$F19,'FCST data'!$K:$K,$G19,'FCST data'!$L:$L,$K19)</f>
        <v>0</v>
      </c>
      <c r="T19" s="181">
        <f>SUMIFS('FCST data'!W:W,'FCST data'!$D:$D,$F19,'FCST data'!$K:$K,$G19,'FCST data'!$L:$L,$K19)</f>
        <v>0</v>
      </c>
      <c r="U19" s="181">
        <f>SUMIFS('FCST data'!X:X,'FCST data'!$D:$D,$F19,'FCST data'!$K:$K,$G19,'FCST data'!$L:$L,$K19)</f>
        <v>0</v>
      </c>
      <c r="V19" s="181">
        <f>SUMIFS('FCST data'!Y:Y,'FCST data'!$D:$D,$F19,'FCST data'!$K:$K,$G19,'FCST data'!$L:$L,$K19)</f>
        <v>0</v>
      </c>
      <c r="W19" s="181">
        <f>SUMIFS('FCST data'!Z:Z,'FCST data'!$D:$D,$F19,'FCST data'!$K:$K,$G19,'FCST data'!$L:$L,$K19)</f>
        <v>0</v>
      </c>
      <c r="X19" s="181">
        <f>SUMIFS('FCST data'!AA:AA,'FCST data'!$D:$D,$F19,'FCST data'!$K:$K,$G19,'FCST data'!$L:$L,$K19)</f>
        <v>0</v>
      </c>
      <c r="Y19" s="181">
        <f>SUMIFS('FCST data'!AB:AB,'FCST data'!$D:$D,$F19,'FCST data'!$K:$K,$G19,'FCST data'!$L:$L,$K19)</f>
        <v>0</v>
      </c>
      <c r="Z19" s="148"/>
      <c r="AA19" s="44"/>
      <c r="AC19" s="16">
        <f>E19-SUM(AA20:AB24)</f>
        <v>0</v>
      </c>
      <c r="AD19" s="183" t="s">
        <v>107</v>
      </c>
      <c r="AE19" s="16">
        <v>0</v>
      </c>
      <c r="AF19" s="16">
        <v>0</v>
      </c>
    </row>
    <row r="20" spans="2:32" ht="20.399999999999999" hidden="1">
      <c r="C20" s="20"/>
      <c r="D20" s="284"/>
      <c r="E20" s="147"/>
      <c r="F20" s="286" t="s">
        <v>107</v>
      </c>
      <c r="G20" s="286" t="s">
        <v>394</v>
      </c>
      <c r="H20" s="284" t="s">
        <v>715</v>
      </c>
      <c r="I20" s="287" t="s">
        <v>718</v>
      </c>
      <c r="J20" s="287" t="s">
        <v>28</v>
      </c>
      <c r="K20" s="287" t="s">
        <v>282</v>
      </c>
      <c r="L20" s="180">
        <v>8</v>
      </c>
      <c r="M20" s="359" t="s">
        <v>546</v>
      </c>
      <c r="N20" s="291">
        <v>1200</v>
      </c>
      <c r="O20" s="340">
        <v>60</v>
      </c>
      <c r="P20" s="291"/>
      <c r="Q20" s="291"/>
      <c r="R20" s="291"/>
      <c r="S20" s="291"/>
      <c r="T20" s="291"/>
      <c r="U20" s="291"/>
      <c r="V20" s="291"/>
      <c r="W20" s="291"/>
      <c r="X20" s="291"/>
      <c r="Y20" s="291"/>
      <c r="Z20" s="177">
        <f t="shared" ref="Z20:Z24" si="2">SUM(N20:Y20)*L20</f>
        <v>10080</v>
      </c>
      <c r="AA20" s="7">
        <f t="shared" ref="AA20:AA24" si="3">SUM(N20:Y20)</f>
        <v>1260</v>
      </c>
      <c r="AD20" s="286" t="s">
        <v>107</v>
      </c>
      <c r="AE20" s="16">
        <v>0</v>
      </c>
      <c r="AF20" s="16">
        <v>0</v>
      </c>
    </row>
    <row r="21" spans="2:32" ht="13.8" hidden="1">
      <c r="C21" s="20"/>
      <c r="D21" s="284"/>
      <c r="E21" s="147"/>
      <c r="F21" s="286" t="s">
        <v>107</v>
      </c>
      <c r="G21" s="286" t="s">
        <v>394</v>
      </c>
      <c r="H21" s="348" t="s">
        <v>717</v>
      </c>
      <c r="I21" s="348" t="s">
        <v>719</v>
      </c>
      <c r="J21" s="349" t="s">
        <v>28</v>
      </c>
      <c r="K21" s="349" t="s">
        <v>108</v>
      </c>
      <c r="L21" s="350">
        <v>8</v>
      </c>
      <c r="M21" s="361" t="s">
        <v>278</v>
      </c>
      <c r="N21" s="291"/>
      <c r="O21" s="291"/>
      <c r="P21" s="291"/>
      <c r="Q21" s="291"/>
      <c r="R21" s="291"/>
      <c r="S21" s="291"/>
      <c r="T21" s="291"/>
      <c r="U21" s="291"/>
      <c r="V21" s="291"/>
      <c r="W21" s="291"/>
      <c r="X21" s="291"/>
      <c r="Y21" s="291"/>
      <c r="Z21" s="177">
        <f t="shared" si="2"/>
        <v>0</v>
      </c>
      <c r="AA21" s="7">
        <f t="shared" si="3"/>
        <v>0</v>
      </c>
      <c r="AD21" s="286" t="s">
        <v>107</v>
      </c>
      <c r="AE21" s="16">
        <v>0</v>
      </c>
      <c r="AF21" s="16">
        <v>0</v>
      </c>
    </row>
    <row r="22" spans="2:32" hidden="1">
      <c r="B22" s="395">
        <v>44896</v>
      </c>
      <c r="C22" s="20"/>
      <c r="D22" s="284"/>
      <c r="E22" s="147"/>
      <c r="F22" s="286" t="s">
        <v>107</v>
      </c>
      <c r="G22" s="286" t="s">
        <v>394</v>
      </c>
      <c r="H22" s="348" t="s">
        <v>20</v>
      </c>
      <c r="I22" s="349" t="s">
        <v>720</v>
      </c>
      <c r="J22" s="349" t="s">
        <v>28</v>
      </c>
      <c r="K22" s="349" t="s">
        <v>108</v>
      </c>
      <c r="L22" s="350">
        <v>8</v>
      </c>
      <c r="M22" s="361" t="s">
        <v>250</v>
      </c>
      <c r="N22" s="291"/>
      <c r="O22" s="291"/>
      <c r="P22" s="291"/>
      <c r="Q22" s="291"/>
      <c r="R22" s="291"/>
      <c r="S22" s="291"/>
      <c r="T22" s="291"/>
      <c r="U22" s="291"/>
      <c r="V22" s="291"/>
      <c r="W22" s="291"/>
      <c r="X22" s="291"/>
      <c r="Y22" s="291"/>
      <c r="Z22" s="177">
        <f t="shared" si="2"/>
        <v>0</v>
      </c>
      <c r="AA22" s="7">
        <f t="shared" si="3"/>
        <v>0</v>
      </c>
      <c r="AD22" s="286" t="s">
        <v>107</v>
      </c>
      <c r="AE22" s="16">
        <v>1600</v>
      </c>
      <c r="AF22" s="16">
        <v>0</v>
      </c>
    </row>
    <row r="23" spans="2:32">
      <c r="B23" s="395"/>
      <c r="C23" s="20"/>
      <c r="D23" s="284"/>
      <c r="E23" s="147"/>
      <c r="F23" s="286" t="s">
        <v>107</v>
      </c>
      <c r="G23" s="286" t="s">
        <v>394</v>
      </c>
      <c r="H23" s="284" t="s">
        <v>20</v>
      </c>
      <c r="I23" s="287" t="s">
        <v>760</v>
      </c>
      <c r="J23" s="287" t="s">
        <v>28</v>
      </c>
      <c r="K23" s="287" t="s">
        <v>108</v>
      </c>
      <c r="L23" s="180">
        <v>8</v>
      </c>
      <c r="M23" s="362" t="s">
        <v>915</v>
      </c>
      <c r="N23" s="291"/>
      <c r="O23" s="340">
        <f>1100-60</f>
        <v>1040</v>
      </c>
      <c r="P23" s="291">
        <v>700</v>
      </c>
      <c r="Q23" s="291"/>
      <c r="R23" s="291"/>
      <c r="S23" s="291"/>
      <c r="T23" s="291"/>
      <c r="U23" s="291"/>
      <c r="V23" s="291"/>
      <c r="W23" s="291"/>
      <c r="X23" s="291"/>
      <c r="Y23" s="291"/>
      <c r="Z23" s="177">
        <f t="shared" si="2"/>
        <v>13920</v>
      </c>
      <c r="AA23" s="7">
        <f t="shared" si="3"/>
        <v>1740</v>
      </c>
      <c r="AD23" s="286"/>
    </row>
    <row r="24" spans="2:32" ht="13.8" hidden="1">
      <c r="C24" s="20"/>
      <c r="D24" s="284"/>
      <c r="E24" s="147"/>
      <c r="F24" s="286" t="s">
        <v>107</v>
      </c>
      <c r="G24" s="286" t="s">
        <v>394</v>
      </c>
      <c r="H24" s="284" t="s">
        <v>20</v>
      </c>
      <c r="I24" s="284" t="s">
        <v>722</v>
      </c>
      <c r="J24" s="287" t="s">
        <v>28</v>
      </c>
      <c r="K24" s="287" t="s">
        <v>108</v>
      </c>
      <c r="L24" s="180">
        <v>8</v>
      </c>
      <c r="M24" s="362"/>
      <c r="N24" s="291"/>
      <c r="O24" s="340"/>
      <c r="P24" s="340"/>
      <c r="Q24" s="291"/>
      <c r="R24" s="291"/>
      <c r="S24" s="291"/>
      <c r="T24" s="291"/>
      <c r="U24" s="291"/>
      <c r="V24" s="291"/>
      <c r="W24" s="291"/>
      <c r="X24" s="291"/>
      <c r="Y24" s="291"/>
      <c r="Z24" s="177">
        <f t="shared" si="2"/>
        <v>0</v>
      </c>
      <c r="AA24" s="7">
        <f t="shared" si="3"/>
        <v>0</v>
      </c>
      <c r="AD24" s="286" t="s">
        <v>107</v>
      </c>
      <c r="AE24" s="16">
        <v>0</v>
      </c>
      <c r="AF24" s="16">
        <v>0</v>
      </c>
    </row>
    <row r="25" spans="2:32" ht="15.6" hidden="1">
      <c r="B25" s="395">
        <v>45017</v>
      </c>
      <c r="C25" s="315"/>
      <c r="D25" s="174" t="s">
        <v>22</v>
      </c>
      <c r="E25" s="181">
        <f>SUM(N25:Y25)</f>
        <v>700</v>
      </c>
      <c r="F25" s="183" t="s">
        <v>107</v>
      </c>
      <c r="G25" s="183" t="s">
        <v>297</v>
      </c>
      <c r="H25" s="181"/>
      <c r="I25" s="182"/>
      <c r="J25" s="182"/>
      <c r="K25" s="182" t="s">
        <v>121</v>
      </c>
      <c r="L25" s="306"/>
      <c r="M25" s="358"/>
      <c r="N25" s="181">
        <f>SUMIFS('FCST data'!Q:Q,'FCST data'!$D:$D,$F25,'FCST data'!$K:$K,$G25,'FCST data'!$L:$L,$K25)</f>
        <v>200</v>
      </c>
      <c r="O25" s="181">
        <f>SUMIFS('FCST data'!R:R,'FCST data'!$D:$D,$F25,'FCST data'!$K:$K,$G25,'FCST data'!$L:$L,$K25)</f>
        <v>500</v>
      </c>
      <c r="P25" s="181">
        <f>SUMIFS('FCST data'!S:S,'FCST data'!$D:$D,$F25,'FCST data'!$K:$K,$G25,'FCST data'!$L:$L,$K25)</f>
        <v>0</v>
      </c>
      <c r="Q25" s="181">
        <f>SUMIFS('FCST data'!T:T,'FCST data'!$D:$D,$F25,'FCST data'!$K:$K,$G25,'FCST data'!$L:$L,$K25)</f>
        <v>0</v>
      </c>
      <c r="R25" s="181">
        <f>SUMIFS('FCST data'!U:U,'FCST data'!$D:$D,$F25,'FCST data'!$K:$K,$G25,'FCST data'!$L:$L,$K25)</f>
        <v>0</v>
      </c>
      <c r="S25" s="181">
        <f>SUMIFS('FCST data'!V:V,'FCST data'!$D:$D,$F25,'FCST data'!$K:$K,$G25,'FCST data'!$L:$L,$K25)</f>
        <v>0</v>
      </c>
      <c r="T25" s="181">
        <f>SUMIFS('FCST data'!W:W,'FCST data'!$D:$D,$F25,'FCST data'!$K:$K,$G25,'FCST data'!$L:$L,$K25)</f>
        <v>0</v>
      </c>
      <c r="U25" s="181">
        <f>SUMIFS('FCST data'!X:X,'FCST data'!$D:$D,$F25,'FCST data'!$K:$K,$G25,'FCST data'!$L:$L,$K25)</f>
        <v>0</v>
      </c>
      <c r="V25" s="181">
        <f>SUMIFS('FCST data'!Y:Y,'FCST data'!$D:$D,$F25,'FCST data'!$K:$K,$G25,'FCST data'!$L:$L,$K25)</f>
        <v>0</v>
      </c>
      <c r="W25" s="181">
        <f>SUMIFS('FCST data'!Z:Z,'FCST data'!$D:$D,$F25,'FCST data'!$K:$K,$G25,'FCST data'!$L:$L,$K25)</f>
        <v>0</v>
      </c>
      <c r="X25" s="181">
        <f>SUMIFS('FCST data'!AA:AA,'FCST data'!$D:$D,$F25,'FCST data'!$K:$K,$G25,'FCST data'!$L:$L,$K25)</f>
        <v>0</v>
      </c>
      <c r="Y25" s="181">
        <f>SUMIFS('FCST data'!AB:AB,'FCST data'!$D:$D,$F25,'FCST data'!$K:$K,$G25,'FCST data'!$L:$L,$K25)</f>
        <v>0</v>
      </c>
      <c r="Z25" s="148"/>
      <c r="AA25" s="44"/>
      <c r="AC25" s="16">
        <f>E25-SUM(AA26:AB29)</f>
        <v>0</v>
      </c>
      <c r="AD25" s="183" t="s">
        <v>107</v>
      </c>
      <c r="AE25" s="16">
        <v>0</v>
      </c>
      <c r="AF25" s="16">
        <v>0</v>
      </c>
    </row>
    <row r="26" spans="2:32" ht="20.399999999999999" hidden="1">
      <c r="C26" s="20"/>
      <c r="D26" s="195"/>
      <c r="E26" s="197"/>
      <c r="F26" s="286" t="s">
        <v>107</v>
      </c>
      <c r="G26" s="286" t="s">
        <v>297</v>
      </c>
      <c r="H26" s="284" t="s">
        <v>715</v>
      </c>
      <c r="I26" s="287" t="s">
        <v>718</v>
      </c>
      <c r="J26" s="126" t="s">
        <v>119</v>
      </c>
      <c r="K26" s="287" t="s">
        <v>301</v>
      </c>
      <c r="L26" s="180">
        <v>4</v>
      </c>
      <c r="M26" s="359" t="s">
        <v>545</v>
      </c>
      <c r="N26" s="291"/>
      <c r="O26" s="291"/>
      <c r="P26" s="291"/>
      <c r="Q26" s="291"/>
      <c r="R26" s="291"/>
      <c r="S26" s="291"/>
      <c r="T26" s="291"/>
      <c r="U26" s="291"/>
      <c r="V26" s="291"/>
      <c r="W26" s="291"/>
      <c r="X26" s="291"/>
      <c r="Y26" s="291"/>
      <c r="Z26" s="177">
        <f>SUM(N26:Y26)</f>
        <v>0</v>
      </c>
      <c r="AA26" s="7" t="s">
        <v>396</v>
      </c>
      <c r="AB26" s="16">
        <f>Z26/L26</f>
        <v>0</v>
      </c>
      <c r="AD26" s="286" t="s">
        <v>107</v>
      </c>
      <c r="AF26" s="16">
        <v>0</v>
      </c>
    </row>
    <row r="27" spans="2:32" ht="15.6" hidden="1">
      <c r="C27" s="20"/>
      <c r="D27" s="195"/>
      <c r="E27" s="197"/>
      <c r="F27" s="286" t="s">
        <v>107</v>
      </c>
      <c r="G27" s="286" t="s">
        <v>297</v>
      </c>
      <c r="H27" s="284" t="s">
        <v>20</v>
      </c>
      <c r="I27" s="287" t="s">
        <v>422</v>
      </c>
      <c r="J27" s="287" t="s">
        <v>28</v>
      </c>
      <c r="K27" s="287" t="s">
        <v>280</v>
      </c>
      <c r="L27" s="299">
        <v>4</v>
      </c>
      <c r="M27" s="360" t="s">
        <v>423</v>
      </c>
      <c r="N27" s="291">
        <v>200</v>
      </c>
      <c r="O27" s="291">
        <v>500</v>
      </c>
      <c r="P27" s="291">
        <v>0</v>
      </c>
      <c r="Q27" s="291"/>
      <c r="R27" s="291"/>
      <c r="S27" s="291"/>
      <c r="T27" s="291"/>
      <c r="U27" s="291"/>
      <c r="V27" s="291"/>
      <c r="W27" s="291"/>
      <c r="X27" s="291"/>
      <c r="Y27" s="291"/>
      <c r="Z27" s="177">
        <f t="shared" ref="Z27:Z29" si="4">SUM(N27:Y27)*L27</f>
        <v>2800</v>
      </c>
      <c r="AA27" s="7">
        <f t="shared" ref="AA27:AA29" si="5">SUM(N27:Y27)</f>
        <v>700</v>
      </c>
      <c r="AD27" s="286" t="s">
        <v>107</v>
      </c>
      <c r="AE27" s="16">
        <v>700</v>
      </c>
      <c r="AF27" s="16">
        <v>0</v>
      </c>
    </row>
    <row r="28" spans="2:32" ht="15.6" hidden="1">
      <c r="C28" s="20"/>
      <c r="D28" s="195"/>
      <c r="E28" s="197"/>
      <c r="F28" s="286" t="s">
        <v>107</v>
      </c>
      <c r="G28" s="286" t="s">
        <v>297</v>
      </c>
      <c r="H28" s="284" t="s">
        <v>20</v>
      </c>
      <c r="I28" s="287" t="s">
        <v>760</v>
      </c>
      <c r="J28" s="287" t="s">
        <v>28</v>
      </c>
      <c r="K28" s="287" t="s">
        <v>280</v>
      </c>
      <c r="L28" s="299">
        <v>4</v>
      </c>
      <c r="M28" s="360" t="s">
        <v>759</v>
      </c>
      <c r="N28" s="34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177">
        <f t="shared" si="4"/>
        <v>0</v>
      </c>
      <c r="AA28" s="7">
        <f t="shared" si="5"/>
        <v>0</v>
      </c>
      <c r="AD28" s="286" t="s">
        <v>107</v>
      </c>
      <c r="AE28" s="16">
        <v>0</v>
      </c>
      <c r="AF28" s="16">
        <v>0</v>
      </c>
    </row>
    <row r="29" spans="2:32" ht="15.6" hidden="1">
      <c r="C29" s="20"/>
      <c r="D29" s="195"/>
      <c r="E29" s="197"/>
      <c r="F29" s="286" t="s">
        <v>107</v>
      </c>
      <c r="G29" s="286" t="s">
        <v>297</v>
      </c>
      <c r="H29" s="284" t="s">
        <v>20</v>
      </c>
      <c r="I29" s="287" t="s">
        <v>133</v>
      </c>
      <c r="J29" s="287" t="s">
        <v>28</v>
      </c>
      <c r="K29" s="287" t="s">
        <v>280</v>
      </c>
      <c r="L29" s="299">
        <v>4</v>
      </c>
      <c r="M29" s="360"/>
      <c r="N29" s="291"/>
      <c r="O29" s="291"/>
      <c r="P29" s="291"/>
      <c r="Q29" s="291"/>
      <c r="R29" s="291"/>
      <c r="S29" s="291"/>
      <c r="T29" s="291"/>
      <c r="U29" s="291"/>
      <c r="V29" s="291"/>
      <c r="W29" s="291"/>
      <c r="X29" s="291"/>
      <c r="Y29" s="291"/>
      <c r="Z29" s="177">
        <f t="shared" si="4"/>
        <v>0</v>
      </c>
      <c r="AA29" s="7">
        <f t="shared" si="5"/>
        <v>0</v>
      </c>
      <c r="AD29" s="286" t="s">
        <v>107</v>
      </c>
      <c r="AE29" s="16">
        <v>0</v>
      </c>
      <c r="AF29" s="16">
        <v>0</v>
      </c>
    </row>
    <row r="30" spans="2:32" ht="15.6" hidden="1">
      <c r="B30" s="395">
        <v>45017</v>
      </c>
      <c r="C30" s="315"/>
      <c r="D30" s="174" t="s">
        <v>22</v>
      </c>
      <c r="E30" s="181">
        <f>SUM(N30:Y30)</f>
        <v>22350</v>
      </c>
      <c r="F30" s="183" t="s">
        <v>107</v>
      </c>
      <c r="G30" s="183" t="s">
        <v>297</v>
      </c>
      <c r="H30" s="181"/>
      <c r="I30" s="182"/>
      <c r="J30" s="182"/>
      <c r="K30" s="182" t="s">
        <v>108</v>
      </c>
      <c r="L30" s="306"/>
      <c r="M30" s="358"/>
      <c r="N30" s="181">
        <f>SUMIFS('FCST data'!Q:Q,'FCST data'!$D:$D,$F30,'FCST data'!$K:$K,$G30,'FCST data'!$L:$L,$K30)</f>
        <v>5300</v>
      </c>
      <c r="O30" s="181">
        <f>SUMIFS('FCST data'!R:R,'FCST data'!$D:$D,$F30,'FCST data'!$K:$K,$G30,'FCST data'!$L:$L,$K30)</f>
        <v>3300</v>
      </c>
      <c r="P30" s="181">
        <f>SUMIFS('FCST data'!S:S,'FCST data'!$D:$D,$F30,'FCST data'!$K:$K,$G30,'FCST data'!$L:$L,$K30)</f>
        <v>8000</v>
      </c>
      <c r="Q30" s="181">
        <f>SUMIFS('FCST data'!T:T,'FCST data'!$D:$D,$F30,'FCST data'!$K:$K,$G30,'FCST data'!$L:$L,$K30)</f>
        <v>5750</v>
      </c>
      <c r="R30" s="181">
        <f>SUMIFS('FCST data'!U:U,'FCST data'!$D:$D,$F30,'FCST data'!$K:$K,$G30,'FCST data'!$L:$L,$K30)</f>
        <v>0</v>
      </c>
      <c r="S30" s="181">
        <f>SUMIFS('FCST data'!V:V,'FCST data'!$D:$D,$F30,'FCST data'!$K:$K,$G30,'FCST data'!$L:$L,$K30)</f>
        <v>0</v>
      </c>
      <c r="T30" s="181">
        <f>SUMIFS('FCST data'!W:W,'FCST data'!$D:$D,$F30,'FCST data'!$K:$K,$G30,'FCST data'!$L:$L,$K30)</f>
        <v>0</v>
      </c>
      <c r="U30" s="181">
        <f>SUMIFS('FCST data'!X:X,'FCST data'!$D:$D,$F30,'FCST data'!$K:$K,$G30,'FCST data'!$L:$L,$K30)</f>
        <v>0</v>
      </c>
      <c r="V30" s="181">
        <f>SUMIFS('FCST data'!Y:Y,'FCST data'!$D:$D,$F30,'FCST data'!$K:$K,$G30,'FCST data'!$L:$L,$K30)</f>
        <v>0</v>
      </c>
      <c r="W30" s="181">
        <f>SUMIFS('FCST data'!Z:Z,'FCST data'!$D:$D,$F30,'FCST data'!$K:$K,$G30,'FCST data'!$L:$L,$K30)</f>
        <v>0</v>
      </c>
      <c r="X30" s="181">
        <f>SUMIFS('FCST data'!AA:AA,'FCST data'!$D:$D,$F30,'FCST data'!$K:$K,$G30,'FCST data'!$L:$L,$K30)</f>
        <v>0</v>
      </c>
      <c r="Y30" s="181">
        <f>SUMIFS('FCST data'!AB:AB,'FCST data'!$D:$D,$F30,'FCST data'!$K:$K,$G30,'FCST data'!$L:$L,$K30)</f>
        <v>0</v>
      </c>
      <c r="Z30" s="148"/>
      <c r="AA30" s="44"/>
      <c r="AC30" s="16">
        <f>E30-SUM(AA31:AB35)</f>
        <v>0</v>
      </c>
      <c r="AD30" s="183" t="s">
        <v>107</v>
      </c>
      <c r="AE30" s="16">
        <v>0</v>
      </c>
      <c r="AF30" s="16">
        <v>0</v>
      </c>
    </row>
    <row r="31" spans="2:32" s="1" customFormat="1" ht="20.399999999999999" hidden="1">
      <c r="C31" s="18"/>
      <c r="D31" s="195"/>
      <c r="E31" s="197"/>
      <c r="F31" s="286" t="s">
        <v>107</v>
      </c>
      <c r="G31" s="286" t="s">
        <v>297</v>
      </c>
      <c r="H31" s="284" t="s">
        <v>715</v>
      </c>
      <c r="I31" s="287" t="s">
        <v>718</v>
      </c>
      <c r="J31" s="287" t="s">
        <v>28</v>
      </c>
      <c r="K31" s="287" t="s">
        <v>282</v>
      </c>
      <c r="L31" s="180">
        <v>8</v>
      </c>
      <c r="M31" s="359" t="s">
        <v>546</v>
      </c>
      <c r="N31" s="291">
        <v>5300</v>
      </c>
      <c r="O31" s="291"/>
      <c r="P31" s="291"/>
      <c r="Q31" s="291"/>
      <c r="R31" s="340"/>
      <c r="S31" s="291"/>
      <c r="T31" s="291"/>
      <c r="U31" s="291"/>
      <c r="V31" s="291"/>
      <c r="W31" s="291"/>
      <c r="X31" s="291"/>
      <c r="Y31" s="291"/>
      <c r="Z31" s="177">
        <f t="shared" ref="Z31:Z35" si="6">SUM(N31:Y31)*L31</f>
        <v>42400</v>
      </c>
      <c r="AA31" s="7">
        <f t="shared" ref="AA31:AA35" si="7">SUM(N31:Y31)</f>
        <v>5300</v>
      </c>
      <c r="AD31" s="286" t="s">
        <v>107</v>
      </c>
      <c r="AE31" s="16">
        <v>0</v>
      </c>
      <c r="AF31" s="16">
        <v>0</v>
      </c>
    </row>
    <row r="32" spans="2:32" s="1" customFormat="1" ht="15.6" hidden="1">
      <c r="C32" s="18"/>
      <c r="D32" s="195"/>
      <c r="E32" s="197"/>
      <c r="F32" s="286" t="s">
        <v>107</v>
      </c>
      <c r="G32" s="286" t="s">
        <v>297</v>
      </c>
      <c r="H32" s="348" t="s">
        <v>717</v>
      </c>
      <c r="I32" s="348" t="s">
        <v>719</v>
      </c>
      <c r="J32" s="349" t="s">
        <v>28</v>
      </c>
      <c r="K32" s="349" t="s">
        <v>108</v>
      </c>
      <c r="L32" s="350">
        <v>8</v>
      </c>
      <c r="M32" s="361" t="s">
        <v>278</v>
      </c>
      <c r="N32" s="291"/>
      <c r="O32" s="291"/>
      <c r="P32" s="291"/>
      <c r="Q32" s="291"/>
      <c r="R32" s="291"/>
      <c r="S32" s="291"/>
      <c r="T32" s="291"/>
      <c r="U32" s="291"/>
      <c r="V32" s="291"/>
      <c r="W32" s="291"/>
      <c r="X32" s="291"/>
      <c r="Y32" s="291"/>
      <c r="Z32" s="177">
        <f t="shared" si="6"/>
        <v>0</v>
      </c>
      <c r="AA32" s="7">
        <f t="shared" si="7"/>
        <v>0</v>
      </c>
      <c r="AD32" s="286" t="s">
        <v>107</v>
      </c>
      <c r="AE32" s="16">
        <v>0</v>
      </c>
      <c r="AF32" s="16">
        <v>0</v>
      </c>
    </row>
    <row r="33" spans="2:32" s="1" customFormat="1" ht="15.6" hidden="1">
      <c r="B33" s="395">
        <v>44896</v>
      </c>
      <c r="C33" s="18"/>
      <c r="D33" s="195"/>
      <c r="E33" s="197"/>
      <c r="F33" s="286" t="s">
        <v>107</v>
      </c>
      <c r="G33" s="286" t="s">
        <v>297</v>
      </c>
      <c r="H33" s="348" t="s">
        <v>20</v>
      </c>
      <c r="I33" s="349" t="s">
        <v>720</v>
      </c>
      <c r="J33" s="349" t="s">
        <v>28</v>
      </c>
      <c r="K33" s="349" t="s">
        <v>108</v>
      </c>
      <c r="L33" s="350">
        <v>8</v>
      </c>
      <c r="M33" s="361" t="s">
        <v>250</v>
      </c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177">
        <f t="shared" si="6"/>
        <v>0</v>
      </c>
      <c r="AA33" s="7">
        <f t="shared" si="7"/>
        <v>0</v>
      </c>
      <c r="AD33" s="286" t="s">
        <v>107</v>
      </c>
      <c r="AE33" s="16">
        <v>3300</v>
      </c>
      <c r="AF33" s="16">
        <v>0</v>
      </c>
    </row>
    <row r="34" spans="2:32" s="1" customFormat="1" ht="15.6">
      <c r="B34" s="395"/>
      <c r="C34" s="18"/>
      <c r="D34" s="195"/>
      <c r="E34" s="197"/>
      <c r="F34" s="286" t="s">
        <v>107</v>
      </c>
      <c r="G34" s="286" t="s">
        <v>297</v>
      </c>
      <c r="H34" s="284" t="s">
        <v>20</v>
      </c>
      <c r="I34" s="287" t="s">
        <v>760</v>
      </c>
      <c r="J34" s="287" t="s">
        <v>28</v>
      </c>
      <c r="K34" s="287" t="s">
        <v>108</v>
      </c>
      <c r="L34" s="180">
        <v>8</v>
      </c>
      <c r="M34" s="362" t="s">
        <v>915</v>
      </c>
      <c r="N34" s="291"/>
      <c r="O34" s="291">
        <v>3300</v>
      </c>
      <c r="P34" s="291">
        <v>8000</v>
      </c>
      <c r="Q34" s="291">
        <v>5750</v>
      </c>
      <c r="R34" s="291"/>
      <c r="S34" s="291"/>
      <c r="T34" s="291"/>
      <c r="U34" s="291"/>
      <c r="V34" s="291"/>
      <c r="W34" s="291"/>
      <c r="X34" s="291"/>
      <c r="Y34" s="291"/>
      <c r="Z34" s="177">
        <f t="shared" si="6"/>
        <v>136400</v>
      </c>
      <c r="AA34" s="7">
        <f t="shared" si="7"/>
        <v>17050</v>
      </c>
      <c r="AD34" s="286"/>
      <c r="AE34" s="16"/>
      <c r="AF34" s="16"/>
    </row>
    <row r="35" spans="2:32" s="1" customFormat="1" ht="15.6" hidden="1">
      <c r="C35" s="18"/>
      <c r="D35" s="195"/>
      <c r="E35" s="197"/>
      <c r="F35" s="286" t="s">
        <v>107</v>
      </c>
      <c r="G35" s="286" t="s">
        <v>297</v>
      </c>
      <c r="H35" s="284" t="s">
        <v>20</v>
      </c>
      <c r="I35" s="284" t="s">
        <v>133</v>
      </c>
      <c r="J35" s="287" t="s">
        <v>28</v>
      </c>
      <c r="K35" s="287" t="s">
        <v>108</v>
      </c>
      <c r="L35" s="180">
        <v>8</v>
      </c>
      <c r="M35" s="362"/>
      <c r="N35" s="291"/>
      <c r="O35" s="291"/>
      <c r="P35" s="291"/>
      <c r="Q35" s="291"/>
      <c r="R35" s="340"/>
      <c r="S35" s="291"/>
      <c r="T35" s="291"/>
      <c r="U35" s="291"/>
      <c r="V35" s="291"/>
      <c r="W35" s="291"/>
      <c r="X35" s="291"/>
      <c r="Y35" s="291"/>
      <c r="Z35" s="177">
        <f t="shared" si="6"/>
        <v>0</v>
      </c>
      <c r="AA35" s="7">
        <f t="shared" si="7"/>
        <v>0</v>
      </c>
      <c r="AD35" s="286" t="s">
        <v>107</v>
      </c>
      <c r="AE35" s="16">
        <v>0</v>
      </c>
      <c r="AF35" s="16">
        <v>0</v>
      </c>
    </row>
    <row r="36" spans="2:32" ht="15.6" hidden="1">
      <c r="B36" s="395" t="s">
        <v>892</v>
      </c>
      <c r="C36" s="315"/>
      <c r="D36" s="174" t="s">
        <v>22</v>
      </c>
      <c r="E36" s="181">
        <f>SUM(N36:Y36)</f>
        <v>2650</v>
      </c>
      <c r="F36" s="183" t="s">
        <v>110</v>
      </c>
      <c r="G36" s="183" t="s">
        <v>297</v>
      </c>
      <c r="H36" s="181"/>
      <c r="I36" s="182"/>
      <c r="J36" s="182"/>
      <c r="K36" s="182" t="s">
        <v>108</v>
      </c>
      <c r="L36" s="306"/>
      <c r="M36" s="358"/>
      <c r="N36" s="181">
        <f>SUMIFS('FCST data'!Q:Q,'FCST data'!$D:$D,$F36,'FCST data'!$K:$K,$G36,'FCST data'!$L:$L,$K36)</f>
        <v>700</v>
      </c>
      <c r="O36" s="181">
        <f>SUMIFS('FCST data'!R:R,'FCST data'!$D:$D,$F36,'FCST data'!$K:$K,$G36,'FCST data'!$L:$L,$K36)</f>
        <v>1000</v>
      </c>
      <c r="P36" s="181">
        <f>SUMIFS('FCST data'!S:S,'FCST data'!$D:$D,$F36,'FCST data'!$K:$K,$G36,'FCST data'!$L:$L,$K36)</f>
        <v>950</v>
      </c>
      <c r="Q36" s="181">
        <f>SUMIFS('FCST data'!T:T,'FCST data'!$D:$D,$F36,'FCST data'!$K:$K,$G36,'FCST data'!$L:$L,$K36)</f>
        <v>0</v>
      </c>
      <c r="R36" s="181">
        <f>SUMIFS('FCST data'!U:U,'FCST data'!$D:$D,$F36,'FCST data'!$K:$K,$G36,'FCST data'!$L:$L,$K36)</f>
        <v>0</v>
      </c>
      <c r="S36" s="181">
        <f>SUMIFS('FCST data'!V:V,'FCST data'!$D:$D,$F36,'FCST data'!$K:$K,$G36,'FCST data'!$L:$L,$K36)</f>
        <v>0</v>
      </c>
      <c r="T36" s="181">
        <f>SUMIFS('FCST data'!W:W,'FCST data'!$D:$D,$F36,'FCST data'!$K:$K,$G36,'FCST data'!$L:$L,$K36)</f>
        <v>0</v>
      </c>
      <c r="U36" s="181">
        <f>SUMIFS('FCST data'!X:X,'FCST data'!$D:$D,$F36,'FCST data'!$K:$K,$G36,'FCST data'!$L:$L,$K36)</f>
        <v>0</v>
      </c>
      <c r="V36" s="181">
        <f>SUMIFS('FCST data'!Y:Y,'FCST data'!$D:$D,$F36,'FCST data'!$K:$K,$G36,'FCST data'!$L:$L,$K36)</f>
        <v>0</v>
      </c>
      <c r="W36" s="181">
        <f>SUMIFS('FCST data'!Z:Z,'FCST data'!$D:$D,$F36,'FCST data'!$K:$K,$G36,'FCST data'!$L:$L,$K36)</f>
        <v>0</v>
      </c>
      <c r="X36" s="181">
        <f>SUMIFS('FCST data'!AA:AA,'FCST data'!$D:$D,$F36,'FCST data'!$K:$K,$G36,'FCST data'!$L:$L,$K36)</f>
        <v>0</v>
      </c>
      <c r="Y36" s="181">
        <f>SUMIFS('FCST data'!AB:AB,'FCST data'!$D:$D,$F36,'FCST data'!$K:$K,$G36,'FCST data'!$L:$L,$K36)</f>
        <v>0</v>
      </c>
      <c r="Z36" s="148"/>
      <c r="AA36" s="44"/>
      <c r="AC36" s="16">
        <f>E36-SUM(AA37:AB42)</f>
        <v>0</v>
      </c>
      <c r="AD36" s="183" t="s">
        <v>110</v>
      </c>
      <c r="AE36" s="16">
        <v>0</v>
      </c>
      <c r="AF36" s="16">
        <v>0</v>
      </c>
    </row>
    <row r="37" spans="2:32" ht="13.8" hidden="1">
      <c r="C37" s="20"/>
      <c r="D37" s="284"/>
      <c r="E37" s="285"/>
      <c r="F37" s="286" t="s">
        <v>110</v>
      </c>
      <c r="G37" s="286" t="s">
        <v>297</v>
      </c>
      <c r="H37" s="284" t="s">
        <v>715</v>
      </c>
      <c r="I37" s="287" t="s">
        <v>718</v>
      </c>
      <c r="J37" s="341" t="s">
        <v>454</v>
      </c>
      <c r="K37" s="287" t="s">
        <v>455</v>
      </c>
      <c r="L37" s="299">
        <v>2</v>
      </c>
      <c r="M37" s="360" t="s">
        <v>561</v>
      </c>
      <c r="N37" s="291">
        <f t="shared" ref="N37:Y37" si="8">N36*$L$37</f>
        <v>1400</v>
      </c>
      <c r="O37" s="291">
        <f t="shared" si="8"/>
        <v>2000</v>
      </c>
      <c r="P37" s="291">
        <f t="shared" si="8"/>
        <v>1900</v>
      </c>
      <c r="Q37" s="291">
        <f t="shared" si="8"/>
        <v>0</v>
      </c>
      <c r="R37" s="291">
        <f t="shared" si="8"/>
        <v>0</v>
      </c>
      <c r="S37" s="291">
        <f t="shared" si="8"/>
        <v>0</v>
      </c>
      <c r="T37" s="291">
        <f t="shared" si="8"/>
        <v>0</v>
      </c>
      <c r="U37" s="291">
        <f t="shared" si="8"/>
        <v>0</v>
      </c>
      <c r="V37" s="291">
        <f t="shared" si="8"/>
        <v>0</v>
      </c>
      <c r="W37" s="291">
        <f t="shared" si="8"/>
        <v>0</v>
      </c>
      <c r="X37" s="291">
        <f t="shared" si="8"/>
        <v>0</v>
      </c>
      <c r="Y37" s="291">
        <f t="shared" si="8"/>
        <v>0</v>
      </c>
      <c r="Z37" s="177">
        <f>SUM(N37:Y37)</f>
        <v>5300</v>
      </c>
      <c r="AA37" s="7" t="s">
        <v>396</v>
      </c>
      <c r="AD37" s="286" t="s">
        <v>110</v>
      </c>
      <c r="AF37" s="16">
        <v>0</v>
      </c>
    </row>
    <row r="38" spans="2:32" ht="20.399999999999999" hidden="1">
      <c r="C38" s="20"/>
      <c r="D38" s="284"/>
      <c r="E38" s="285"/>
      <c r="F38" s="286" t="s">
        <v>110</v>
      </c>
      <c r="G38" s="286" t="s">
        <v>297</v>
      </c>
      <c r="H38" s="284" t="s">
        <v>715</v>
      </c>
      <c r="I38" s="287" t="s">
        <v>718</v>
      </c>
      <c r="J38" s="287" t="s">
        <v>28</v>
      </c>
      <c r="K38" s="287" t="s">
        <v>282</v>
      </c>
      <c r="L38" s="180">
        <v>8</v>
      </c>
      <c r="M38" s="359" t="s">
        <v>546</v>
      </c>
      <c r="N38" s="291">
        <v>700</v>
      </c>
      <c r="O38" s="340">
        <v>60</v>
      </c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177">
        <f t="shared" ref="Z38:Z42" si="9">SUM(N38:Y38)*L38</f>
        <v>6080</v>
      </c>
      <c r="AA38" s="7">
        <f t="shared" ref="AA38:AA42" si="10">SUM(N38:Y38)</f>
        <v>760</v>
      </c>
      <c r="AD38" s="286" t="s">
        <v>110</v>
      </c>
      <c r="AE38" s="16">
        <v>0</v>
      </c>
      <c r="AF38" s="16">
        <v>0</v>
      </c>
    </row>
    <row r="39" spans="2:32" ht="13.8" hidden="1">
      <c r="C39" s="20"/>
      <c r="D39" s="284"/>
      <c r="E39" s="285"/>
      <c r="F39" s="286" t="s">
        <v>110</v>
      </c>
      <c r="G39" s="286" t="s">
        <v>297</v>
      </c>
      <c r="H39" s="348" t="s">
        <v>717</v>
      </c>
      <c r="I39" s="348" t="s">
        <v>719</v>
      </c>
      <c r="J39" s="349" t="s">
        <v>28</v>
      </c>
      <c r="K39" s="349" t="s">
        <v>108</v>
      </c>
      <c r="L39" s="350">
        <v>8</v>
      </c>
      <c r="M39" s="361" t="s">
        <v>278</v>
      </c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177">
        <f t="shared" si="9"/>
        <v>0</v>
      </c>
      <c r="AA39" s="7">
        <f t="shared" si="10"/>
        <v>0</v>
      </c>
      <c r="AD39" s="286" t="s">
        <v>110</v>
      </c>
      <c r="AE39" s="16">
        <v>0</v>
      </c>
      <c r="AF39" s="16">
        <v>0</v>
      </c>
    </row>
    <row r="40" spans="2:32" hidden="1">
      <c r="B40" s="395">
        <v>44896</v>
      </c>
      <c r="C40" s="20"/>
      <c r="D40" s="284"/>
      <c r="E40" s="285"/>
      <c r="F40" s="286" t="s">
        <v>451</v>
      </c>
      <c r="G40" s="286" t="s">
        <v>297</v>
      </c>
      <c r="H40" s="348" t="s">
        <v>20</v>
      </c>
      <c r="I40" s="349" t="s">
        <v>720</v>
      </c>
      <c r="J40" s="349" t="s">
        <v>28</v>
      </c>
      <c r="K40" s="349" t="s">
        <v>108</v>
      </c>
      <c r="L40" s="350">
        <v>8</v>
      </c>
      <c r="M40" s="361" t="s">
        <v>250</v>
      </c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177">
        <f t="shared" si="9"/>
        <v>0</v>
      </c>
      <c r="AA40" s="7">
        <f t="shared" si="10"/>
        <v>0</v>
      </c>
      <c r="AD40" s="286" t="s">
        <v>110</v>
      </c>
      <c r="AE40" s="16">
        <v>1700</v>
      </c>
      <c r="AF40" s="16">
        <v>0</v>
      </c>
    </row>
    <row r="41" spans="2:32">
      <c r="B41" s="395"/>
      <c r="C41" s="20"/>
      <c r="D41" s="284"/>
      <c r="E41" s="285"/>
      <c r="F41" s="286" t="s">
        <v>451</v>
      </c>
      <c r="G41" s="286" t="s">
        <v>297</v>
      </c>
      <c r="H41" s="284" t="s">
        <v>20</v>
      </c>
      <c r="I41" s="287" t="s">
        <v>760</v>
      </c>
      <c r="J41" s="287" t="s">
        <v>28</v>
      </c>
      <c r="K41" s="287" t="s">
        <v>108</v>
      </c>
      <c r="L41" s="180">
        <v>8</v>
      </c>
      <c r="M41" s="362" t="s">
        <v>915</v>
      </c>
      <c r="N41" s="291"/>
      <c r="O41" s="340">
        <f>1000-60</f>
        <v>940</v>
      </c>
      <c r="P41" s="291">
        <v>950</v>
      </c>
      <c r="Q41" s="291"/>
      <c r="R41" s="291"/>
      <c r="S41" s="291"/>
      <c r="T41" s="291"/>
      <c r="U41" s="291"/>
      <c r="V41" s="291"/>
      <c r="W41" s="291"/>
      <c r="X41" s="291"/>
      <c r="Y41" s="291"/>
      <c r="Z41" s="177">
        <f t="shared" si="9"/>
        <v>15120</v>
      </c>
      <c r="AA41" s="7">
        <f t="shared" si="10"/>
        <v>1890</v>
      </c>
      <c r="AD41" s="286"/>
    </row>
    <row r="42" spans="2:32" ht="13.8" hidden="1">
      <c r="C42" s="20"/>
      <c r="D42" s="284"/>
      <c r="E42" s="285"/>
      <c r="F42" s="286" t="s">
        <v>110</v>
      </c>
      <c r="G42" s="286" t="s">
        <v>297</v>
      </c>
      <c r="H42" s="284" t="s">
        <v>20</v>
      </c>
      <c r="I42" s="284" t="s">
        <v>133</v>
      </c>
      <c r="J42" s="287" t="s">
        <v>28</v>
      </c>
      <c r="K42" s="287" t="s">
        <v>108</v>
      </c>
      <c r="L42" s="180">
        <v>8</v>
      </c>
      <c r="M42" s="362"/>
      <c r="N42" s="291"/>
      <c r="O42" s="340"/>
      <c r="P42" s="340"/>
      <c r="Q42" s="340"/>
      <c r="R42" s="291"/>
      <c r="S42" s="291"/>
      <c r="T42" s="291"/>
      <c r="U42" s="291"/>
      <c r="V42" s="291"/>
      <c r="W42" s="291"/>
      <c r="X42" s="291"/>
      <c r="Y42" s="291"/>
      <c r="Z42" s="177">
        <f t="shared" si="9"/>
        <v>0</v>
      </c>
      <c r="AA42" s="7">
        <f t="shared" si="10"/>
        <v>0</v>
      </c>
      <c r="AD42" s="286" t="s">
        <v>110</v>
      </c>
      <c r="AE42" s="16">
        <v>0</v>
      </c>
      <c r="AF42" s="16">
        <v>0</v>
      </c>
    </row>
    <row r="43" spans="2:32" ht="15.6" hidden="1">
      <c r="B43" s="395">
        <v>44986</v>
      </c>
      <c r="C43" s="315"/>
      <c r="D43" s="174" t="s">
        <v>22</v>
      </c>
      <c r="E43" s="181">
        <f>SUM(N43:Y43)</f>
        <v>150</v>
      </c>
      <c r="F43" s="183" t="s">
        <v>110</v>
      </c>
      <c r="G43" s="183" t="s">
        <v>297</v>
      </c>
      <c r="H43" s="181"/>
      <c r="I43" s="182"/>
      <c r="J43" s="182"/>
      <c r="K43" s="176" t="s">
        <v>276</v>
      </c>
      <c r="L43" s="311"/>
      <c r="M43" s="363"/>
      <c r="N43" s="181">
        <f>SUMIFS('FCST data'!Q:Q,'FCST data'!$D:$D,$F43,'FCST data'!$K:$K,$G43,'FCST data'!$L:$L,$K43)</f>
        <v>0</v>
      </c>
      <c r="O43" s="181">
        <f>SUMIFS('FCST data'!R:R,'FCST data'!$D:$D,$F43,'FCST data'!$K:$K,$G43,'FCST data'!$L:$L,$K43)</f>
        <v>50</v>
      </c>
      <c r="P43" s="181">
        <f>SUMIFS('FCST data'!S:S,'FCST data'!$D:$D,$F43,'FCST data'!$K:$K,$G43,'FCST data'!$L:$L,$K43)</f>
        <v>100</v>
      </c>
      <c r="Q43" s="181">
        <f>SUMIFS('FCST data'!T:T,'FCST data'!$D:$D,$F43,'FCST data'!$K:$K,$G43,'FCST data'!$L:$L,$K43)</f>
        <v>0</v>
      </c>
      <c r="R43" s="181">
        <f>SUMIFS('FCST data'!U:U,'FCST data'!$D:$D,$F43,'FCST data'!$K:$K,$G43,'FCST data'!$L:$L,$K43)</f>
        <v>0</v>
      </c>
      <c r="S43" s="181">
        <f>SUMIFS('FCST data'!V:V,'FCST data'!$D:$D,$F43,'FCST data'!$K:$K,$G43,'FCST data'!$L:$L,$K43)</f>
        <v>0</v>
      </c>
      <c r="T43" s="181">
        <f>SUMIFS('FCST data'!W:W,'FCST data'!$D:$D,$F43,'FCST data'!$K:$K,$G43,'FCST data'!$L:$L,$K43)</f>
        <v>0</v>
      </c>
      <c r="U43" s="181">
        <f>SUMIFS('FCST data'!X:X,'FCST data'!$D:$D,$F43,'FCST data'!$K:$K,$G43,'FCST data'!$L:$L,$K43)</f>
        <v>0</v>
      </c>
      <c r="V43" s="181">
        <f>SUMIFS('FCST data'!Y:Y,'FCST data'!$D:$D,$F43,'FCST data'!$K:$K,$G43,'FCST data'!$L:$L,$K43)</f>
        <v>0</v>
      </c>
      <c r="W43" s="181">
        <f>SUMIFS('FCST data'!Z:Z,'FCST data'!$D:$D,$F43,'FCST data'!$K:$K,$G43,'FCST data'!$L:$L,$K43)</f>
        <v>0</v>
      </c>
      <c r="X43" s="181">
        <f>SUMIFS('FCST data'!AA:AA,'FCST data'!$D:$D,$F43,'FCST data'!$K:$K,$G43,'FCST data'!$L:$L,$K43)</f>
        <v>0</v>
      </c>
      <c r="Y43" s="181">
        <f>SUMIFS('FCST data'!AB:AB,'FCST data'!$D:$D,$F43,'FCST data'!$K:$K,$G43,'FCST data'!$L:$L,$K43)</f>
        <v>0</v>
      </c>
      <c r="Z43" s="148"/>
      <c r="AA43" s="44"/>
      <c r="AC43" s="16">
        <f>E43-SUM(AA44:AB47)</f>
        <v>0</v>
      </c>
      <c r="AD43" s="183" t="s">
        <v>110</v>
      </c>
      <c r="AE43" s="16">
        <v>0</v>
      </c>
      <c r="AF43" s="16">
        <v>0</v>
      </c>
    </row>
    <row r="44" spans="2:32" ht="13.8" hidden="1">
      <c r="C44" s="20"/>
      <c r="D44" s="284"/>
      <c r="E44" s="285"/>
      <c r="F44" s="286" t="s">
        <v>110</v>
      </c>
      <c r="G44" s="286" t="s">
        <v>297</v>
      </c>
      <c r="H44" s="284" t="s">
        <v>715</v>
      </c>
      <c r="I44" s="287" t="s">
        <v>718</v>
      </c>
      <c r="J44" s="341" t="s">
        <v>454</v>
      </c>
      <c r="K44" s="287" t="s">
        <v>455</v>
      </c>
      <c r="L44" s="299">
        <v>2</v>
      </c>
      <c r="M44" s="360" t="s">
        <v>561</v>
      </c>
      <c r="N44" s="291">
        <f t="shared" ref="N44:Y44" si="11">N43*$L$44</f>
        <v>0</v>
      </c>
      <c r="O44" s="291">
        <f t="shared" si="11"/>
        <v>100</v>
      </c>
      <c r="P44" s="291">
        <f t="shared" si="11"/>
        <v>200</v>
      </c>
      <c r="Q44" s="291">
        <f t="shared" si="11"/>
        <v>0</v>
      </c>
      <c r="R44" s="291">
        <f t="shared" si="11"/>
        <v>0</v>
      </c>
      <c r="S44" s="291">
        <f t="shared" si="11"/>
        <v>0</v>
      </c>
      <c r="T44" s="291">
        <f t="shared" si="11"/>
        <v>0</v>
      </c>
      <c r="U44" s="291">
        <f t="shared" si="11"/>
        <v>0</v>
      </c>
      <c r="V44" s="291">
        <f t="shared" si="11"/>
        <v>0</v>
      </c>
      <c r="W44" s="291">
        <f t="shared" si="11"/>
        <v>0</v>
      </c>
      <c r="X44" s="291">
        <f t="shared" si="11"/>
        <v>0</v>
      </c>
      <c r="Y44" s="291">
        <f t="shared" si="11"/>
        <v>0</v>
      </c>
      <c r="Z44" s="177">
        <f>SUM(N44:Y44)</f>
        <v>300</v>
      </c>
      <c r="AA44" s="7" t="s">
        <v>396</v>
      </c>
      <c r="AD44" s="286" t="s">
        <v>110</v>
      </c>
      <c r="AF44" s="16">
        <v>0</v>
      </c>
    </row>
    <row r="45" spans="2:32" ht="20.399999999999999" hidden="1">
      <c r="C45" s="20"/>
      <c r="D45" s="284"/>
      <c r="E45" s="285"/>
      <c r="F45" s="286" t="s">
        <v>110</v>
      </c>
      <c r="G45" s="286" t="s">
        <v>297</v>
      </c>
      <c r="H45" s="284" t="s">
        <v>715</v>
      </c>
      <c r="I45" s="287" t="s">
        <v>718</v>
      </c>
      <c r="J45" s="284" t="s">
        <v>28</v>
      </c>
      <c r="K45" s="287" t="s">
        <v>282</v>
      </c>
      <c r="L45" s="180">
        <v>8</v>
      </c>
      <c r="M45" s="359" t="s">
        <v>546</v>
      </c>
      <c r="N45" s="291">
        <v>0</v>
      </c>
      <c r="O45" s="291">
        <v>50</v>
      </c>
      <c r="P45" s="291">
        <v>100</v>
      </c>
      <c r="Q45" s="340"/>
      <c r="R45" s="291"/>
      <c r="S45" s="291"/>
      <c r="T45" s="291"/>
      <c r="U45" s="291"/>
      <c r="V45" s="291"/>
      <c r="W45" s="291"/>
      <c r="X45" s="291"/>
      <c r="Y45" s="291"/>
      <c r="Z45" s="177">
        <f t="shared" ref="Z45:Z46" si="12">SUM(N45:Y45)*L45</f>
        <v>1200</v>
      </c>
      <c r="AA45" s="7">
        <f t="shared" ref="AA45:AA46" si="13">SUM(N45:Y45)</f>
        <v>150</v>
      </c>
      <c r="AD45" s="286" t="s">
        <v>110</v>
      </c>
      <c r="AE45" s="16">
        <v>0</v>
      </c>
      <c r="AF45" s="16">
        <v>0</v>
      </c>
    </row>
    <row r="46" spans="2:32" hidden="1">
      <c r="B46" s="395">
        <v>44896</v>
      </c>
      <c r="C46" s="20"/>
      <c r="D46" s="284"/>
      <c r="E46" s="285"/>
      <c r="F46" s="286" t="s">
        <v>110</v>
      </c>
      <c r="G46" s="286" t="s">
        <v>297</v>
      </c>
      <c r="H46" s="348" t="s">
        <v>20</v>
      </c>
      <c r="I46" s="349" t="s">
        <v>720</v>
      </c>
      <c r="J46" s="348" t="s">
        <v>28</v>
      </c>
      <c r="K46" s="349" t="s">
        <v>108</v>
      </c>
      <c r="L46" s="350">
        <v>8</v>
      </c>
      <c r="M46" s="361" t="s">
        <v>250</v>
      </c>
      <c r="N46" s="340"/>
      <c r="O46" s="340"/>
      <c r="P46" s="340"/>
      <c r="Q46" s="291"/>
      <c r="R46" s="291"/>
      <c r="S46" s="291"/>
      <c r="T46" s="291"/>
      <c r="U46" s="291"/>
      <c r="V46" s="291"/>
      <c r="W46" s="291"/>
      <c r="X46" s="291"/>
      <c r="Y46" s="291"/>
      <c r="Z46" s="177">
        <f t="shared" si="12"/>
        <v>0</v>
      </c>
      <c r="AA46" s="7">
        <f t="shared" si="13"/>
        <v>0</v>
      </c>
      <c r="AD46" s="286" t="s">
        <v>110</v>
      </c>
      <c r="AE46" s="16">
        <v>0</v>
      </c>
      <c r="AF46" s="16">
        <v>0</v>
      </c>
    </row>
    <row r="47" spans="2:32" ht="20.399999999999999" hidden="1">
      <c r="C47" s="20"/>
      <c r="D47" s="284"/>
      <c r="E47" s="285"/>
      <c r="F47" s="286" t="s">
        <v>110</v>
      </c>
      <c r="G47" s="286" t="s">
        <v>297</v>
      </c>
      <c r="H47" s="284" t="s">
        <v>715</v>
      </c>
      <c r="I47" s="287" t="s">
        <v>718</v>
      </c>
      <c r="J47" s="126" t="s">
        <v>119</v>
      </c>
      <c r="K47" s="287" t="s">
        <v>283</v>
      </c>
      <c r="L47" s="168">
        <v>4</v>
      </c>
      <c r="M47" s="359" t="s">
        <v>547</v>
      </c>
      <c r="N47" s="291">
        <f t="shared" ref="N47:Y47" si="14">N43*$L$47</f>
        <v>0</v>
      </c>
      <c r="O47" s="291">
        <f t="shared" si="14"/>
        <v>200</v>
      </c>
      <c r="P47" s="291">
        <f t="shared" si="14"/>
        <v>400</v>
      </c>
      <c r="Q47" s="291">
        <f t="shared" si="14"/>
        <v>0</v>
      </c>
      <c r="R47" s="291">
        <f t="shared" si="14"/>
        <v>0</v>
      </c>
      <c r="S47" s="291">
        <f t="shared" si="14"/>
        <v>0</v>
      </c>
      <c r="T47" s="291">
        <f t="shared" si="14"/>
        <v>0</v>
      </c>
      <c r="U47" s="291">
        <f t="shared" si="14"/>
        <v>0</v>
      </c>
      <c r="V47" s="291">
        <f t="shared" si="14"/>
        <v>0</v>
      </c>
      <c r="W47" s="291">
        <f t="shared" si="14"/>
        <v>0</v>
      </c>
      <c r="X47" s="291">
        <f t="shared" si="14"/>
        <v>0</v>
      </c>
      <c r="Y47" s="291">
        <f t="shared" si="14"/>
        <v>0</v>
      </c>
      <c r="Z47" s="177">
        <f>SUM(N47:Y47)</f>
        <v>600</v>
      </c>
      <c r="AA47" s="7" t="s">
        <v>396</v>
      </c>
      <c r="AD47" s="286" t="s">
        <v>110</v>
      </c>
      <c r="AF47" s="16">
        <v>0</v>
      </c>
    </row>
    <row r="48" spans="2:32" ht="15.6" hidden="1">
      <c r="B48" s="395">
        <v>44896</v>
      </c>
      <c r="C48" s="315"/>
      <c r="D48" s="174" t="s">
        <v>22</v>
      </c>
      <c r="E48" s="181">
        <f>SUM(N48:Y48)</f>
        <v>0</v>
      </c>
      <c r="F48" s="183" t="s">
        <v>200</v>
      </c>
      <c r="G48" s="183" t="s">
        <v>365</v>
      </c>
      <c r="H48" s="181"/>
      <c r="I48" s="182"/>
      <c r="J48" s="182"/>
      <c r="K48" s="182" t="s">
        <v>277</v>
      </c>
      <c r="L48" s="306"/>
      <c r="M48" s="358"/>
      <c r="N48" s="181">
        <f>SUMIFS('FCST data'!Q:Q,'FCST data'!$D:$D,$F48,'FCST data'!$K:$K,$G48,'FCST data'!$L:$L,$K48)</f>
        <v>0</v>
      </c>
      <c r="O48" s="181">
        <f>SUMIFS('FCST data'!R:R,'FCST data'!$D:$D,$F48,'FCST data'!$K:$K,$G48,'FCST data'!$L:$L,$K48)</f>
        <v>0</v>
      </c>
      <c r="P48" s="181">
        <f>SUMIFS('FCST data'!S:S,'FCST data'!$D:$D,$F48,'FCST data'!$K:$K,$G48,'FCST data'!$L:$L,$K48)</f>
        <v>0</v>
      </c>
      <c r="Q48" s="181">
        <f>SUMIFS('FCST data'!T:T,'FCST data'!$D:$D,$F48,'FCST data'!$K:$K,$G48,'FCST data'!$L:$L,$K48)</f>
        <v>0</v>
      </c>
      <c r="R48" s="181">
        <f>SUMIFS('FCST data'!U:U,'FCST data'!$D:$D,$F48,'FCST data'!$K:$K,$G48,'FCST data'!$L:$L,$K48)</f>
        <v>0</v>
      </c>
      <c r="S48" s="181">
        <f>SUMIFS('FCST data'!V:V,'FCST data'!$D:$D,$F48,'FCST data'!$K:$K,$G48,'FCST data'!$L:$L,$K48)</f>
        <v>0</v>
      </c>
      <c r="T48" s="181">
        <f>SUMIFS('FCST data'!W:W,'FCST data'!$D:$D,$F48,'FCST data'!$K:$K,$G48,'FCST data'!$L:$L,$K48)</f>
        <v>0</v>
      </c>
      <c r="U48" s="181">
        <f>SUMIFS('FCST data'!X:X,'FCST data'!$D:$D,$F48,'FCST data'!$K:$K,$G48,'FCST data'!$L:$L,$K48)</f>
        <v>0</v>
      </c>
      <c r="V48" s="181">
        <f>SUMIFS('FCST data'!Y:Y,'FCST data'!$D:$D,$F48,'FCST data'!$K:$K,$G48,'FCST data'!$L:$L,$K48)</f>
        <v>0</v>
      </c>
      <c r="W48" s="181">
        <f>SUMIFS('FCST data'!Z:Z,'FCST data'!$D:$D,$F48,'FCST data'!$K:$K,$G48,'FCST data'!$L:$L,$K48)</f>
        <v>0</v>
      </c>
      <c r="X48" s="181">
        <f>SUMIFS('FCST data'!AA:AA,'FCST data'!$D:$D,$F48,'FCST data'!$K:$K,$G48,'FCST data'!$L:$L,$K48)</f>
        <v>0</v>
      </c>
      <c r="Y48" s="181">
        <f>SUMIFS('FCST data'!AB:AB,'FCST data'!$D:$D,$F48,'FCST data'!$K:$K,$G48,'FCST data'!$L:$L,$K48)</f>
        <v>0</v>
      </c>
      <c r="Z48" s="148"/>
      <c r="AA48" s="44"/>
      <c r="AC48" s="16">
        <f>E48-SUM(AA49:AB52)</f>
        <v>0</v>
      </c>
      <c r="AD48" s="183" t="s">
        <v>200</v>
      </c>
      <c r="AE48" s="16">
        <v>0</v>
      </c>
      <c r="AF48" s="16">
        <v>0</v>
      </c>
    </row>
    <row r="49" spans="2:32" s="1" customFormat="1" ht="30.6" hidden="1">
      <c r="B49" s="395"/>
      <c r="C49" s="18"/>
      <c r="D49" s="195"/>
      <c r="E49" s="197"/>
      <c r="F49" s="286" t="s">
        <v>200</v>
      </c>
      <c r="G49" s="286" t="s">
        <v>365</v>
      </c>
      <c r="H49" s="284" t="s">
        <v>715</v>
      </c>
      <c r="I49" s="287" t="s">
        <v>718</v>
      </c>
      <c r="J49" s="126" t="s">
        <v>119</v>
      </c>
      <c r="K49" s="287" t="s">
        <v>301</v>
      </c>
      <c r="L49" s="299">
        <v>4</v>
      </c>
      <c r="M49" s="364" t="s">
        <v>548</v>
      </c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303"/>
      <c r="Y49" s="303"/>
      <c r="Z49" s="177">
        <f>SUM(N49:Y49)</f>
        <v>0</v>
      </c>
      <c r="AA49" s="7" t="s">
        <v>396</v>
      </c>
      <c r="AB49" s="16">
        <f>Z49/L49</f>
        <v>0</v>
      </c>
      <c r="AD49" s="286" t="s">
        <v>200</v>
      </c>
      <c r="AE49" s="16"/>
      <c r="AF49" s="16">
        <v>0</v>
      </c>
    </row>
    <row r="50" spans="2:32" s="1" customFormat="1" ht="30.6" hidden="1">
      <c r="B50" s="395"/>
      <c r="C50" s="18"/>
      <c r="D50" s="195"/>
      <c r="E50" s="197"/>
      <c r="F50" s="286" t="s">
        <v>200</v>
      </c>
      <c r="G50" s="286" t="s">
        <v>365</v>
      </c>
      <c r="H50" s="284" t="s">
        <v>715</v>
      </c>
      <c r="I50" s="287" t="s">
        <v>718</v>
      </c>
      <c r="J50" s="284" t="s">
        <v>28</v>
      </c>
      <c r="K50" s="287" t="s">
        <v>302</v>
      </c>
      <c r="L50" s="299">
        <v>4</v>
      </c>
      <c r="M50" s="359" t="s">
        <v>549</v>
      </c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303"/>
      <c r="Y50" s="303"/>
      <c r="Z50" s="177">
        <f t="shared" ref="Z50:Z52" si="15">SUM(N50:Y50)*L50</f>
        <v>0</v>
      </c>
      <c r="AA50" s="7">
        <f t="shared" ref="AA50:AA52" si="16">SUM(N50:Y50)</f>
        <v>0</v>
      </c>
      <c r="AD50" s="286" t="s">
        <v>200</v>
      </c>
      <c r="AE50" s="16">
        <v>0</v>
      </c>
      <c r="AF50" s="16">
        <v>0</v>
      </c>
    </row>
    <row r="51" spans="2:32" s="1" customFormat="1" ht="15.6" hidden="1">
      <c r="B51" s="395">
        <v>44896</v>
      </c>
      <c r="C51" s="18"/>
      <c r="D51" s="195"/>
      <c r="E51" s="197"/>
      <c r="F51" s="286" t="s">
        <v>200</v>
      </c>
      <c r="G51" s="286" t="s">
        <v>365</v>
      </c>
      <c r="H51" s="348" t="s">
        <v>20</v>
      </c>
      <c r="I51" s="349" t="s">
        <v>720</v>
      </c>
      <c r="J51" s="348" t="s">
        <v>28</v>
      </c>
      <c r="K51" s="349" t="s">
        <v>761</v>
      </c>
      <c r="L51" s="351">
        <v>4</v>
      </c>
      <c r="M51" s="361" t="s">
        <v>251</v>
      </c>
      <c r="N51" s="303"/>
      <c r="O51" s="303"/>
      <c r="P51" s="303"/>
      <c r="Q51" s="303"/>
      <c r="R51" s="303"/>
      <c r="S51" s="303"/>
      <c r="T51" s="303"/>
      <c r="U51" s="303"/>
      <c r="V51" s="303"/>
      <c r="W51" s="303"/>
      <c r="X51" s="303"/>
      <c r="Y51" s="303"/>
      <c r="Z51" s="177">
        <f t="shared" si="15"/>
        <v>0</v>
      </c>
      <c r="AA51" s="7">
        <f t="shared" si="16"/>
        <v>0</v>
      </c>
      <c r="AD51" s="286" t="s">
        <v>200</v>
      </c>
      <c r="AE51" s="16">
        <v>0</v>
      </c>
      <c r="AF51" s="16">
        <v>0</v>
      </c>
    </row>
    <row r="52" spans="2:32" s="1" customFormat="1" ht="15.6" hidden="1">
      <c r="B52" s="395"/>
      <c r="C52" s="18"/>
      <c r="D52" s="195"/>
      <c r="E52" s="197"/>
      <c r="F52" s="286" t="s">
        <v>200</v>
      </c>
      <c r="G52" s="286" t="s">
        <v>365</v>
      </c>
      <c r="H52" s="284" t="s">
        <v>20</v>
      </c>
      <c r="I52" s="284" t="s">
        <v>133</v>
      </c>
      <c r="J52" s="284" t="s">
        <v>28</v>
      </c>
      <c r="K52" s="287" t="s">
        <v>277</v>
      </c>
      <c r="L52" s="299">
        <v>4</v>
      </c>
      <c r="M52" s="365"/>
      <c r="N52" s="303"/>
      <c r="O52" s="303"/>
      <c r="P52" s="303"/>
      <c r="Q52" s="303"/>
      <c r="R52" s="303"/>
      <c r="S52" s="303"/>
      <c r="T52" s="303"/>
      <c r="U52" s="303"/>
      <c r="V52" s="303"/>
      <c r="W52" s="303"/>
      <c r="X52" s="303"/>
      <c r="Y52" s="303"/>
      <c r="Z52" s="177">
        <f t="shared" si="15"/>
        <v>0</v>
      </c>
      <c r="AA52" s="7">
        <f t="shared" si="16"/>
        <v>0</v>
      </c>
      <c r="AD52" s="286" t="s">
        <v>200</v>
      </c>
      <c r="AE52" s="16">
        <v>0</v>
      </c>
      <c r="AF52" s="16">
        <v>0</v>
      </c>
    </row>
    <row r="53" spans="2:32" ht="15.6" hidden="1">
      <c r="B53" s="395">
        <v>44896</v>
      </c>
      <c r="C53" s="315"/>
      <c r="D53" s="174" t="s">
        <v>22</v>
      </c>
      <c r="E53" s="181">
        <f>SUM(N53:Y53)</f>
        <v>0</v>
      </c>
      <c r="F53" s="183" t="s">
        <v>449</v>
      </c>
      <c r="G53" s="183" t="s">
        <v>365</v>
      </c>
      <c r="H53" s="181"/>
      <c r="I53" s="182"/>
      <c r="J53" s="182"/>
      <c r="K53" s="182" t="s">
        <v>450</v>
      </c>
      <c r="L53" s="311"/>
      <c r="M53" s="358"/>
      <c r="N53" s="181">
        <f>SUMIFS('FCST data'!Q:Q,'FCST data'!$D:$D,$F53,'FCST data'!$K:$K,$G53,'FCST data'!$L:$L,$K53)</f>
        <v>0</v>
      </c>
      <c r="O53" s="181">
        <f>SUMIFS('FCST data'!R:R,'FCST data'!$D:$D,$F53,'FCST data'!$K:$K,$G53,'FCST data'!$L:$L,$K53)</f>
        <v>0</v>
      </c>
      <c r="P53" s="181">
        <f>SUMIFS('FCST data'!S:S,'FCST data'!$D:$D,$F53,'FCST data'!$K:$K,$G53,'FCST data'!$L:$L,$K53)</f>
        <v>0</v>
      </c>
      <c r="Q53" s="181">
        <f>SUMIFS('FCST data'!T:T,'FCST data'!$D:$D,$F53,'FCST data'!$K:$K,$G53,'FCST data'!$L:$L,$K53)</f>
        <v>0</v>
      </c>
      <c r="R53" s="181">
        <f>SUMIFS('FCST data'!U:U,'FCST data'!$D:$D,$F53,'FCST data'!$K:$K,$G53,'FCST data'!$L:$L,$K53)</f>
        <v>0</v>
      </c>
      <c r="S53" s="181">
        <f>SUMIFS('FCST data'!V:V,'FCST data'!$D:$D,$F53,'FCST data'!$K:$K,$G53,'FCST data'!$L:$L,$K53)</f>
        <v>0</v>
      </c>
      <c r="T53" s="181">
        <f>SUMIFS('FCST data'!W:W,'FCST data'!$D:$D,$F53,'FCST data'!$K:$K,$G53,'FCST data'!$L:$L,$K53)</f>
        <v>0</v>
      </c>
      <c r="U53" s="181">
        <f>SUMIFS('FCST data'!X:X,'FCST data'!$D:$D,$F53,'FCST data'!$K:$K,$G53,'FCST data'!$L:$L,$K53)</f>
        <v>0</v>
      </c>
      <c r="V53" s="181">
        <f>SUMIFS('FCST data'!Y:Y,'FCST data'!$D:$D,$F53,'FCST data'!$K:$K,$G53,'FCST data'!$L:$L,$K53)</f>
        <v>0</v>
      </c>
      <c r="W53" s="181">
        <f>SUMIFS('FCST data'!Z:Z,'FCST data'!$D:$D,$F53,'FCST data'!$K:$K,$G53,'FCST data'!$L:$L,$K53)</f>
        <v>0</v>
      </c>
      <c r="X53" s="181">
        <f>SUMIFS('FCST data'!AA:AA,'FCST data'!$D:$D,$F53,'FCST data'!$K:$K,$G53,'FCST data'!$L:$L,$K53)</f>
        <v>0</v>
      </c>
      <c r="Y53" s="181">
        <f>SUMIFS('FCST data'!AB:AB,'FCST data'!$D:$D,$F53,'FCST data'!$K:$K,$G53,'FCST data'!$L:$L,$K53)</f>
        <v>0</v>
      </c>
      <c r="Z53" s="148"/>
      <c r="AA53" s="44"/>
      <c r="AC53" s="16">
        <f>E53-SUM(AA54:AB56)</f>
        <v>0</v>
      </c>
      <c r="AD53" s="183" t="s">
        <v>200</v>
      </c>
      <c r="AE53" s="16">
        <v>0</v>
      </c>
      <c r="AF53" s="16">
        <v>0</v>
      </c>
    </row>
    <row r="54" spans="2:32" ht="30.6" hidden="1">
      <c r="B54" s="395"/>
      <c r="C54" s="20"/>
      <c r="D54" s="284"/>
      <c r="E54" s="285"/>
      <c r="F54" s="286" t="s">
        <v>200</v>
      </c>
      <c r="G54" s="286" t="s">
        <v>365</v>
      </c>
      <c r="H54" s="284" t="s">
        <v>715</v>
      </c>
      <c r="I54" s="287" t="s">
        <v>718</v>
      </c>
      <c r="J54" s="126" t="s">
        <v>119</v>
      </c>
      <c r="K54" s="287" t="s">
        <v>283</v>
      </c>
      <c r="L54" s="299">
        <v>4</v>
      </c>
      <c r="M54" s="359" t="s">
        <v>570</v>
      </c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177">
        <f>SUM(N54:Y54)</f>
        <v>0</v>
      </c>
      <c r="AA54" s="7" t="s">
        <v>396</v>
      </c>
      <c r="AB54" s="16">
        <f>Z54/L54</f>
        <v>0</v>
      </c>
      <c r="AD54" s="286" t="s">
        <v>200</v>
      </c>
      <c r="AF54" s="16">
        <v>0</v>
      </c>
    </row>
    <row r="55" spans="2:32" hidden="1">
      <c r="B55" s="395">
        <v>44896</v>
      </c>
      <c r="C55" s="20"/>
      <c r="D55" s="284"/>
      <c r="E55" s="285"/>
      <c r="F55" s="286" t="s">
        <v>200</v>
      </c>
      <c r="G55" s="286" t="s">
        <v>365</v>
      </c>
      <c r="H55" s="443" t="s">
        <v>20</v>
      </c>
      <c r="I55" s="349" t="s">
        <v>720</v>
      </c>
      <c r="J55" s="348" t="s">
        <v>28</v>
      </c>
      <c r="K55" s="349" t="s">
        <v>761</v>
      </c>
      <c r="L55" s="351">
        <v>4</v>
      </c>
      <c r="M55" s="361" t="s">
        <v>251</v>
      </c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177">
        <f>SUM(N55:Y55)*L55</f>
        <v>0</v>
      </c>
      <c r="AA55" s="7">
        <f>SUM(N55:Y55)</f>
        <v>0</v>
      </c>
      <c r="AD55" s="286" t="s">
        <v>200</v>
      </c>
      <c r="AE55" s="16">
        <v>0</v>
      </c>
      <c r="AF55" s="16">
        <v>0</v>
      </c>
    </row>
    <row r="56" spans="2:32" ht="30.6" hidden="1">
      <c r="B56" s="395"/>
      <c r="C56" s="20"/>
      <c r="D56" s="284"/>
      <c r="E56" s="285"/>
      <c r="F56" s="286" t="s">
        <v>200</v>
      </c>
      <c r="G56" s="286" t="s">
        <v>365</v>
      </c>
      <c r="H56" s="284" t="s">
        <v>715</v>
      </c>
      <c r="I56" s="287" t="s">
        <v>718</v>
      </c>
      <c r="J56" s="126" t="s">
        <v>119</v>
      </c>
      <c r="K56" s="287" t="s">
        <v>301</v>
      </c>
      <c r="L56" s="299">
        <v>4</v>
      </c>
      <c r="M56" s="364" t="s">
        <v>548</v>
      </c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177">
        <f>SUM(N56:Y56)</f>
        <v>0</v>
      </c>
      <c r="AA56" s="7" t="s">
        <v>396</v>
      </c>
      <c r="AD56" s="286" t="s">
        <v>200</v>
      </c>
      <c r="AF56" s="16">
        <v>0</v>
      </c>
    </row>
    <row r="57" spans="2:32" ht="15.6" hidden="1">
      <c r="B57" s="395" t="s">
        <v>892</v>
      </c>
      <c r="C57" s="315"/>
      <c r="D57" s="174" t="s">
        <v>22</v>
      </c>
      <c r="E57" s="181">
        <f>SUM(N57:Y57)</f>
        <v>14100</v>
      </c>
      <c r="F57" s="183" t="s">
        <v>243</v>
      </c>
      <c r="G57" s="183" t="s">
        <v>264</v>
      </c>
      <c r="H57" s="181"/>
      <c r="I57" s="182"/>
      <c r="J57" s="182"/>
      <c r="K57" s="182" t="s">
        <v>279</v>
      </c>
      <c r="L57" s="311"/>
      <c r="M57" s="358"/>
      <c r="N57" s="181">
        <f>SUMIFS('FCST data'!Q:Q,'FCST data'!$D:$D,$F57,'FCST data'!$K:$K,$G57,'FCST data'!$L:$L,$K57)</f>
        <v>4000</v>
      </c>
      <c r="O57" s="181">
        <f>SUMIFS('FCST data'!R:R,'FCST data'!$D:$D,$F57,'FCST data'!$K:$K,$G57,'FCST data'!$L:$L,$K57)</f>
        <v>5100</v>
      </c>
      <c r="P57" s="181">
        <f>SUMIFS('FCST data'!S:S,'FCST data'!$D:$D,$F57,'FCST data'!$K:$K,$G57,'FCST data'!$L:$L,$K57)</f>
        <v>0</v>
      </c>
      <c r="Q57" s="181">
        <f>SUMIFS('FCST data'!T:T,'FCST data'!$D:$D,$F57,'FCST data'!$K:$K,$G57,'FCST data'!$L:$L,$K57)</f>
        <v>0</v>
      </c>
      <c r="R57" s="181">
        <f>SUMIFS('FCST data'!U:U,'FCST data'!$D:$D,$F57,'FCST data'!$K:$K,$G57,'FCST data'!$L:$L,$K57)</f>
        <v>0</v>
      </c>
      <c r="S57" s="181">
        <f>SUMIFS('FCST data'!V:V,'FCST data'!$D:$D,$F57,'FCST data'!$K:$K,$G57,'FCST data'!$L:$L,$K57)</f>
        <v>0</v>
      </c>
      <c r="T57" s="181">
        <f>SUMIFS('FCST data'!W:W,'FCST data'!$D:$D,$F57,'FCST data'!$K:$K,$G57,'FCST data'!$L:$L,$K57)</f>
        <v>2000</v>
      </c>
      <c r="U57" s="181">
        <f>SUMIFS('FCST data'!X:X,'FCST data'!$D:$D,$F57,'FCST data'!$K:$K,$G57,'FCST data'!$L:$L,$K57)</f>
        <v>2000</v>
      </c>
      <c r="V57" s="181">
        <f>SUMIFS('FCST data'!Y:Y,'FCST data'!$D:$D,$F57,'FCST data'!$K:$K,$G57,'FCST data'!$L:$L,$K57)</f>
        <v>1000</v>
      </c>
      <c r="W57" s="181">
        <f>SUMIFS('FCST data'!Z:Z,'FCST data'!$D:$D,$F57,'FCST data'!$K:$K,$G57,'FCST data'!$L:$L,$K57)</f>
        <v>0</v>
      </c>
      <c r="X57" s="181">
        <f>SUMIFS('FCST data'!AA:AA,'FCST data'!$D:$D,$F57,'FCST data'!$K:$K,$G57,'FCST data'!$L:$L,$K57)</f>
        <v>0</v>
      </c>
      <c r="Y57" s="181">
        <f>SUMIFS('FCST data'!AB:AB,'FCST data'!$D:$D,$F57,'FCST data'!$K:$K,$G57,'FCST data'!$L:$L,$K57)</f>
        <v>0</v>
      </c>
      <c r="Z57" s="148"/>
      <c r="AA57" s="44"/>
      <c r="AC57" s="16">
        <f>E57-SUM(AA58:AB62)</f>
        <v>0</v>
      </c>
      <c r="AD57" s="183" t="s">
        <v>243</v>
      </c>
      <c r="AE57" s="16">
        <v>0</v>
      </c>
      <c r="AF57" s="16">
        <v>0</v>
      </c>
    </row>
    <row r="58" spans="2:32" ht="20.399999999999999" hidden="1">
      <c r="B58" s="395"/>
      <c r="C58" s="20"/>
      <c r="D58" s="284"/>
      <c r="E58" s="285"/>
      <c r="F58" s="286" t="s">
        <v>243</v>
      </c>
      <c r="G58" s="286" t="s">
        <v>264</v>
      </c>
      <c r="H58" s="284" t="s">
        <v>715</v>
      </c>
      <c r="I58" s="287" t="s">
        <v>718</v>
      </c>
      <c r="J58" s="284" t="s">
        <v>28</v>
      </c>
      <c r="K58" s="287" t="s">
        <v>302</v>
      </c>
      <c r="L58" s="299">
        <v>4</v>
      </c>
      <c r="M58" s="359" t="s">
        <v>550</v>
      </c>
      <c r="N58" s="340">
        <v>60</v>
      </c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177">
        <f t="shared" ref="Z58:Z62" si="17">SUM(N58:Y58)*L58</f>
        <v>240</v>
      </c>
      <c r="AA58" s="7">
        <f t="shared" ref="AA58:AA62" si="18">SUM(N58:Y58)</f>
        <v>60</v>
      </c>
      <c r="AD58" s="286" t="s">
        <v>243</v>
      </c>
      <c r="AE58" s="16">
        <v>0</v>
      </c>
      <c r="AF58" s="16">
        <v>0</v>
      </c>
    </row>
    <row r="59" spans="2:32" hidden="1">
      <c r="B59" s="395"/>
      <c r="C59" s="20"/>
      <c r="D59" s="284"/>
      <c r="E59" s="285"/>
      <c r="F59" s="286" t="s">
        <v>243</v>
      </c>
      <c r="G59" s="286" t="s">
        <v>264</v>
      </c>
      <c r="H59" s="348" t="s">
        <v>717</v>
      </c>
      <c r="I59" s="348" t="s">
        <v>719</v>
      </c>
      <c r="J59" s="349" t="s">
        <v>28</v>
      </c>
      <c r="K59" s="349" t="s">
        <v>277</v>
      </c>
      <c r="L59" s="351">
        <v>4</v>
      </c>
      <c r="M59" s="361" t="s">
        <v>298</v>
      </c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177">
        <f t="shared" si="17"/>
        <v>0</v>
      </c>
      <c r="AA59" s="7">
        <f t="shared" si="18"/>
        <v>0</v>
      </c>
      <c r="AD59" s="286" t="s">
        <v>243</v>
      </c>
      <c r="AE59" s="16">
        <v>0</v>
      </c>
      <c r="AF59" s="16">
        <v>0</v>
      </c>
    </row>
    <row r="60" spans="2:32" hidden="1">
      <c r="B60" s="395">
        <v>44896</v>
      </c>
      <c r="C60" s="20"/>
      <c r="D60" s="284"/>
      <c r="E60" s="285"/>
      <c r="F60" s="286" t="s">
        <v>243</v>
      </c>
      <c r="G60" s="286" t="s">
        <v>264</v>
      </c>
      <c r="H60" s="348" t="s">
        <v>20</v>
      </c>
      <c r="I60" s="349" t="s">
        <v>720</v>
      </c>
      <c r="J60" s="349" t="s">
        <v>28</v>
      </c>
      <c r="K60" s="349" t="s">
        <v>761</v>
      </c>
      <c r="L60" s="351">
        <v>4</v>
      </c>
      <c r="M60" s="361" t="s">
        <v>251</v>
      </c>
      <c r="N60" s="340">
        <v>50</v>
      </c>
      <c r="O60" s="291"/>
      <c r="P60" s="340"/>
      <c r="Q60" s="291"/>
      <c r="R60" s="291"/>
      <c r="S60" s="291"/>
      <c r="T60" s="291"/>
      <c r="U60" s="291"/>
      <c r="V60" s="291"/>
      <c r="W60" s="291"/>
      <c r="X60" s="291"/>
      <c r="Y60" s="291"/>
      <c r="Z60" s="177">
        <f t="shared" si="17"/>
        <v>200</v>
      </c>
      <c r="AA60" s="7">
        <f t="shared" si="18"/>
        <v>50</v>
      </c>
      <c r="AD60" s="286" t="s">
        <v>243</v>
      </c>
      <c r="AE60" s="442">
        <v>9000</v>
      </c>
      <c r="AF60" s="16">
        <v>0</v>
      </c>
    </row>
    <row r="61" spans="2:32" hidden="1">
      <c r="B61" s="395"/>
      <c r="C61" s="20"/>
      <c r="D61" s="284"/>
      <c r="E61" s="285"/>
      <c r="F61" s="286" t="s">
        <v>243</v>
      </c>
      <c r="G61" s="286" t="s">
        <v>264</v>
      </c>
      <c r="H61" s="284" t="s">
        <v>20</v>
      </c>
      <c r="I61" s="287" t="s">
        <v>760</v>
      </c>
      <c r="J61" s="287" t="s">
        <v>28</v>
      </c>
      <c r="K61" s="287" t="s">
        <v>761</v>
      </c>
      <c r="L61" s="299">
        <v>4</v>
      </c>
      <c r="M61" s="362" t="s">
        <v>759</v>
      </c>
      <c r="N61" s="340">
        <v>3890</v>
      </c>
      <c r="O61" s="291">
        <v>5100</v>
      </c>
      <c r="P61" s="340"/>
      <c r="Q61" s="291"/>
      <c r="R61" s="291"/>
      <c r="S61" s="291"/>
      <c r="T61" s="291">
        <v>2000</v>
      </c>
      <c r="U61" s="291">
        <v>2000</v>
      </c>
      <c r="V61" s="291">
        <v>1000</v>
      </c>
      <c r="W61" s="291"/>
      <c r="X61" s="291"/>
      <c r="Y61" s="291"/>
      <c r="Z61" s="177">
        <f t="shared" ref="Z61" si="19">SUM(N61:Y61)*L61</f>
        <v>55960</v>
      </c>
      <c r="AA61" s="7">
        <f t="shared" ref="AA61" si="20">SUM(N61:Y61)</f>
        <v>13990</v>
      </c>
      <c r="AD61" s="286" t="s">
        <v>243</v>
      </c>
      <c r="AE61" s="442">
        <v>9000</v>
      </c>
      <c r="AF61" s="16">
        <v>0</v>
      </c>
    </row>
    <row r="62" spans="2:32" hidden="1">
      <c r="B62" s="395"/>
      <c r="C62" s="20"/>
      <c r="D62" s="284"/>
      <c r="E62" s="285"/>
      <c r="F62" s="286" t="s">
        <v>243</v>
      </c>
      <c r="G62" s="286" t="s">
        <v>264</v>
      </c>
      <c r="H62" s="284" t="s">
        <v>20</v>
      </c>
      <c r="I62" s="284" t="s">
        <v>133</v>
      </c>
      <c r="J62" s="287" t="s">
        <v>28</v>
      </c>
      <c r="K62" s="287" t="s">
        <v>277</v>
      </c>
      <c r="L62" s="299">
        <v>4</v>
      </c>
      <c r="M62" s="362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177">
        <f t="shared" si="17"/>
        <v>0</v>
      </c>
      <c r="AA62" s="7">
        <f t="shared" si="18"/>
        <v>0</v>
      </c>
      <c r="AD62" s="286" t="s">
        <v>243</v>
      </c>
      <c r="AE62" s="16">
        <v>0</v>
      </c>
      <c r="AF62" s="16">
        <v>0</v>
      </c>
    </row>
    <row r="63" spans="2:32" ht="15.6" hidden="1">
      <c r="B63" s="395">
        <v>45047</v>
      </c>
      <c r="C63" s="315"/>
      <c r="D63" s="174" t="s">
        <v>22</v>
      </c>
      <c r="E63" s="181">
        <f>SUM(N63:Y63)</f>
        <v>17000</v>
      </c>
      <c r="F63" s="183" t="s">
        <v>294</v>
      </c>
      <c r="G63" s="183" t="s">
        <v>266</v>
      </c>
      <c r="H63" s="181"/>
      <c r="I63" s="182"/>
      <c r="J63" s="182"/>
      <c r="K63" s="182" t="s">
        <v>108</v>
      </c>
      <c r="L63" s="311"/>
      <c r="M63" s="358"/>
      <c r="N63" s="181">
        <f>SUMIFS('FCST data'!Q:Q,'FCST data'!$D:$D,$F63,'FCST data'!$K:$K,$G63,'FCST data'!$L:$L,$K63)</f>
        <v>1500</v>
      </c>
      <c r="O63" s="181">
        <f>SUMIFS('FCST data'!R:R,'FCST data'!$D:$D,$F63,'FCST data'!$K:$K,$G63,'FCST data'!$L:$L,$K63)</f>
        <v>3700</v>
      </c>
      <c r="P63" s="181">
        <f>SUMIFS('FCST data'!S:S,'FCST data'!$D:$D,$F63,'FCST data'!$K:$K,$G63,'FCST data'!$L:$L,$K63)</f>
        <v>4000</v>
      </c>
      <c r="Q63" s="181">
        <f>SUMIFS('FCST data'!T:T,'FCST data'!$D:$D,$F63,'FCST data'!$K:$K,$G63,'FCST data'!$L:$L,$K63)</f>
        <v>4000</v>
      </c>
      <c r="R63" s="181">
        <f>SUMIFS('FCST data'!U:U,'FCST data'!$D:$D,$F63,'FCST data'!$K:$K,$G63,'FCST data'!$L:$L,$K63)</f>
        <v>3800</v>
      </c>
      <c r="S63" s="181">
        <f>SUMIFS('FCST data'!V:V,'FCST data'!$D:$D,$F63,'FCST data'!$K:$K,$G63,'FCST data'!$L:$L,$K63)</f>
        <v>0</v>
      </c>
      <c r="T63" s="181">
        <f>SUMIFS('FCST data'!W:W,'FCST data'!$D:$D,$F63,'FCST data'!$K:$K,$G63,'FCST data'!$L:$L,$K63)</f>
        <v>0</v>
      </c>
      <c r="U63" s="181">
        <f>SUMIFS('FCST data'!X:X,'FCST data'!$D:$D,$F63,'FCST data'!$K:$K,$G63,'FCST data'!$L:$L,$K63)</f>
        <v>0</v>
      </c>
      <c r="V63" s="181">
        <f>SUMIFS('FCST data'!Y:Y,'FCST data'!$D:$D,$F63,'FCST data'!$K:$K,$G63,'FCST data'!$L:$L,$K63)</f>
        <v>0</v>
      </c>
      <c r="W63" s="181">
        <f>SUMIFS('FCST data'!Z:Z,'FCST data'!$D:$D,$F63,'FCST data'!$K:$K,$G63,'FCST data'!$L:$L,$K63)</f>
        <v>0</v>
      </c>
      <c r="X63" s="181">
        <f>SUMIFS('FCST data'!AA:AA,'FCST data'!$D:$D,$F63,'FCST data'!$K:$K,$G63,'FCST data'!$L:$L,$K63)</f>
        <v>0</v>
      </c>
      <c r="Y63" s="181">
        <f>SUMIFS('FCST data'!AB:AB,'FCST data'!$D:$D,$F63,'FCST data'!$K:$K,$G63,'FCST data'!$L:$L,$K63)</f>
        <v>0</v>
      </c>
      <c r="Z63" s="148"/>
      <c r="AA63" s="44"/>
      <c r="AC63" s="16">
        <f>E63-SUM(AA64:AB68)</f>
        <v>0</v>
      </c>
      <c r="AD63" s="183" t="s">
        <v>294</v>
      </c>
      <c r="AE63" s="16">
        <v>0</v>
      </c>
      <c r="AF63" s="16">
        <v>0</v>
      </c>
    </row>
    <row r="64" spans="2:32" ht="20.399999999999999" hidden="1">
      <c r="B64" s="395"/>
      <c r="C64" s="20"/>
      <c r="D64" s="284"/>
      <c r="E64" s="285"/>
      <c r="F64" s="286" t="s">
        <v>294</v>
      </c>
      <c r="G64" s="286" t="s">
        <v>266</v>
      </c>
      <c r="H64" s="284" t="s">
        <v>715</v>
      </c>
      <c r="I64" s="287" t="s">
        <v>718</v>
      </c>
      <c r="J64" s="287" t="s">
        <v>28</v>
      </c>
      <c r="K64" s="287" t="s">
        <v>282</v>
      </c>
      <c r="L64" s="299">
        <v>8</v>
      </c>
      <c r="M64" s="359" t="s">
        <v>546</v>
      </c>
      <c r="N64" s="291">
        <v>1500</v>
      </c>
      <c r="O64" s="340">
        <v>60</v>
      </c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177">
        <f t="shared" ref="Z64:Z68" si="21">SUM(N64:Y64)*L64</f>
        <v>12480</v>
      </c>
      <c r="AA64" s="7">
        <f t="shared" ref="AA64:AA68" si="22">SUM(N64:Y64)</f>
        <v>1560</v>
      </c>
      <c r="AD64" s="286" t="s">
        <v>294</v>
      </c>
      <c r="AE64" s="16">
        <v>0</v>
      </c>
      <c r="AF64" s="16">
        <v>0</v>
      </c>
    </row>
    <row r="65" spans="2:32" hidden="1">
      <c r="B65" s="395"/>
      <c r="C65" s="20"/>
      <c r="D65" s="284"/>
      <c r="E65" s="285"/>
      <c r="F65" s="286" t="s">
        <v>294</v>
      </c>
      <c r="G65" s="286" t="s">
        <v>266</v>
      </c>
      <c r="H65" s="348" t="s">
        <v>717</v>
      </c>
      <c r="I65" s="348" t="s">
        <v>719</v>
      </c>
      <c r="J65" s="349" t="s">
        <v>28</v>
      </c>
      <c r="K65" s="349" t="s">
        <v>108</v>
      </c>
      <c r="L65" s="351">
        <v>8</v>
      </c>
      <c r="M65" s="361" t="s">
        <v>278</v>
      </c>
      <c r="N65" s="291"/>
      <c r="O65" s="291"/>
      <c r="P65" s="291"/>
      <c r="Q65" s="291"/>
      <c r="R65" s="291"/>
      <c r="S65" s="291"/>
      <c r="T65" s="291"/>
      <c r="U65" s="291"/>
      <c r="V65" s="291"/>
      <c r="W65" s="291"/>
      <c r="X65" s="291"/>
      <c r="Y65" s="291"/>
      <c r="Z65" s="177">
        <f t="shared" si="21"/>
        <v>0</v>
      </c>
      <c r="AA65" s="7">
        <f t="shared" si="22"/>
        <v>0</v>
      </c>
      <c r="AD65" s="286" t="s">
        <v>294</v>
      </c>
      <c r="AE65" s="16">
        <v>0</v>
      </c>
      <c r="AF65" s="16">
        <v>0</v>
      </c>
    </row>
    <row r="66" spans="2:32" hidden="1">
      <c r="B66" s="395">
        <v>44896</v>
      </c>
      <c r="C66" s="20"/>
      <c r="D66" s="284"/>
      <c r="E66" s="285"/>
      <c r="F66" s="286" t="s">
        <v>294</v>
      </c>
      <c r="G66" s="286" t="s">
        <v>266</v>
      </c>
      <c r="H66" s="348" t="s">
        <v>20</v>
      </c>
      <c r="I66" s="349" t="s">
        <v>720</v>
      </c>
      <c r="J66" s="349" t="s">
        <v>28</v>
      </c>
      <c r="K66" s="349" t="s">
        <v>108</v>
      </c>
      <c r="L66" s="351">
        <v>8</v>
      </c>
      <c r="M66" s="361" t="s">
        <v>250</v>
      </c>
      <c r="N66" s="291"/>
      <c r="O66" s="291"/>
      <c r="P66" s="291"/>
      <c r="Q66" s="291"/>
      <c r="R66" s="291"/>
      <c r="S66" s="291"/>
      <c r="T66" s="291"/>
      <c r="U66" s="291"/>
      <c r="V66" s="291"/>
      <c r="W66" s="291"/>
      <c r="X66" s="291"/>
      <c r="Y66" s="291"/>
      <c r="Z66" s="177">
        <f t="shared" si="21"/>
        <v>0</v>
      </c>
      <c r="AA66" s="7">
        <f t="shared" si="22"/>
        <v>0</v>
      </c>
      <c r="AD66" s="286" t="s">
        <v>294</v>
      </c>
      <c r="AE66" s="16">
        <v>0</v>
      </c>
      <c r="AF66" s="16">
        <v>0</v>
      </c>
    </row>
    <row r="67" spans="2:32">
      <c r="B67" s="395"/>
      <c r="C67" s="20"/>
      <c r="D67" s="284"/>
      <c r="E67" s="285"/>
      <c r="F67" s="286" t="s">
        <v>294</v>
      </c>
      <c r="G67" s="286" t="s">
        <v>266</v>
      </c>
      <c r="H67" s="284" t="s">
        <v>916</v>
      </c>
      <c r="I67" s="287" t="s">
        <v>760</v>
      </c>
      <c r="J67" s="287" t="s">
        <v>28</v>
      </c>
      <c r="K67" s="287" t="s">
        <v>108</v>
      </c>
      <c r="L67" s="180">
        <v>8</v>
      </c>
      <c r="M67" s="362" t="s">
        <v>915</v>
      </c>
      <c r="N67" s="291"/>
      <c r="O67" s="340">
        <f>3700-60</f>
        <v>3640</v>
      </c>
      <c r="P67" s="291">
        <v>4000</v>
      </c>
      <c r="Q67" s="291">
        <v>4000</v>
      </c>
      <c r="R67" s="291">
        <v>3800</v>
      </c>
      <c r="S67" s="291"/>
      <c r="T67" s="291"/>
      <c r="U67" s="291"/>
      <c r="V67" s="291"/>
      <c r="W67" s="291"/>
      <c r="X67" s="291"/>
      <c r="Y67" s="291"/>
      <c r="Z67" s="177">
        <f t="shared" si="21"/>
        <v>123520</v>
      </c>
      <c r="AA67" s="7">
        <f t="shared" si="22"/>
        <v>15440</v>
      </c>
      <c r="AD67" s="286"/>
    </row>
    <row r="68" spans="2:32" hidden="1">
      <c r="B68" s="395"/>
      <c r="C68" s="20"/>
      <c r="D68" s="284"/>
      <c r="E68" s="285"/>
      <c r="F68" s="286" t="s">
        <v>294</v>
      </c>
      <c r="G68" s="286" t="s">
        <v>266</v>
      </c>
      <c r="H68" s="284" t="s">
        <v>20</v>
      </c>
      <c r="I68" s="284" t="s">
        <v>133</v>
      </c>
      <c r="J68" s="287" t="s">
        <v>28</v>
      </c>
      <c r="K68" s="287" t="s">
        <v>108</v>
      </c>
      <c r="L68" s="299">
        <v>8</v>
      </c>
      <c r="M68" s="362"/>
      <c r="N68" s="291"/>
      <c r="O68" s="340"/>
      <c r="P68" s="340"/>
      <c r="Q68" s="340"/>
      <c r="R68" s="340"/>
      <c r="S68" s="291"/>
      <c r="T68" s="291"/>
      <c r="U68" s="291"/>
      <c r="V68" s="291"/>
      <c r="W68" s="291"/>
      <c r="X68" s="291"/>
      <c r="Y68" s="291"/>
      <c r="Z68" s="177">
        <f t="shared" si="21"/>
        <v>0</v>
      </c>
      <c r="AA68" s="7">
        <f t="shared" si="22"/>
        <v>0</v>
      </c>
      <c r="AD68" s="286" t="s">
        <v>294</v>
      </c>
      <c r="AE68" s="16">
        <v>0</v>
      </c>
      <c r="AF68" s="16">
        <v>0</v>
      </c>
    </row>
    <row r="69" spans="2:32" ht="15.6" hidden="1">
      <c r="B69" s="395"/>
      <c r="C69" s="315"/>
      <c r="D69" s="174" t="s">
        <v>22</v>
      </c>
      <c r="E69" s="181">
        <f>SUM(N69:Y69)</f>
        <v>500</v>
      </c>
      <c r="F69" s="183" t="s">
        <v>294</v>
      </c>
      <c r="G69" s="183" t="s">
        <v>690</v>
      </c>
      <c r="H69" s="181"/>
      <c r="I69" s="182"/>
      <c r="J69" s="182"/>
      <c r="K69" s="182" t="s">
        <v>108</v>
      </c>
      <c r="L69" s="311"/>
      <c r="M69" s="358"/>
      <c r="N69" s="181">
        <f>SUMIFS('FCST data'!Q:Q,'FCST data'!$D:$D,$F69,'FCST data'!$K:$K,$G69,'FCST data'!$L:$L,$K69)</f>
        <v>500</v>
      </c>
      <c r="O69" s="181">
        <f>SUMIFS('FCST data'!R:R,'FCST data'!$D:$D,$F69,'FCST data'!$K:$K,$G69,'FCST data'!$L:$L,$K69)</f>
        <v>0</v>
      </c>
      <c r="P69" s="181">
        <f>SUMIFS('FCST data'!S:S,'FCST data'!$D:$D,$F69,'FCST data'!$K:$K,$G69,'FCST data'!$L:$L,$K69)</f>
        <v>0</v>
      </c>
      <c r="Q69" s="181">
        <f>SUMIFS('FCST data'!T:T,'FCST data'!$D:$D,$F69,'FCST data'!$K:$K,$G69,'FCST data'!$L:$L,$K69)</f>
        <v>0</v>
      </c>
      <c r="R69" s="181">
        <f>SUMIFS('FCST data'!U:U,'FCST data'!$D:$D,$F69,'FCST data'!$K:$K,$G69,'FCST data'!$L:$L,$K69)</f>
        <v>0</v>
      </c>
      <c r="S69" s="181">
        <f>SUMIFS('FCST data'!V:V,'FCST data'!$D:$D,$F69,'FCST data'!$K:$K,$G69,'FCST data'!$L:$L,$K69)</f>
        <v>0</v>
      </c>
      <c r="T69" s="181">
        <f>SUMIFS('FCST data'!W:W,'FCST data'!$D:$D,$F69,'FCST data'!$K:$K,$G69,'FCST data'!$L:$L,$K69)</f>
        <v>0</v>
      </c>
      <c r="U69" s="181">
        <f>SUMIFS('FCST data'!X:X,'FCST data'!$D:$D,$F69,'FCST data'!$K:$K,$G69,'FCST data'!$L:$L,$K69)</f>
        <v>0</v>
      </c>
      <c r="V69" s="181">
        <f>SUMIFS('FCST data'!Y:Y,'FCST data'!$D:$D,$F69,'FCST data'!$K:$K,$G69,'FCST data'!$L:$L,$K69)</f>
        <v>0</v>
      </c>
      <c r="W69" s="181">
        <f>SUMIFS('FCST data'!Z:Z,'FCST data'!$D:$D,$F69,'FCST data'!$K:$K,$G69,'FCST data'!$L:$L,$K69)</f>
        <v>0</v>
      </c>
      <c r="X69" s="181">
        <f>SUMIFS('FCST data'!AA:AA,'FCST data'!$D:$D,$F69,'FCST data'!$K:$K,$G69,'FCST data'!$L:$L,$K69)</f>
        <v>0</v>
      </c>
      <c r="Y69" s="181">
        <f>SUMIFS('FCST data'!AB:AB,'FCST data'!$D:$D,$F69,'FCST data'!$K:$K,$G69,'FCST data'!$L:$L,$K69)</f>
        <v>0</v>
      </c>
      <c r="Z69" s="148"/>
      <c r="AA69" s="44"/>
      <c r="AD69" s="183" t="s">
        <v>294</v>
      </c>
      <c r="AE69" s="16">
        <v>0</v>
      </c>
      <c r="AF69" s="16">
        <v>0</v>
      </c>
    </row>
    <row r="70" spans="2:32" ht="20.399999999999999" hidden="1">
      <c r="B70" s="395"/>
      <c r="C70" s="20"/>
      <c r="D70" s="284"/>
      <c r="E70" s="285"/>
      <c r="F70" s="286" t="s">
        <v>294</v>
      </c>
      <c r="G70" s="286" t="s">
        <v>690</v>
      </c>
      <c r="H70" s="284" t="s">
        <v>715</v>
      </c>
      <c r="I70" s="287" t="s">
        <v>718</v>
      </c>
      <c r="J70" s="287" t="s">
        <v>28</v>
      </c>
      <c r="K70" s="287" t="s">
        <v>282</v>
      </c>
      <c r="L70" s="299">
        <v>8</v>
      </c>
      <c r="M70" s="359" t="s">
        <v>546</v>
      </c>
      <c r="N70" s="291">
        <v>500</v>
      </c>
      <c r="O70" s="340"/>
      <c r="P70" s="291"/>
      <c r="Q70" s="291"/>
      <c r="R70" s="291"/>
      <c r="S70" s="291"/>
      <c r="T70" s="291"/>
      <c r="U70" s="291"/>
      <c r="V70" s="291"/>
      <c r="W70" s="291"/>
      <c r="X70" s="291"/>
      <c r="Y70" s="291"/>
      <c r="Z70" s="177">
        <f t="shared" ref="Z70:Z74" si="23">SUM(N70:Y70)*L70</f>
        <v>4000</v>
      </c>
      <c r="AA70" s="7">
        <f t="shared" ref="AA70:AA74" si="24">SUM(N70:Y70)</f>
        <v>500</v>
      </c>
      <c r="AD70" s="286" t="s">
        <v>294</v>
      </c>
      <c r="AE70" s="16">
        <v>500</v>
      </c>
      <c r="AF70" s="16">
        <v>0</v>
      </c>
    </row>
    <row r="71" spans="2:32" hidden="1">
      <c r="B71" s="395"/>
      <c r="C71" s="20"/>
      <c r="D71" s="284"/>
      <c r="E71" s="285"/>
      <c r="F71" s="286" t="s">
        <v>294</v>
      </c>
      <c r="G71" s="286" t="s">
        <v>690</v>
      </c>
      <c r="H71" s="348" t="s">
        <v>717</v>
      </c>
      <c r="I71" s="348" t="s">
        <v>719</v>
      </c>
      <c r="J71" s="349" t="s">
        <v>28</v>
      </c>
      <c r="K71" s="349" t="s">
        <v>108</v>
      </c>
      <c r="L71" s="351">
        <v>8</v>
      </c>
      <c r="M71" s="361" t="s">
        <v>278</v>
      </c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177">
        <f t="shared" si="23"/>
        <v>0</v>
      </c>
      <c r="AA71" s="7">
        <f t="shared" si="24"/>
        <v>0</v>
      </c>
      <c r="AD71" s="286" t="s">
        <v>294</v>
      </c>
      <c r="AE71" s="16">
        <v>0</v>
      </c>
      <c r="AF71" s="16">
        <v>0</v>
      </c>
    </row>
    <row r="72" spans="2:32" hidden="1">
      <c r="B72" s="395">
        <v>44896</v>
      </c>
      <c r="C72" s="20"/>
      <c r="D72" s="284"/>
      <c r="E72" s="285"/>
      <c r="F72" s="286" t="s">
        <v>294</v>
      </c>
      <c r="G72" s="286" t="s">
        <v>690</v>
      </c>
      <c r="H72" s="348" t="s">
        <v>20</v>
      </c>
      <c r="I72" s="349" t="s">
        <v>720</v>
      </c>
      <c r="J72" s="349" t="s">
        <v>28</v>
      </c>
      <c r="K72" s="349" t="s">
        <v>108</v>
      </c>
      <c r="L72" s="351">
        <v>8</v>
      </c>
      <c r="M72" s="361" t="s">
        <v>250</v>
      </c>
      <c r="N72" s="340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177">
        <f t="shared" si="23"/>
        <v>0</v>
      </c>
      <c r="AA72" s="7">
        <f t="shared" si="24"/>
        <v>0</v>
      </c>
      <c r="AD72" s="286" t="s">
        <v>294</v>
      </c>
      <c r="AE72" s="16">
        <v>0</v>
      </c>
      <c r="AF72" s="16">
        <v>0</v>
      </c>
    </row>
    <row r="73" spans="2:32">
      <c r="B73" s="395"/>
      <c r="C73" s="20"/>
      <c r="D73" s="284"/>
      <c r="E73" s="285"/>
      <c r="F73" s="286" t="s">
        <v>294</v>
      </c>
      <c r="G73" s="286" t="s">
        <v>690</v>
      </c>
      <c r="H73" s="284" t="s">
        <v>20</v>
      </c>
      <c r="I73" s="287" t="s">
        <v>760</v>
      </c>
      <c r="J73" s="287" t="s">
        <v>28</v>
      </c>
      <c r="K73" s="287" t="s">
        <v>108</v>
      </c>
      <c r="L73" s="180">
        <v>8</v>
      </c>
      <c r="M73" s="362" t="s">
        <v>915</v>
      </c>
      <c r="N73" s="340"/>
      <c r="O73" s="291"/>
      <c r="P73" s="291"/>
      <c r="Q73" s="291"/>
      <c r="R73" s="291"/>
      <c r="S73" s="291"/>
      <c r="T73" s="291"/>
      <c r="U73" s="291"/>
      <c r="V73" s="291"/>
      <c r="W73" s="291"/>
      <c r="X73" s="291"/>
      <c r="Y73" s="291"/>
      <c r="Z73" s="177">
        <f t="shared" si="23"/>
        <v>0</v>
      </c>
      <c r="AA73" s="7">
        <f t="shared" si="24"/>
        <v>0</v>
      </c>
      <c r="AD73" s="286"/>
    </row>
    <row r="74" spans="2:32" hidden="1">
      <c r="B74" s="395"/>
      <c r="C74" s="20"/>
      <c r="D74" s="284"/>
      <c r="E74" s="285"/>
      <c r="F74" s="286" t="s">
        <v>294</v>
      </c>
      <c r="G74" s="286" t="s">
        <v>690</v>
      </c>
      <c r="H74" s="284" t="s">
        <v>20</v>
      </c>
      <c r="I74" s="284" t="s">
        <v>133</v>
      </c>
      <c r="J74" s="287" t="s">
        <v>28</v>
      </c>
      <c r="K74" s="287" t="s">
        <v>108</v>
      </c>
      <c r="L74" s="299">
        <v>8</v>
      </c>
      <c r="M74" s="362"/>
      <c r="N74" s="291"/>
      <c r="O74" s="291"/>
      <c r="P74" s="291"/>
      <c r="Q74" s="291"/>
      <c r="R74" s="291"/>
      <c r="S74" s="291"/>
      <c r="T74" s="291"/>
      <c r="U74" s="291"/>
      <c r="V74" s="291"/>
      <c r="W74" s="291"/>
      <c r="X74" s="291"/>
      <c r="Y74" s="291"/>
      <c r="Z74" s="177">
        <f t="shared" si="23"/>
        <v>0</v>
      </c>
      <c r="AA74" s="7">
        <f t="shared" si="24"/>
        <v>0</v>
      </c>
      <c r="AD74" s="286" t="s">
        <v>294</v>
      </c>
      <c r="AE74" s="16">
        <v>0</v>
      </c>
      <c r="AF74" s="16">
        <v>0</v>
      </c>
    </row>
    <row r="75" spans="2:32" ht="15.6" hidden="1">
      <c r="B75" s="395"/>
      <c r="C75" s="315"/>
      <c r="D75" s="174" t="s">
        <v>22</v>
      </c>
      <c r="E75" s="181">
        <f>SUM(N75:Y75)</f>
        <v>0</v>
      </c>
      <c r="F75" s="175" t="s">
        <v>134</v>
      </c>
      <c r="G75" s="175" t="s">
        <v>264</v>
      </c>
      <c r="H75" s="148"/>
      <c r="I75" s="176"/>
      <c r="J75" s="176"/>
      <c r="K75" s="176" t="s">
        <v>279</v>
      </c>
      <c r="L75" s="311"/>
      <c r="M75" s="363"/>
      <c r="N75" s="181">
        <f>SUMIFS('FCST data'!Q:Q,'FCST data'!$D:$D,$F75,'FCST data'!$K:$K,$G75,'FCST data'!$L:$L,$K75)</f>
        <v>0</v>
      </c>
      <c r="O75" s="181">
        <f>SUMIFS('FCST data'!R:R,'FCST data'!$D:$D,$F75,'FCST data'!$K:$K,$G75,'FCST data'!$L:$L,$K75)</f>
        <v>0</v>
      </c>
      <c r="P75" s="181">
        <f>SUMIFS('FCST data'!S:S,'FCST data'!$D:$D,$F75,'FCST data'!$K:$K,$G75,'FCST data'!$L:$L,$K75)</f>
        <v>0</v>
      </c>
      <c r="Q75" s="181">
        <f>SUMIFS('FCST data'!T:T,'FCST data'!$D:$D,$F75,'FCST data'!$K:$K,$G75,'FCST data'!$L:$L,$K75)</f>
        <v>0</v>
      </c>
      <c r="R75" s="181">
        <f>SUMIFS('FCST data'!U:U,'FCST data'!$D:$D,$F75,'FCST data'!$K:$K,$G75,'FCST data'!$L:$L,$K75)</f>
        <v>0</v>
      </c>
      <c r="S75" s="181">
        <f>SUMIFS('FCST data'!V:V,'FCST data'!$D:$D,$F75,'FCST data'!$K:$K,$G75,'FCST data'!$L:$L,$K75)</f>
        <v>0</v>
      </c>
      <c r="T75" s="181">
        <f>SUMIFS('FCST data'!W:W,'FCST data'!$D:$D,$F75,'FCST data'!$K:$K,$G75,'FCST data'!$L:$L,$K75)</f>
        <v>0</v>
      </c>
      <c r="U75" s="181">
        <f>SUMIFS('FCST data'!X:X,'FCST data'!$D:$D,$F75,'FCST data'!$K:$K,$G75,'FCST data'!$L:$L,$K75)</f>
        <v>0</v>
      </c>
      <c r="V75" s="181">
        <f>SUMIFS('FCST data'!Y:Y,'FCST data'!$D:$D,$F75,'FCST data'!$K:$K,$G75,'FCST data'!$L:$L,$K75)</f>
        <v>0</v>
      </c>
      <c r="W75" s="181">
        <f>SUMIFS('FCST data'!Z:Z,'FCST data'!$D:$D,$F75,'FCST data'!$K:$K,$G75,'FCST data'!$L:$L,$K75)</f>
        <v>0</v>
      </c>
      <c r="X75" s="181">
        <f>SUMIFS('FCST data'!AA:AA,'FCST data'!$D:$D,$F75,'FCST data'!$K:$K,$G75,'FCST data'!$L:$L,$K75)</f>
        <v>0</v>
      </c>
      <c r="Y75" s="181">
        <f>SUMIFS('FCST data'!AB:AB,'FCST data'!$D:$D,$F75,'FCST data'!$K:$K,$G75,'FCST data'!$L:$L,$K75)</f>
        <v>0</v>
      </c>
      <c r="Z75" s="148"/>
      <c r="AA75" s="44"/>
      <c r="AC75" s="16">
        <f>E75-SUM(AA76:AB77)</f>
        <v>0</v>
      </c>
      <c r="AD75" s="175" t="s">
        <v>134</v>
      </c>
      <c r="AE75" s="16">
        <v>0</v>
      </c>
      <c r="AF75" s="16">
        <v>0</v>
      </c>
    </row>
    <row r="76" spans="2:32" ht="20.399999999999999" hidden="1">
      <c r="B76" s="395"/>
      <c r="C76" s="20"/>
      <c r="D76" s="284"/>
      <c r="E76" s="285"/>
      <c r="F76" s="286" t="s">
        <v>134</v>
      </c>
      <c r="G76" s="286" t="s">
        <v>264</v>
      </c>
      <c r="H76" s="284" t="s">
        <v>715</v>
      </c>
      <c r="I76" s="287" t="s">
        <v>718</v>
      </c>
      <c r="J76" s="126" t="s">
        <v>119</v>
      </c>
      <c r="K76" s="287" t="s">
        <v>279</v>
      </c>
      <c r="L76" s="299">
        <v>4</v>
      </c>
      <c r="M76" s="359" t="s">
        <v>551</v>
      </c>
      <c r="N76" s="291"/>
      <c r="O76" s="291"/>
      <c r="P76" s="291"/>
      <c r="Q76" s="291"/>
      <c r="R76" s="291"/>
      <c r="S76" s="291"/>
      <c r="T76" s="291"/>
      <c r="U76" s="291"/>
      <c r="V76" s="291"/>
      <c r="W76" s="291"/>
      <c r="X76" s="291"/>
      <c r="Y76" s="291"/>
      <c r="Z76" s="177">
        <f t="shared" ref="Z76:Z77" si="25">SUM(N76:Y76)</f>
        <v>0</v>
      </c>
      <c r="AA76" s="7" t="s">
        <v>396</v>
      </c>
      <c r="AB76" s="16">
        <f>Z76/L76</f>
        <v>0</v>
      </c>
      <c r="AD76" s="286" t="s">
        <v>134</v>
      </c>
      <c r="AF76" s="16">
        <v>0</v>
      </c>
    </row>
    <row r="77" spans="2:32" hidden="1">
      <c r="B77" s="395"/>
      <c r="C77" s="20"/>
      <c r="D77" s="284"/>
      <c r="E77" s="285"/>
      <c r="F77" s="286" t="s">
        <v>134</v>
      </c>
      <c r="G77" s="286" t="s">
        <v>264</v>
      </c>
      <c r="H77" s="284" t="s">
        <v>20</v>
      </c>
      <c r="I77" s="287" t="s">
        <v>27</v>
      </c>
      <c r="J77" s="126" t="s">
        <v>119</v>
      </c>
      <c r="K77" s="287" t="s">
        <v>323</v>
      </c>
      <c r="L77" s="299">
        <v>4</v>
      </c>
      <c r="M77" s="362" t="s">
        <v>299</v>
      </c>
      <c r="N77" s="291">
        <f t="shared" ref="N77:Y77" si="26">N75*$L$77</f>
        <v>0</v>
      </c>
      <c r="O77" s="291">
        <f t="shared" si="26"/>
        <v>0</v>
      </c>
      <c r="P77" s="291">
        <f t="shared" si="26"/>
        <v>0</v>
      </c>
      <c r="Q77" s="291">
        <f t="shared" si="26"/>
        <v>0</v>
      </c>
      <c r="R77" s="291">
        <f t="shared" si="26"/>
        <v>0</v>
      </c>
      <c r="S77" s="291">
        <f t="shared" si="26"/>
        <v>0</v>
      </c>
      <c r="T77" s="291">
        <f t="shared" si="26"/>
        <v>0</v>
      </c>
      <c r="U77" s="291">
        <f t="shared" si="26"/>
        <v>0</v>
      </c>
      <c r="V77" s="291">
        <f t="shared" si="26"/>
        <v>0</v>
      </c>
      <c r="W77" s="291">
        <f t="shared" si="26"/>
        <v>0</v>
      </c>
      <c r="X77" s="291">
        <f t="shared" si="26"/>
        <v>0</v>
      </c>
      <c r="Y77" s="291">
        <f t="shared" si="26"/>
        <v>0</v>
      </c>
      <c r="Z77" s="177">
        <f t="shared" si="25"/>
        <v>0</v>
      </c>
      <c r="AA77" s="7" t="s">
        <v>396</v>
      </c>
      <c r="AB77" s="16">
        <f>Z77/L77</f>
        <v>0</v>
      </c>
      <c r="AD77" s="286" t="s">
        <v>134</v>
      </c>
      <c r="AF77" s="16">
        <v>0</v>
      </c>
    </row>
    <row r="78" spans="2:32" ht="15.6" hidden="1">
      <c r="B78" s="395"/>
      <c r="C78" s="315"/>
      <c r="D78" s="174" t="s">
        <v>22</v>
      </c>
      <c r="E78" s="181">
        <f>SUM(N78:Y78)</f>
        <v>2600</v>
      </c>
      <c r="F78" s="183" t="s">
        <v>139</v>
      </c>
      <c r="G78" s="183" t="s">
        <v>264</v>
      </c>
      <c r="H78" s="181"/>
      <c r="I78" s="182"/>
      <c r="J78" s="182"/>
      <c r="K78" s="176" t="s">
        <v>279</v>
      </c>
      <c r="L78" s="311"/>
      <c r="M78" s="358"/>
      <c r="N78" s="181">
        <f>SUMIFS('FCST data'!Q:Q,'FCST data'!$D:$D,$F78,'FCST data'!$K:$K,$G78,'FCST data'!$L:$L,$K78)</f>
        <v>200</v>
      </c>
      <c r="O78" s="181">
        <f>SUMIFS('FCST data'!R:R,'FCST data'!$D:$D,$F78,'FCST data'!$K:$K,$G78,'FCST data'!$L:$L,$K78)</f>
        <v>1200</v>
      </c>
      <c r="P78" s="181">
        <f>SUMIFS('FCST data'!S:S,'FCST data'!$D:$D,$F78,'FCST data'!$K:$K,$G78,'FCST data'!$L:$L,$K78)</f>
        <v>0</v>
      </c>
      <c r="Q78" s="181">
        <f>SUMIFS('FCST data'!T:T,'FCST data'!$D:$D,$F78,'FCST data'!$K:$K,$G78,'FCST data'!$L:$L,$K78)</f>
        <v>0</v>
      </c>
      <c r="R78" s="181">
        <f>SUMIFS('FCST data'!U:U,'FCST data'!$D:$D,$F78,'FCST data'!$K:$K,$G78,'FCST data'!$L:$L,$K78)</f>
        <v>600</v>
      </c>
      <c r="S78" s="181">
        <f>SUMIFS('FCST data'!V:V,'FCST data'!$D:$D,$F78,'FCST data'!$K:$K,$G78,'FCST data'!$L:$L,$K78)</f>
        <v>600</v>
      </c>
      <c r="T78" s="181">
        <f>SUMIFS('FCST data'!W:W,'FCST data'!$D:$D,$F78,'FCST data'!$K:$K,$G78,'FCST data'!$L:$L,$K78)</f>
        <v>0</v>
      </c>
      <c r="U78" s="181">
        <f>SUMIFS('FCST data'!X:X,'FCST data'!$D:$D,$F78,'FCST data'!$K:$K,$G78,'FCST data'!$L:$L,$K78)</f>
        <v>0</v>
      </c>
      <c r="V78" s="181">
        <f>SUMIFS('FCST data'!Y:Y,'FCST data'!$D:$D,$F78,'FCST data'!$K:$K,$G78,'FCST data'!$L:$L,$K78)</f>
        <v>0</v>
      </c>
      <c r="W78" s="181">
        <f>SUMIFS('FCST data'!Z:Z,'FCST data'!$D:$D,$F78,'FCST data'!$K:$K,$G78,'FCST data'!$L:$L,$K78)</f>
        <v>0</v>
      </c>
      <c r="X78" s="181">
        <f>SUMIFS('FCST data'!AA:AA,'FCST data'!$D:$D,$F78,'FCST data'!$K:$K,$G78,'FCST data'!$L:$L,$K78)</f>
        <v>0</v>
      </c>
      <c r="Y78" s="181">
        <f>SUMIFS('FCST data'!AB:AB,'FCST data'!$D:$D,$F78,'FCST data'!$K:$K,$G78,'FCST data'!$L:$L,$K78)</f>
        <v>0</v>
      </c>
      <c r="Z78" s="148"/>
      <c r="AA78" s="44"/>
      <c r="AC78" s="16">
        <f>E78-SUM(AA79:AB80)</f>
        <v>0</v>
      </c>
      <c r="AD78" s="183" t="s">
        <v>139</v>
      </c>
      <c r="AE78" s="16">
        <v>0</v>
      </c>
      <c r="AF78" s="16">
        <v>0</v>
      </c>
    </row>
    <row r="79" spans="2:32" ht="40.799999999999997" hidden="1">
      <c r="B79" s="395"/>
      <c r="C79" s="20"/>
      <c r="D79" s="284"/>
      <c r="E79" s="285"/>
      <c r="F79" s="286" t="s">
        <v>139</v>
      </c>
      <c r="G79" s="286" t="s">
        <v>264</v>
      </c>
      <c r="H79" s="284" t="s">
        <v>715</v>
      </c>
      <c r="I79" s="287" t="s">
        <v>718</v>
      </c>
      <c r="J79" s="126" t="s">
        <v>119</v>
      </c>
      <c r="K79" s="287" t="s">
        <v>301</v>
      </c>
      <c r="L79" s="299">
        <v>4</v>
      </c>
      <c r="M79" s="359" t="s">
        <v>571</v>
      </c>
      <c r="N79" s="291"/>
      <c r="O79" s="291"/>
      <c r="P79" s="291"/>
      <c r="Q79" s="291"/>
      <c r="R79" s="291"/>
      <c r="S79" s="291"/>
      <c r="T79" s="291"/>
      <c r="U79" s="291"/>
      <c r="V79" s="291"/>
      <c r="W79" s="291"/>
      <c r="X79" s="291"/>
      <c r="Y79" s="291"/>
      <c r="Z79" s="177">
        <f t="shared" ref="Z79:Z80" si="27">SUM(N79:Y79)</f>
        <v>0</v>
      </c>
      <c r="AA79" s="7" t="s">
        <v>396</v>
      </c>
      <c r="AB79" s="16">
        <f>Z79/L79</f>
        <v>0</v>
      </c>
      <c r="AD79" s="286" t="s">
        <v>139</v>
      </c>
      <c r="AF79" s="16">
        <v>0</v>
      </c>
    </row>
    <row r="80" spans="2:32" hidden="1">
      <c r="B80" s="395"/>
      <c r="C80" s="20"/>
      <c r="D80" s="284"/>
      <c r="E80" s="285"/>
      <c r="F80" s="286" t="s">
        <v>139</v>
      </c>
      <c r="G80" s="286" t="s">
        <v>264</v>
      </c>
      <c r="H80" s="284" t="s">
        <v>20</v>
      </c>
      <c r="I80" s="284" t="s">
        <v>721</v>
      </c>
      <c r="J80" s="126" t="s">
        <v>119</v>
      </c>
      <c r="K80" s="287" t="s">
        <v>279</v>
      </c>
      <c r="L80" s="299">
        <v>4</v>
      </c>
      <c r="M80" s="362" t="s">
        <v>504</v>
      </c>
      <c r="N80" s="291">
        <f t="shared" ref="N80:Y80" si="28">N78*$L$80</f>
        <v>800</v>
      </c>
      <c r="O80" s="291">
        <f t="shared" si="28"/>
        <v>4800</v>
      </c>
      <c r="P80" s="291">
        <f t="shared" si="28"/>
        <v>0</v>
      </c>
      <c r="Q80" s="291">
        <f t="shared" si="28"/>
        <v>0</v>
      </c>
      <c r="R80" s="291">
        <f t="shared" si="28"/>
        <v>2400</v>
      </c>
      <c r="S80" s="291">
        <f t="shared" si="28"/>
        <v>2400</v>
      </c>
      <c r="T80" s="291">
        <f t="shared" si="28"/>
        <v>0</v>
      </c>
      <c r="U80" s="291">
        <f t="shared" si="28"/>
        <v>0</v>
      </c>
      <c r="V80" s="291">
        <f t="shared" si="28"/>
        <v>0</v>
      </c>
      <c r="W80" s="291">
        <f t="shared" si="28"/>
        <v>0</v>
      </c>
      <c r="X80" s="291">
        <f t="shared" si="28"/>
        <v>0</v>
      </c>
      <c r="Y80" s="291">
        <f t="shared" si="28"/>
        <v>0</v>
      </c>
      <c r="Z80" s="177">
        <f t="shared" si="27"/>
        <v>10400</v>
      </c>
      <c r="AA80" s="7" t="s">
        <v>396</v>
      </c>
      <c r="AB80" s="16">
        <f>Z80/L80</f>
        <v>2600</v>
      </c>
      <c r="AD80" s="286" t="s">
        <v>139</v>
      </c>
      <c r="AF80" s="16">
        <v>1300</v>
      </c>
    </row>
    <row r="81" spans="2:32" ht="15.6" hidden="1">
      <c r="B81" s="395"/>
      <c r="C81" s="315"/>
      <c r="D81" s="174" t="s">
        <v>22</v>
      </c>
      <c r="E81" s="181">
        <f>SUM(N81:Y81)</f>
        <v>0</v>
      </c>
      <c r="F81" s="183" t="s">
        <v>416</v>
      </c>
      <c r="G81" s="183" t="s">
        <v>264</v>
      </c>
      <c r="H81" s="181"/>
      <c r="I81" s="182"/>
      <c r="J81" s="182"/>
      <c r="K81" s="176" t="s">
        <v>279</v>
      </c>
      <c r="L81" s="311"/>
      <c r="M81" s="358"/>
      <c r="N81" s="181">
        <f>SUMIFS('FCST data'!Q:Q,'FCST data'!$D:$D,$F81,'FCST data'!$K:$K,$G81,'FCST data'!$L:$L,$K81)</f>
        <v>0</v>
      </c>
      <c r="O81" s="181">
        <f>SUMIFS('FCST data'!R:R,'FCST data'!$D:$D,$F81,'FCST data'!$K:$K,$G81,'FCST data'!$L:$L,$K81)</f>
        <v>0</v>
      </c>
      <c r="P81" s="181">
        <f>SUMIFS('FCST data'!S:S,'FCST data'!$D:$D,$F81,'FCST data'!$K:$K,$G81,'FCST data'!$L:$L,$K81)</f>
        <v>0</v>
      </c>
      <c r="Q81" s="181">
        <f>SUMIFS('FCST data'!T:T,'FCST data'!$D:$D,$F81,'FCST data'!$K:$K,$G81,'FCST data'!$L:$L,$K81)</f>
        <v>0</v>
      </c>
      <c r="R81" s="181">
        <f>SUMIFS('FCST data'!U:U,'FCST data'!$D:$D,$F81,'FCST data'!$K:$K,$G81,'FCST data'!$L:$L,$K81)</f>
        <v>0</v>
      </c>
      <c r="S81" s="181">
        <f>SUMIFS('FCST data'!V:V,'FCST data'!$D:$D,$F81,'FCST data'!$K:$K,$G81,'FCST data'!$L:$L,$K81)</f>
        <v>0</v>
      </c>
      <c r="T81" s="181">
        <f>SUMIFS('FCST data'!W:W,'FCST data'!$D:$D,$F81,'FCST data'!$K:$K,$G81,'FCST data'!$L:$L,$K81)</f>
        <v>0</v>
      </c>
      <c r="U81" s="181">
        <f>SUMIFS('FCST data'!X:X,'FCST data'!$D:$D,$F81,'FCST data'!$K:$K,$G81,'FCST data'!$L:$L,$K81)</f>
        <v>0</v>
      </c>
      <c r="V81" s="181">
        <f>SUMIFS('FCST data'!Y:Y,'FCST data'!$D:$D,$F81,'FCST data'!$K:$K,$G81,'FCST data'!$L:$L,$K81)</f>
        <v>0</v>
      </c>
      <c r="W81" s="181">
        <f>SUMIFS('FCST data'!Z:Z,'FCST data'!$D:$D,$F81,'FCST data'!$K:$K,$G81,'FCST data'!$L:$L,$K81)</f>
        <v>0</v>
      </c>
      <c r="X81" s="181">
        <f>SUMIFS('FCST data'!AA:AA,'FCST data'!$D:$D,$F81,'FCST data'!$K:$K,$G81,'FCST data'!$L:$L,$K81)</f>
        <v>0</v>
      </c>
      <c r="Y81" s="181">
        <f>SUMIFS('FCST data'!AB:AB,'FCST data'!$D:$D,$F81,'FCST data'!$K:$K,$G81,'FCST data'!$L:$L,$K81)</f>
        <v>0</v>
      </c>
      <c r="Z81" s="148"/>
      <c r="AA81" s="44"/>
      <c r="AC81" s="16">
        <f>E81-SUM(AA82:AB83)</f>
        <v>0</v>
      </c>
      <c r="AD81" s="183" t="s">
        <v>416</v>
      </c>
      <c r="AE81" s="16">
        <v>0</v>
      </c>
      <c r="AF81" s="16">
        <v>0</v>
      </c>
    </row>
    <row r="82" spans="2:32" ht="40.799999999999997" hidden="1">
      <c r="B82" s="395"/>
      <c r="C82" s="20"/>
      <c r="D82" s="284"/>
      <c r="E82" s="285"/>
      <c r="F82" s="286" t="s">
        <v>416</v>
      </c>
      <c r="G82" s="286" t="s">
        <v>264</v>
      </c>
      <c r="H82" s="284" t="s">
        <v>715</v>
      </c>
      <c r="I82" s="287" t="s">
        <v>718</v>
      </c>
      <c r="J82" s="126" t="s">
        <v>119</v>
      </c>
      <c r="K82" s="287" t="s">
        <v>318</v>
      </c>
      <c r="L82" s="299">
        <v>4</v>
      </c>
      <c r="M82" s="359" t="s">
        <v>571</v>
      </c>
      <c r="N82" s="291">
        <f t="shared" ref="N82:Y82" si="29">N81*$L$82</f>
        <v>0</v>
      </c>
      <c r="O82" s="291">
        <f t="shared" si="29"/>
        <v>0</v>
      </c>
      <c r="P82" s="291">
        <f t="shared" si="29"/>
        <v>0</v>
      </c>
      <c r="Q82" s="291">
        <f t="shared" si="29"/>
        <v>0</v>
      </c>
      <c r="R82" s="291">
        <f t="shared" si="29"/>
        <v>0</v>
      </c>
      <c r="S82" s="291">
        <f t="shared" si="29"/>
        <v>0</v>
      </c>
      <c r="T82" s="291">
        <f t="shared" si="29"/>
        <v>0</v>
      </c>
      <c r="U82" s="291">
        <f t="shared" si="29"/>
        <v>0</v>
      </c>
      <c r="V82" s="291">
        <f t="shared" si="29"/>
        <v>0</v>
      </c>
      <c r="W82" s="291">
        <f t="shared" si="29"/>
        <v>0</v>
      </c>
      <c r="X82" s="291">
        <f t="shared" si="29"/>
        <v>0</v>
      </c>
      <c r="Y82" s="291">
        <f t="shared" si="29"/>
        <v>0</v>
      </c>
      <c r="Z82" s="177">
        <f t="shared" ref="Z82:Z83" si="30">SUM(N82:Y82)</f>
        <v>0</v>
      </c>
      <c r="AA82" s="7" t="s">
        <v>396</v>
      </c>
      <c r="AB82" s="16">
        <f>Z82/L82</f>
        <v>0</v>
      </c>
      <c r="AD82" s="286" t="s">
        <v>416</v>
      </c>
      <c r="AF82" s="16">
        <v>0</v>
      </c>
    </row>
    <row r="83" spans="2:32" hidden="1">
      <c r="B83" s="395"/>
      <c r="C83" s="20"/>
      <c r="D83" s="284"/>
      <c r="E83" s="285"/>
      <c r="F83" s="286" t="s">
        <v>416</v>
      </c>
      <c r="G83" s="286" t="s">
        <v>264</v>
      </c>
      <c r="H83" s="284" t="s">
        <v>20</v>
      </c>
      <c r="I83" s="284" t="s">
        <v>133</v>
      </c>
      <c r="J83" s="126" t="s">
        <v>119</v>
      </c>
      <c r="K83" s="287" t="s">
        <v>279</v>
      </c>
      <c r="L83" s="299">
        <v>4</v>
      </c>
      <c r="M83" s="362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  <c r="Z83" s="177">
        <f t="shared" si="30"/>
        <v>0</v>
      </c>
      <c r="AA83" s="7" t="s">
        <v>396</v>
      </c>
      <c r="AB83" s="16">
        <f>Z83/L83</f>
        <v>0</v>
      </c>
      <c r="AD83" s="286" t="s">
        <v>416</v>
      </c>
      <c r="AF83" s="16">
        <v>0</v>
      </c>
    </row>
    <row r="84" spans="2:32" ht="15.6" hidden="1">
      <c r="B84" s="395"/>
      <c r="C84" s="315"/>
      <c r="D84" s="174" t="s">
        <v>22</v>
      </c>
      <c r="E84" s="181">
        <f>SUM(N84:Y84)</f>
        <v>900</v>
      </c>
      <c r="F84" s="175" t="s">
        <v>198</v>
      </c>
      <c r="G84" s="183" t="s">
        <v>373</v>
      </c>
      <c r="H84" s="181"/>
      <c r="I84" s="182"/>
      <c r="J84" s="182"/>
      <c r="K84" s="176" t="s">
        <v>108</v>
      </c>
      <c r="L84" s="311"/>
      <c r="M84" s="358"/>
      <c r="N84" s="181">
        <f>SUMIFS('FCST data'!Q:Q,'FCST data'!$D:$D,$F84,'FCST data'!$K:$K,$G84,'FCST data'!$L:$L,$K84)</f>
        <v>130</v>
      </c>
      <c r="O84" s="181">
        <f>SUMIFS('FCST data'!R:R,'FCST data'!$D:$D,$F84,'FCST data'!$K:$K,$G84,'FCST data'!$L:$L,$K84)</f>
        <v>770</v>
      </c>
      <c r="P84" s="181">
        <f>SUMIFS('FCST data'!S:S,'FCST data'!$D:$D,$F84,'FCST data'!$K:$K,$G84,'FCST data'!$L:$L,$K84)</f>
        <v>0</v>
      </c>
      <c r="Q84" s="181">
        <f>SUMIFS('FCST data'!T:T,'FCST data'!$D:$D,$F84,'FCST data'!$K:$K,$G84,'FCST data'!$L:$L,$K84)</f>
        <v>0</v>
      </c>
      <c r="R84" s="181">
        <f>SUMIFS('FCST data'!U:U,'FCST data'!$D:$D,$F84,'FCST data'!$K:$K,$G84,'FCST data'!$L:$L,$K84)</f>
        <v>0</v>
      </c>
      <c r="S84" s="181">
        <f>SUMIFS('FCST data'!V:V,'FCST data'!$D:$D,$F84,'FCST data'!$K:$K,$G84,'FCST data'!$L:$L,$K84)</f>
        <v>0</v>
      </c>
      <c r="T84" s="181">
        <f>SUMIFS('FCST data'!W:W,'FCST data'!$D:$D,$F84,'FCST data'!$K:$K,$G84,'FCST data'!$L:$L,$K84)</f>
        <v>0</v>
      </c>
      <c r="U84" s="181">
        <f>SUMIFS('FCST data'!X:X,'FCST data'!$D:$D,$F84,'FCST data'!$K:$K,$G84,'FCST data'!$L:$L,$K84)</f>
        <v>0</v>
      </c>
      <c r="V84" s="181">
        <f>SUMIFS('FCST data'!Y:Y,'FCST data'!$D:$D,$F84,'FCST data'!$K:$K,$G84,'FCST data'!$L:$L,$K84)</f>
        <v>0</v>
      </c>
      <c r="W84" s="181">
        <f>SUMIFS('FCST data'!Z:Z,'FCST data'!$D:$D,$F84,'FCST data'!$K:$K,$G84,'FCST data'!$L:$L,$K84)</f>
        <v>0</v>
      </c>
      <c r="X84" s="181">
        <f>SUMIFS('FCST data'!AA:AA,'FCST data'!$D:$D,$F84,'FCST data'!$K:$K,$G84,'FCST data'!$L:$L,$K84)</f>
        <v>0</v>
      </c>
      <c r="Y84" s="181">
        <f>SUMIFS('FCST data'!AB:AB,'FCST data'!$D:$D,$F84,'FCST data'!$K:$K,$G84,'FCST data'!$L:$L,$K84)</f>
        <v>0</v>
      </c>
      <c r="Z84" s="148"/>
      <c r="AA84" s="44"/>
      <c r="AC84" s="16">
        <f>E84-SUM(AA85:AB88)</f>
        <v>0</v>
      </c>
      <c r="AD84" s="175" t="s">
        <v>198</v>
      </c>
      <c r="AE84" s="16">
        <v>0</v>
      </c>
      <c r="AF84" s="16">
        <v>0</v>
      </c>
    </row>
    <row r="85" spans="2:32" ht="30.6" hidden="1">
      <c r="B85" s="395"/>
      <c r="C85" s="20"/>
      <c r="D85" s="284"/>
      <c r="E85" s="285"/>
      <c r="F85" s="286" t="s">
        <v>198</v>
      </c>
      <c r="G85" s="286" t="s">
        <v>373</v>
      </c>
      <c r="H85" s="284" t="s">
        <v>715</v>
      </c>
      <c r="I85" s="287" t="s">
        <v>718</v>
      </c>
      <c r="J85" s="284" t="s">
        <v>28</v>
      </c>
      <c r="K85" s="287" t="s">
        <v>317</v>
      </c>
      <c r="L85" s="299">
        <v>4</v>
      </c>
      <c r="M85" s="359" t="s">
        <v>552</v>
      </c>
      <c r="N85" s="291"/>
      <c r="O85" s="291"/>
      <c r="P85" s="291"/>
      <c r="Q85" s="291"/>
      <c r="R85" s="291"/>
      <c r="S85" s="291"/>
      <c r="T85" s="291"/>
      <c r="U85" s="291"/>
      <c r="V85" s="291"/>
      <c r="W85" s="291"/>
      <c r="X85" s="291"/>
      <c r="Y85" s="291"/>
      <c r="Z85" s="177">
        <f t="shared" ref="Z85:Z87" si="31">SUM(N85:Y85)*L85</f>
        <v>0</v>
      </c>
      <c r="AA85" s="7">
        <f t="shared" ref="AA85:AA87" si="32">SUM(N85:Y85)</f>
        <v>0</v>
      </c>
      <c r="AD85" s="286" t="s">
        <v>198</v>
      </c>
      <c r="AE85" s="16">
        <v>0</v>
      </c>
      <c r="AF85" s="16">
        <v>0</v>
      </c>
    </row>
    <row r="86" spans="2:32" s="1" customFormat="1" ht="15.6" hidden="1">
      <c r="B86" s="395"/>
      <c r="C86" s="18"/>
      <c r="D86" s="195"/>
      <c r="E86" s="197"/>
      <c r="F86" s="286" t="s">
        <v>198</v>
      </c>
      <c r="G86" s="286" t="s">
        <v>373</v>
      </c>
      <c r="H86" s="333" t="s">
        <v>717</v>
      </c>
      <c r="I86" s="284" t="s">
        <v>721</v>
      </c>
      <c r="J86" s="287" t="s">
        <v>28</v>
      </c>
      <c r="K86" s="287" t="s">
        <v>280</v>
      </c>
      <c r="L86" s="299">
        <v>4</v>
      </c>
      <c r="M86" s="362" t="s">
        <v>281</v>
      </c>
      <c r="N86" s="291">
        <v>130</v>
      </c>
      <c r="O86" s="291">
        <v>770</v>
      </c>
      <c r="P86" s="291">
        <v>0</v>
      </c>
      <c r="Q86" s="291">
        <v>0</v>
      </c>
      <c r="R86" s="291"/>
      <c r="S86" s="291"/>
      <c r="T86" s="291"/>
      <c r="U86" s="291"/>
      <c r="V86" s="291"/>
      <c r="W86" s="291"/>
      <c r="X86" s="291"/>
      <c r="Y86" s="291"/>
      <c r="Z86" s="177">
        <f t="shared" si="31"/>
        <v>3600</v>
      </c>
      <c r="AA86" s="7">
        <f t="shared" si="32"/>
        <v>900</v>
      </c>
      <c r="AD86" s="286" t="s">
        <v>198</v>
      </c>
      <c r="AE86" s="16">
        <v>820</v>
      </c>
      <c r="AF86" s="16">
        <v>0</v>
      </c>
    </row>
    <row r="87" spans="2:32" s="1" customFormat="1" ht="15.6" hidden="1">
      <c r="B87" s="395"/>
      <c r="C87" s="18"/>
      <c r="D87" s="195"/>
      <c r="E87" s="197"/>
      <c r="F87" s="286" t="s">
        <v>198</v>
      </c>
      <c r="G87" s="286" t="s">
        <v>373</v>
      </c>
      <c r="H87" s="333" t="s">
        <v>717</v>
      </c>
      <c r="I87" s="284" t="s">
        <v>133</v>
      </c>
      <c r="J87" s="287" t="s">
        <v>28</v>
      </c>
      <c r="K87" s="287" t="s">
        <v>280</v>
      </c>
      <c r="L87" s="299">
        <v>4</v>
      </c>
      <c r="M87" s="362"/>
      <c r="N87" s="291"/>
      <c r="O87" s="291"/>
      <c r="P87" s="291"/>
      <c r="Q87" s="291"/>
      <c r="R87" s="291"/>
      <c r="S87" s="291"/>
      <c r="T87" s="291"/>
      <c r="U87" s="291"/>
      <c r="V87" s="291"/>
      <c r="W87" s="291"/>
      <c r="X87" s="291"/>
      <c r="Y87" s="291"/>
      <c r="Z87" s="177">
        <f t="shared" si="31"/>
        <v>0</v>
      </c>
      <c r="AA87" s="7">
        <f t="shared" si="32"/>
        <v>0</v>
      </c>
      <c r="AD87" s="286" t="s">
        <v>198</v>
      </c>
      <c r="AE87" s="16">
        <v>0</v>
      </c>
      <c r="AF87" s="16">
        <v>0</v>
      </c>
    </row>
    <row r="88" spans="2:32" ht="20.399999999999999" hidden="1">
      <c r="B88" s="395"/>
      <c r="C88" s="20"/>
      <c r="D88" s="284"/>
      <c r="E88" s="285"/>
      <c r="F88" s="286" t="s">
        <v>198</v>
      </c>
      <c r="G88" s="286" t="s">
        <v>373</v>
      </c>
      <c r="H88" s="284" t="s">
        <v>715</v>
      </c>
      <c r="I88" s="287" t="s">
        <v>718</v>
      </c>
      <c r="J88" s="126" t="s">
        <v>119</v>
      </c>
      <c r="K88" s="287" t="s">
        <v>301</v>
      </c>
      <c r="L88" s="299">
        <v>4</v>
      </c>
      <c r="M88" s="359" t="s">
        <v>553</v>
      </c>
      <c r="N88" s="291">
        <f t="shared" ref="N88" si="33">N84*$L$88</f>
        <v>520</v>
      </c>
      <c r="O88" s="291">
        <f t="shared" ref="O88:Y88" si="34">O84*$L$88</f>
        <v>3080</v>
      </c>
      <c r="P88" s="291">
        <f t="shared" si="34"/>
        <v>0</v>
      </c>
      <c r="Q88" s="291">
        <f t="shared" si="34"/>
        <v>0</v>
      </c>
      <c r="R88" s="291">
        <f t="shared" si="34"/>
        <v>0</v>
      </c>
      <c r="S88" s="291">
        <f t="shared" si="34"/>
        <v>0</v>
      </c>
      <c r="T88" s="291">
        <f t="shared" si="34"/>
        <v>0</v>
      </c>
      <c r="U88" s="291">
        <f t="shared" si="34"/>
        <v>0</v>
      </c>
      <c r="V88" s="291">
        <f t="shared" si="34"/>
        <v>0</v>
      </c>
      <c r="W88" s="291">
        <f t="shared" si="34"/>
        <v>0</v>
      </c>
      <c r="X88" s="291">
        <f t="shared" si="34"/>
        <v>0</v>
      </c>
      <c r="Y88" s="291">
        <f t="shared" si="34"/>
        <v>0</v>
      </c>
      <c r="Z88" s="177">
        <f>SUM(N88:Y88)</f>
        <v>3600</v>
      </c>
      <c r="AA88" s="7" t="s">
        <v>396</v>
      </c>
      <c r="AD88" s="286" t="s">
        <v>198</v>
      </c>
      <c r="AF88" s="16">
        <v>0</v>
      </c>
    </row>
    <row r="89" spans="2:32" ht="15.6" hidden="1">
      <c r="B89" s="395"/>
      <c r="C89" s="315"/>
      <c r="D89" s="174" t="s">
        <v>22</v>
      </c>
      <c r="E89" s="181">
        <f>SUM(N89:Y89)</f>
        <v>50</v>
      </c>
      <c r="F89" s="175" t="s">
        <v>198</v>
      </c>
      <c r="G89" s="183" t="s">
        <v>373</v>
      </c>
      <c r="H89" s="181"/>
      <c r="I89" s="182"/>
      <c r="J89" s="182"/>
      <c r="K89" s="176" t="s">
        <v>276</v>
      </c>
      <c r="L89" s="311"/>
      <c r="M89" s="363"/>
      <c r="N89" s="181">
        <f>SUMIFS('FCST data'!Q:Q,'FCST data'!$D:$D,$F89,'FCST data'!$K:$K,$G89,'FCST data'!$L:$L,$K89)</f>
        <v>20</v>
      </c>
      <c r="O89" s="181">
        <f>SUMIFS('FCST data'!R:R,'FCST data'!$D:$D,$F89,'FCST data'!$K:$K,$G89,'FCST data'!$L:$L,$K89)</f>
        <v>30</v>
      </c>
      <c r="P89" s="181">
        <f>SUMIFS('FCST data'!S:S,'FCST data'!$D:$D,$F89,'FCST data'!$K:$K,$G89,'FCST data'!$L:$L,$K89)</f>
        <v>0</v>
      </c>
      <c r="Q89" s="181">
        <f>SUMIFS('FCST data'!T:T,'FCST data'!$D:$D,$F89,'FCST data'!$K:$K,$G89,'FCST data'!$L:$L,$K89)</f>
        <v>0</v>
      </c>
      <c r="R89" s="181">
        <f>SUMIFS('FCST data'!U:U,'FCST data'!$D:$D,$F89,'FCST data'!$K:$K,$G89,'FCST data'!$L:$L,$K89)</f>
        <v>0</v>
      </c>
      <c r="S89" s="181">
        <f>SUMIFS('FCST data'!V:V,'FCST data'!$D:$D,$F89,'FCST data'!$K:$K,$G89,'FCST data'!$L:$L,$K89)</f>
        <v>0</v>
      </c>
      <c r="T89" s="181">
        <f>SUMIFS('FCST data'!W:W,'FCST data'!$D:$D,$F89,'FCST data'!$K:$K,$G89,'FCST data'!$L:$L,$K89)</f>
        <v>0</v>
      </c>
      <c r="U89" s="181">
        <f>SUMIFS('FCST data'!X:X,'FCST data'!$D:$D,$F89,'FCST data'!$K:$K,$G89,'FCST data'!$L:$L,$K89)</f>
        <v>0</v>
      </c>
      <c r="V89" s="181">
        <f>SUMIFS('FCST data'!Y:Y,'FCST data'!$D:$D,$F89,'FCST data'!$K:$K,$G89,'FCST data'!$L:$L,$K89)</f>
        <v>0</v>
      </c>
      <c r="W89" s="181">
        <f>SUMIFS('FCST data'!Z:Z,'FCST data'!$D:$D,$F89,'FCST data'!$K:$K,$G89,'FCST data'!$L:$L,$K89)</f>
        <v>0</v>
      </c>
      <c r="X89" s="181">
        <f>SUMIFS('FCST data'!AA:AA,'FCST data'!$D:$D,$F89,'FCST data'!$K:$K,$G89,'FCST data'!$L:$L,$K89)</f>
        <v>0</v>
      </c>
      <c r="Y89" s="181">
        <f>SUMIFS('FCST data'!AB:AB,'FCST data'!$D:$D,$F89,'FCST data'!$K:$K,$G89,'FCST data'!$L:$L,$K89)</f>
        <v>0</v>
      </c>
      <c r="Z89" s="148"/>
      <c r="AA89" s="44"/>
      <c r="AC89" s="16">
        <f>E89-SUM(AA90:AB93)</f>
        <v>0</v>
      </c>
      <c r="AD89" s="175" t="s">
        <v>198</v>
      </c>
      <c r="AE89" s="16">
        <v>0</v>
      </c>
      <c r="AF89" s="16">
        <v>0</v>
      </c>
    </row>
    <row r="90" spans="2:32" s="1" customFormat="1" ht="30.6" hidden="1">
      <c r="B90" s="395"/>
      <c r="C90" s="18"/>
      <c r="D90" s="195"/>
      <c r="E90" s="197"/>
      <c r="F90" s="286" t="s">
        <v>198</v>
      </c>
      <c r="G90" s="286" t="s">
        <v>373</v>
      </c>
      <c r="H90" s="284" t="s">
        <v>715</v>
      </c>
      <c r="I90" s="287" t="s">
        <v>718</v>
      </c>
      <c r="J90" s="284" t="s">
        <v>28</v>
      </c>
      <c r="K90" s="287" t="s">
        <v>282</v>
      </c>
      <c r="L90" s="180">
        <v>8</v>
      </c>
      <c r="M90" s="359" t="s">
        <v>554</v>
      </c>
      <c r="N90" s="291"/>
      <c r="O90" s="291"/>
      <c r="P90" s="291"/>
      <c r="Q90" s="291"/>
      <c r="R90" s="291"/>
      <c r="S90" s="291"/>
      <c r="T90" s="291"/>
      <c r="U90" s="291"/>
      <c r="V90" s="291"/>
      <c r="W90" s="291"/>
      <c r="X90" s="291"/>
      <c r="Y90" s="291"/>
      <c r="Z90" s="177">
        <f t="shared" ref="Z90:Z92" si="35">SUM(N90:Y90)*L90</f>
        <v>0</v>
      </c>
      <c r="AA90" s="7">
        <f t="shared" ref="AA90:AA92" si="36">SUM(N90:Y90)</f>
        <v>0</v>
      </c>
      <c r="AD90" s="286" t="s">
        <v>198</v>
      </c>
      <c r="AE90" s="16">
        <v>0</v>
      </c>
      <c r="AF90" s="16">
        <v>0</v>
      </c>
    </row>
    <row r="91" spans="2:32" s="1" customFormat="1" ht="15.6" hidden="1">
      <c r="B91" s="395" t="s">
        <v>762</v>
      </c>
      <c r="C91" s="18"/>
      <c r="D91" s="195"/>
      <c r="E91" s="197"/>
      <c r="F91" s="286" t="s">
        <v>198</v>
      </c>
      <c r="G91" s="286" t="s">
        <v>373</v>
      </c>
      <c r="H91" s="284" t="s">
        <v>20</v>
      </c>
      <c r="I91" s="284" t="s">
        <v>721</v>
      </c>
      <c r="J91" s="284" t="s">
        <v>28</v>
      </c>
      <c r="K91" s="287" t="s">
        <v>282</v>
      </c>
      <c r="L91" s="180">
        <v>8</v>
      </c>
      <c r="M91" s="362" t="s">
        <v>300</v>
      </c>
      <c r="N91" s="291">
        <v>20</v>
      </c>
      <c r="O91" s="291">
        <v>30</v>
      </c>
      <c r="P91" s="291">
        <v>0</v>
      </c>
      <c r="Q91" s="291">
        <v>0</v>
      </c>
      <c r="R91" s="291"/>
      <c r="S91" s="291"/>
      <c r="T91" s="291"/>
      <c r="U91" s="291"/>
      <c r="V91" s="291"/>
      <c r="W91" s="291"/>
      <c r="X91" s="291"/>
      <c r="Y91" s="291"/>
      <c r="Z91" s="177">
        <f t="shared" si="35"/>
        <v>400</v>
      </c>
      <c r="AA91" s="7">
        <f t="shared" si="36"/>
        <v>50</v>
      </c>
      <c r="AD91" s="286" t="s">
        <v>198</v>
      </c>
      <c r="AE91" s="16">
        <v>0</v>
      </c>
      <c r="AF91" s="16">
        <v>0</v>
      </c>
    </row>
    <row r="92" spans="2:32" s="1" customFormat="1" ht="15.6" hidden="1">
      <c r="B92" s="395"/>
      <c r="C92" s="18"/>
      <c r="D92" s="195"/>
      <c r="E92" s="197"/>
      <c r="F92" s="286" t="s">
        <v>198</v>
      </c>
      <c r="G92" s="286" t="s">
        <v>373</v>
      </c>
      <c r="H92" s="284" t="s">
        <v>20</v>
      </c>
      <c r="I92" s="284" t="s">
        <v>133</v>
      </c>
      <c r="J92" s="284" t="s">
        <v>28</v>
      </c>
      <c r="K92" s="287" t="s">
        <v>282</v>
      </c>
      <c r="L92" s="180">
        <v>8</v>
      </c>
      <c r="M92" s="362"/>
      <c r="N92" s="291"/>
      <c r="O92" s="291"/>
      <c r="P92" s="291"/>
      <c r="Q92" s="291"/>
      <c r="R92" s="291"/>
      <c r="S92" s="291"/>
      <c r="T92" s="291"/>
      <c r="U92" s="291"/>
      <c r="V92" s="291"/>
      <c r="W92" s="291"/>
      <c r="X92" s="291"/>
      <c r="Y92" s="291"/>
      <c r="Z92" s="177">
        <f t="shared" si="35"/>
        <v>0</v>
      </c>
      <c r="AA92" s="7">
        <f t="shared" si="36"/>
        <v>0</v>
      </c>
      <c r="AD92" s="286" t="s">
        <v>198</v>
      </c>
      <c r="AE92" s="16">
        <v>0</v>
      </c>
      <c r="AF92" s="16">
        <v>0</v>
      </c>
    </row>
    <row r="93" spans="2:32" s="1" customFormat="1" ht="30.6" hidden="1">
      <c r="B93" s="395"/>
      <c r="C93" s="18"/>
      <c r="D93" s="195"/>
      <c r="E93" s="197"/>
      <c r="F93" s="286" t="s">
        <v>198</v>
      </c>
      <c r="G93" s="286" t="s">
        <v>373</v>
      </c>
      <c r="H93" s="284" t="s">
        <v>715</v>
      </c>
      <c r="I93" s="287" t="s">
        <v>718</v>
      </c>
      <c r="J93" s="126" t="s">
        <v>119</v>
      </c>
      <c r="K93" s="287" t="s">
        <v>283</v>
      </c>
      <c r="L93" s="168">
        <v>4</v>
      </c>
      <c r="M93" s="359" t="s">
        <v>570</v>
      </c>
      <c r="N93" s="291">
        <f t="shared" ref="N93" si="37">N89*$L$103</f>
        <v>80</v>
      </c>
      <c r="O93" s="291">
        <f t="shared" ref="O93:Y93" si="38">O89*$L$103</f>
        <v>120</v>
      </c>
      <c r="P93" s="291">
        <f t="shared" si="38"/>
        <v>0</v>
      </c>
      <c r="Q93" s="291">
        <f t="shared" si="38"/>
        <v>0</v>
      </c>
      <c r="R93" s="291">
        <f t="shared" si="38"/>
        <v>0</v>
      </c>
      <c r="S93" s="291">
        <f t="shared" si="38"/>
        <v>0</v>
      </c>
      <c r="T93" s="291">
        <f t="shared" si="38"/>
        <v>0</v>
      </c>
      <c r="U93" s="291">
        <f t="shared" si="38"/>
        <v>0</v>
      </c>
      <c r="V93" s="291">
        <f t="shared" si="38"/>
        <v>0</v>
      </c>
      <c r="W93" s="291">
        <f t="shared" si="38"/>
        <v>0</v>
      </c>
      <c r="X93" s="291">
        <f t="shared" si="38"/>
        <v>0</v>
      </c>
      <c r="Y93" s="291">
        <f t="shared" si="38"/>
        <v>0</v>
      </c>
      <c r="Z93" s="177">
        <f>SUM(N93:Y93)</f>
        <v>200</v>
      </c>
      <c r="AA93" s="7" t="s">
        <v>396</v>
      </c>
      <c r="AB93" s="16"/>
      <c r="AD93" s="286" t="s">
        <v>198</v>
      </c>
      <c r="AE93" s="16"/>
      <c r="AF93" s="16">
        <v>0</v>
      </c>
    </row>
    <row r="94" spans="2:32" ht="15.6" hidden="1">
      <c r="B94" s="395"/>
      <c r="C94" s="315"/>
      <c r="D94" s="174" t="s">
        <v>22</v>
      </c>
      <c r="E94" s="181">
        <f>SUM(N94:Y94)</f>
        <v>750</v>
      </c>
      <c r="F94" s="175" t="s">
        <v>198</v>
      </c>
      <c r="G94" s="183" t="s">
        <v>382</v>
      </c>
      <c r="H94" s="181"/>
      <c r="I94" s="182"/>
      <c r="J94" s="182"/>
      <c r="K94" s="176" t="s">
        <v>108</v>
      </c>
      <c r="L94" s="311"/>
      <c r="M94" s="363"/>
      <c r="N94" s="181">
        <f>SUMIFS('FCST data'!Q:Q,'FCST data'!$D:$D,$F94,'FCST data'!$K:$K,$G94,'FCST data'!$L:$L,$K94)</f>
        <v>150</v>
      </c>
      <c r="O94" s="181">
        <f>SUMIFS('FCST data'!R:R,'FCST data'!$D:$D,$F94,'FCST data'!$K:$K,$G94,'FCST data'!$L:$L,$K94)</f>
        <v>600</v>
      </c>
      <c r="P94" s="181">
        <f>SUMIFS('FCST data'!S:S,'FCST data'!$D:$D,$F94,'FCST data'!$K:$K,$G94,'FCST data'!$L:$L,$K94)</f>
        <v>0</v>
      </c>
      <c r="Q94" s="181">
        <f>SUMIFS('FCST data'!T:T,'FCST data'!$D:$D,$F94,'FCST data'!$K:$K,$G94,'FCST data'!$L:$L,$K94)</f>
        <v>0</v>
      </c>
      <c r="R94" s="181">
        <f>SUMIFS('FCST data'!U:U,'FCST data'!$D:$D,$F94,'FCST data'!$K:$K,$G94,'FCST data'!$L:$L,$K94)</f>
        <v>0</v>
      </c>
      <c r="S94" s="181">
        <f>SUMIFS('FCST data'!V:V,'FCST data'!$D:$D,$F94,'FCST data'!$K:$K,$G94,'FCST data'!$L:$L,$K94)</f>
        <v>0</v>
      </c>
      <c r="T94" s="181">
        <f>SUMIFS('FCST data'!W:W,'FCST data'!$D:$D,$F94,'FCST data'!$K:$K,$G94,'FCST data'!$L:$L,$K94)</f>
        <v>0</v>
      </c>
      <c r="U94" s="181">
        <f>SUMIFS('FCST data'!X:X,'FCST data'!$D:$D,$F94,'FCST data'!$K:$K,$G94,'FCST data'!$L:$L,$K94)</f>
        <v>0</v>
      </c>
      <c r="V94" s="181">
        <f>SUMIFS('FCST data'!Y:Y,'FCST data'!$D:$D,$F94,'FCST data'!$K:$K,$G94,'FCST data'!$L:$L,$K94)</f>
        <v>0</v>
      </c>
      <c r="W94" s="181">
        <f>SUMIFS('FCST data'!Z:Z,'FCST data'!$D:$D,$F94,'FCST data'!$K:$K,$G94,'FCST data'!$L:$L,$K94)</f>
        <v>0</v>
      </c>
      <c r="X94" s="181">
        <f>SUMIFS('FCST data'!AA:AA,'FCST data'!$D:$D,$F94,'FCST data'!$K:$K,$G94,'FCST data'!$L:$L,$K94)</f>
        <v>0</v>
      </c>
      <c r="Y94" s="181">
        <f>SUMIFS('FCST data'!AB:AB,'FCST data'!$D:$D,$F94,'FCST data'!$K:$K,$G94,'FCST data'!$L:$L,$K94)</f>
        <v>0</v>
      </c>
      <c r="Z94" s="148"/>
      <c r="AA94" s="44"/>
      <c r="AC94" s="16">
        <f>E94-SUM(AA95:AB98)</f>
        <v>0</v>
      </c>
      <c r="AD94" s="175" t="s">
        <v>198</v>
      </c>
      <c r="AE94" s="16">
        <v>0</v>
      </c>
      <c r="AF94" s="16">
        <v>0</v>
      </c>
    </row>
    <row r="95" spans="2:32" s="1" customFormat="1" ht="30.6" hidden="1">
      <c r="B95" s="395"/>
      <c r="C95" s="18"/>
      <c r="D95" s="195"/>
      <c r="E95" s="197"/>
      <c r="F95" s="178" t="s">
        <v>198</v>
      </c>
      <c r="G95" s="178" t="s">
        <v>382</v>
      </c>
      <c r="H95" s="284" t="s">
        <v>715</v>
      </c>
      <c r="I95" s="287" t="s">
        <v>718</v>
      </c>
      <c r="J95" s="284" t="s">
        <v>28</v>
      </c>
      <c r="K95" s="287" t="s">
        <v>280</v>
      </c>
      <c r="L95" s="299">
        <v>4</v>
      </c>
      <c r="M95" s="359" t="s">
        <v>552</v>
      </c>
      <c r="N95" s="291"/>
      <c r="O95" s="291"/>
      <c r="P95" s="291"/>
      <c r="Q95" s="291"/>
      <c r="R95" s="291"/>
      <c r="S95" s="291"/>
      <c r="T95" s="291"/>
      <c r="U95" s="291"/>
      <c r="V95" s="291"/>
      <c r="W95" s="291"/>
      <c r="X95" s="291"/>
      <c r="Y95" s="291"/>
      <c r="Z95" s="177">
        <f t="shared" ref="Z95:Z97" si="39">SUM(N95:Y95)*L95</f>
        <v>0</v>
      </c>
      <c r="AA95" s="7">
        <f t="shared" ref="AA95:AA97" si="40">SUM(N95:Y95)</f>
        <v>0</v>
      </c>
      <c r="AD95" s="178" t="s">
        <v>198</v>
      </c>
      <c r="AE95" s="16">
        <v>0</v>
      </c>
      <c r="AF95" s="16">
        <v>0</v>
      </c>
    </row>
    <row r="96" spans="2:32" s="1" customFormat="1" ht="15.6" hidden="1">
      <c r="B96" s="395"/>
      <c r="C96" s="18"/>
      <c r="D96" s="195"/>
      <c r="E96" s="197"/>
      <c r="F96" s="178" t="s">
        <v>198</v>
      </c>
      <c r="G96" s="178" t="s">
        <v>382</v>
      </c>
      <c r="H96" s="333" t="s">
        <v>717</v>
      </c>
      <c r="I96" s="284" t="s">
        <v>721</v>
      </c>
      <c r="J96" s="284" t="s">
        <v>28</v>
      </c>
      <c r="K96" s="287" t="s">
        <v>280</v>
      </c>
      <c r="L96" s="299">
        <v>4</v>
      </c>
      <c r="M96" s="362" t="s">
        <v>281</v>
      </c>
      <c r="N96" s="291">
        <v>150</v>
      </c>
      <c r="O96" s="291">
        <v>600</v>
      </c>
      <c r="P96" s="291"/>
      <c r="Q96" s="291"/>
      <c r="R96" s="291"/>
      <c r="S96" s="291"/>
      <c r="T96" s="291"/>
      <c r="U96" s="291"/>
      <c r="V96" s="291"/>
      <c r="W96" s="291"/>
      <c r="X96" s="291"/>
      <c r="Y96" s="291"/>
      <c r="Z96" s="177">
        <f t="shared" si="39"/>
        <v>3000</v>
      </c>
      <c r="AA96" s="7">
        <f t="shared" si="40"/>
        <v>750</v>
      </c>
      <c r="AD96" s="178" t="s">
        <v>198</v>
      </c>
      <c r="AE96" s="16">
        <v>650</v>
      </c>
      <c r="AF96" s="16">
        <v>0</v>
      </c>
    </row>
    <row r="97" spans="2:32" s="1" customFormat="1" ht="15.6" hidden="1">
      <c r="B97" s="395"/>
      <c r="C97" s="18"/>
      <c r="D97" s="195"/>
      <c r="E97" s="197"/>
      <c r="F97" s="178" t="s">
        <v>198</v>
      </c>
      <c r="G97" s="178" t="s">
        <v>382</v>
      </c>
      <c r="H97" s="333" t="s">
        <v>717</v>
      </c>
      <c r="I97" s="284" t="s">
        <v>133</v>
      </c>
      <c r="J97" s="284" t="s">
        <v>28</v>
      </c>
      <c r="K97" s="287" t="s">
        <v>280</v>
      </c>
      <c r="L97" s="299">
        <v>4</v>
      </c>
      <c r="M97" s="362"/>
      <c r="N97" s="291"/>
      <c r="O97" s="291"/>
      <c r="P97" s="291"/>
      <c r="Q97" s="291"/>
      <c r="R97" s="291"/>
      <c r="S97" s="291"/>
      <c r="T97" s="291"/>
      <c r="U97" s="291"/>
      <c r="V97" s="291"/>
      <c r="W97" s="291"/>
      <c r="X97" s="291"/>
      <c r="Y97" s="291"/>
      <c r="Z97" s="177">
        <f t="shared" si="39"/>
        <v>0</v>
      </c>
      <c r="AA97" s="7">
        <f t="shared" si="40"/>
        <v>0</v>
      </c>
      <c r="AD97" s="178" t="s">
        <v>198</v>
      </c>
      <c r="AE97" s="16">
        <v>0</v>
      </c>
      <c r="AF97" s="16">
        <v>0</v>
      </c>
    </row>
    <row r="98" spans="2:32" s="1" customFormat="1" ht="20.399999999999999" hidden="1">
      <c r="B98" s="395"/>
      <c r="C98" s="18"/>
      <c r="D98" s="195"/>
      <c r="E98" s="197"/>
      <c r="F98" s="286" t="s">
        <v>198</v>
      </c>
      <c r="G98" s="286" t="s">
        <v>382</v>
      </c>
      <c r="H98" s="284" t="s">
        <v>715</v>
      </c>
      <c r="I98" s="287" t="s">
        <v>718</v>
      </c>
      <c r="J98" s="126" t="s">
        <v>119</v>
      </c>
      <c r="K98" s="287" t="s">
        <v>301</v>
      </c>
      <c r="L98" s="168">
        <v>4</v>
      </c>
      <c r="M98" s="359" t="s">
        <v>553</v>
      </c>
      <c r="N98" s="291">
        <f t="shared" ref="N98" si="41">N94*$L$98</f>
        <v>600</v>
      </c>
      <c r="O98" s="291">
        <f t="shared" ref="O98:Y98" si="42">O94*$L$98</f>
        <v>2400</v>
      </c>
      <c r="P98" s="291">
        <f t="shared" si="42"/>
        <v>0</v>
      </c>
      <c r="Q98" s="291">
        <f t="shared" si="42"/>
        <v>0</v>
      </c>
      <c r="R98" s="291">
        <f t="shared" si="42"/>
        <v>0</v>
      </c>
      <c r="S98" s="291">
        <f t="shared" si="42"/>
        <v>0</v>
      </c>
      <c r="T98" s="291">
        <f t="shared" si="42"/>
        <v>0</v>
      </c>
      <c r="U98" s="291">
        <f t="shared" si="42"/>
        <v>0</v>
      </c>
      <c r="V98" s="291">
        <f t="shared" si="42"/>
        <v>0</v>
      </c>
      <c r="W98" s="291">
        <f t="shared" si="42"/>
        <v>0</v>
      </c>
      <c r="X98" s="291">
        <f t="shared" si="42"/>
        <v>0</v>
      </c>
      <c r="Y98" s="291">
        <f t="shared" si="42"/>
        <v>0</v>
      </c>
      <c r="Z98" s="177">
        <f>SUM(N98:Y98)</f>
        <v>3000</v>
      </c>
      <c r="AA98" s="7" t="s">
        <v>396</v>
      </c>
      <c r="AB98" s="16"/>
      <c r="AD98" s="286" t="s">
        <v>198</v>
      </c>
      <c r="AE98" s="16"/>
      <c r="AF98" s="16">
        <v>0</v>
      </c>
    </row>
    <row r="99" spans="2:32" ht="15.6" hidden="1">
      <c r="B99" s="395"/>
      <c r="C99" s="315"/>
      <c r="D99" s="174" t="s">
        <v>22</v>
      </c>
      <c r="E99" s="181">
        <f>SUM(N99:Y99)</f>
        <v>0</v>
      </c>
      <c r="F99" s="175" t="s">
        <v>198</v>
      </c>
      <c r="G99" s="183" t="s">
        <v>382</v>
      </c>
      <c r="H99" s="181"/>
      <c r="I99" s="182"/>
      <c r="J99" s="182"/>
      <c r="K99" s="176" t="s">
        <v>276</v>
      </c>
      <c r="L99" s="311"/>
      <c r="M99" s="363"/>
      <c r="N99" s="181">
        <f>SUMIFS('FCST data'!Q:Q,'FCST data'!$D:$D,$F99,'FCST data'!$K:$K,$G99,'FCST data'!$L:$L,$K99)</f>
        <v>0</v>
      </c>
      <c r="O99" s="181">
        <f>SUMIFS('FCST data'!R:R,'FCST data'!$D:$D,$F99,'FCST data'!$K:$K,$G99,'FCST data'!$L:$L,$K99)</f>
        <v>0</v>
      </c>
      <c r="P99" s="181">
        <f>SUMIFS('FCST data'!S:S,'FCST data'!$D:$D,$F99,'FCST data'!$K:$K,$G99,'FCST data'!$L:$L,$K99)</f>
        <v>0</v>
      </c>
      <c r="Q99" s="181">
        <f>SUMIFS('FCST data'!T:T,'FCST data'!$D:$D,$F99,'FCST data'!$K:$K,$G99,'FCST data'!$L:$L,$K99)</f>
        <v>0</v>
      </c>
      <c r="R99" s="181">
        <f>SUMIFS('FCST data'!U:U,'FCST data'!$D:$D,$F99,'FCST data'!$K:$K,$G99,'FCST data'!$L:$L,$K99)</f>
        <v>0</v>
      </c>
      <c r="S99" s="181">
        <f>SUMIFS('FCST data'!V:V,'FCST data'!$D:$D,$F99,'FCST data'!$K:$K,$G99,'FCST data'!$L:$L,$K99)</f>
        <v>0</v>
      </c>
      <c r="T99" s="181">
        <f>SUMIFS('FCST data'!W:W,'FCST data'!$D:$D,$F99,'FCST data'!$K:$K,$G99,'FCST data'!$L:$L,$K99)</f>
        <v>0</v>
      </c>
      <c r="U99" s="181">
        <f>SUMIFS('FCST data'!X:X,'FCST data'!$D:$D,$F99,'FCST data'!$K:$K,$G99,'FCST data'!$L:$L,$K99)</f>
        <v>0</v>
      </c>
      <c r="V99" s="181">
        <f>SUMIFS('FCST data'!Y:Y,'FCST data'!$D:$D,$F99,'FCST data'!$K:$K,$G99,'FCST data'!$L:$L,$K99)</f>
        <v>0</v>
      </c>
      <c r="W99" s="181">
        <f>SUMIFS('FCST data'!Z:Z,'FCST data'!$D:$D,$F99,'FCST data'!$K:$K,$G99,'FCST data'!$L:$L,$K99)</f>
        <v>0</v>
      </c>
      <c r="X99" s="181">
        <f>SUMIFS('FCST data'!AA:AA,'FCST data'!$D:$D,$F99,'FCST data'!$K:$K,$G99,'FCST data'!$L:$L,$K99)</f>
        <v>0</v>
      </c>
      <c r="Y99" s="181">
        <f>SUMIFS('FCST data'!AB:AB,'FCST data'!$D:$D,$F99,'FCST data'!$K:$K,$G99,'FCST data'!$L:$L,$K99)</f>
        <v>0</v>
      </c>
      <c r="Z99" s="148"/>
      <c r="AA99" s="44"/>
      <c r="AC99" s="16">
        <f>E99-SUM(AA100:AB103)</f>
        <v>0</v>
      </c>
      <c r="AD99" s="175" t="s">
        <v>198</v>
      </c>
      <c r="AE99" s="16">
        <v>0</v>
      </c>
      <c r="AF99" s="16">
        <v>0</v>
      </c>
    </row>
    <row r="100" spans="2:32" s="1" customFormat="1" ht="30.6" hidden="1">
      <c r="B100" s="395"/>
      <c r="C100" s="18"/>
      <c r="D100" s="195"/>
      <c r="E100" s="197"/>
      <c r="F100" s="286" t="s">
        <v>198</v>
      </c>
      <c r="G100" s="286" t="s">
        <v>382</v>
      </c>
      <c r="H100" s="284" t="s">
        <v>715</v>
      </c>
      <c r="I100" s="287" t="s">
        <v>718</v>
      </c>
      <c r="J100" s="284" t="s">
        <v>28</v>
      </c>
      <c r="K100" s="287" t="s">
        <v>282</v>
      </c>
      <c r="L100" s="180">
        <v>8</v>
      </c>
      <c r="M100" s="359" t="s">
        <v>554</v>
      </c>
      <c r="N100" s="291"/>
      <c r="O100" s="291"/>
      <c r="P100" s="291"/>
      <c r="Q100" s="291"/>
      <c r="R100" s="291"/>
      <c r="S100" s="291"/>
      <c r="T100" s="291"/>
      <c r="U100" s="291"/>
      <c r="V100" s="291"/>
      <c r="W100" s="291"/>
      <c r="X100" s="291"/>
      <c r="Y100" s="291"/>
      <c r="Z100" s="177">
        <f t="shared" ref="Z100:Z102" si="43">SUM(N100:Y100)*L100</f>
        <v>0</v>
      </c>
      <c r="AA100" s="7">
        <f t="shared" ref="AA100:AA102" si="44">SUM(N100:Y100)</f>
        <v>0</v>
      </c>
      <c r="AD100" s="286" t="s">
        <v>198</v>
      </c>
      <c r="AE100" s="16">
        <v>0</v>
      </c>
      <c r="AF100" s="16">
        <v>0</v>
      </c>
    </row>
    <row r="101" spans="2:32" s="1" customFormat="1" ht="15.6" hidden="1">
      <c r="B101" s="395" t="s">
        <v>762</v>
      </c>
      <c r="C101" s="18"/>
      <c r="D101" s="195"/>
      <c r="E101" s="197"/>
      <c r="F101" s="286" t="s">
        <v>198</v>
      </c>
      <c r="G101" s="286" t="s">
        <v>382</v>
      </c>
      <c r="H101" s="284" t="s">
        <v>20</v>
      </c>
      <c r="I101" s="284" t="s">
        <v>721</v>
      </c>
      <c r="J101" s="284" t="s">
        <v>28</v>
      </c>
      <c r="K101" s="287" t="s">
        <v>282</v>
      </c>
      <c r="L101" s="180">
        <v>8</v>
      </c>
      <c r="M101" s="362" t="s">
        <v>300</v>
      </c>
      <c r="N101" s="291"/>
      <c r="O101" s="291"/>
      <c r="P101" s="291"/>
      <c r="Q101" s="291"/>
      <c r="R101" s="291"/>
      <c r="S101" s="291"/>
      <c r="T101" s="291"/>
      <c r="U101" s="291"/>
      <c r="V101" s="291"/>
      <c r="W101" s="291"/>
      <c r="X101" s="291"/>
      <c r="Y101" s="291"/>
      <c r="Z101" s="177">
        <f t="shared" si="43"/>
        <v>0</v>
      </c>
      <c r="AA101" s="7">
        <f t="shared" si="44"/>
        <v>0</v>
      </c>
      <c r="AD101" s="286" t="s">
        <v>198</v>
      </c>
      <c r="AE101" s="16">
        <v>0</v>
      </c>
      <c r="AF101" s="16">
        <v>0</v>
      </c>
    </row>
    <row r="102" spans="2:32" s="1" customFormat="1" ht="15.6" hidden="1">
      <c r="B102" s="395"/>
      <c r="C102" s="18"/>
      <c r="D102" s="195"/>
      <c r="E102" s="197"/>
      <c r="F102" s="286" t="s">
        <v>198</v>
      </c>
      <c r="G102" s="286" t="s">
        <v>382</v>
      </c>
      <c r="H102" s="284" t="s">
        <v>20</v>
      </c>
      <c r="I102" s="284" t="s">
        <v>133</v>
      </c>
      <c r="J102" s="284" t="s">
        <v>28</v>
      </c>
      <c r="K102" s="287" t="s">
        <v>282</v>
      </c>
      <c r="L102" s="180">
        <v>8</v>
      </c>
      <c r="M102" s="362"/>
      <c r="N102" s="291"/>
      <c r="O102" s="291"/>
      <c r="P102" s="291"/>
      <c r="Q102" s="291"/>
      <c r="R102" s="291"/>
      <c r="S102" s="291"/>
      <c r="T102" s="291"/>
      <c r="U102" s="291"/>
      <c r="V102" s="291"/>
      <c r="W102" s="291"/>
      <c r="X102" s="291"/>
      <c r="Y102" s="291"/>
      <c r="Z102" s="177">
        <f t="shared" si="43"/>
        <v>0</v>
      </c>
      <c r="AA102" s="7">
        <f t="shared" si="44"/>
        <v>0</v>
      </c>
      <c r="AD102" s="286" t="s">
        <v>198</v>
      </c>
      <c r="AE102" s="16">
        <v>0</v>
      </c>
      <c r="AF102" s="16">
        <v>0</v>
      </c>
    </row>
    <row r="103" spans="2:32" s="1" customFormat="1" ht="30.6" hidden="1">
      <c r="B103" s="395"/>
      <c r="C103" s="18"/>
      <c r="D103" s="195"/>
      <c r="E103" s="197"/>
      <c r="F103" s="286" t="s">
        <v>198</v>
      </c>
      <c r="G103" s="286" t="s">
        <v>382</v>
      </c>
      <c r="H103" s="284" t="s">
        <v>715</v>
      </c>
      <c r="I103" s="287" t="s">
        <v>718</v>
      </c>
      <c r="J103" s="126" t="s">
        <v>119</v>
      </c>
      <c r="K103" s="287" t="s">
        <v>283</v>
      </c>
      <c r="L103" s="168">
        <v>4</v>
      </c>
      <c r="M103" s="359" t="s">
        <v>570</v>
      </c>
      <c r="N103" s="291">
        <f t="shared" ref="N103:Y103" si="45">N99*$L$103</f>
        <v>0</v>
      </c>
      <c r="O103" s="291">
        <f t="shared" si="45"/>
        <v>0</v>
      </c>
      <c r="P103" s="291">
        <f t="shared" si="45"/>
        <v>0</v>
      </c>
      <c r="Q103" s="291">
        <f t="shared" si="45"/>
        <v>0</v>
      </c>
      <c r="R103" s="291">
        <f t="shared" si="45"/>
        <v>0</v>
      </c>
      <c r="S103" s="291">
        <f t="shared" si="45"/>
        <v>0</v>
      </c>
      <c r="T103" s="291">
        <f t="shared" si="45"/>
        <v>0</v>
      </c>
      <c r="U103" s="291">
        <f t="shared" si="45"/>
        <v>0</v>
      </c>
      <c r="V103" s="291">
        <f t="shared" si="45"/>
        <v>0</v>
      </c>
      <c r="W103" s="291">
        <f t="shared" si="45"/>
        <v>0</v>
      </c>
      <c r="X103" s="291">
        <f t="shared" si="45"/>
        <v>0</v>
      </c>
      <c r="Y103" s="291">
        <f t="shared" si="45"/>
        <v>0</v>
      </c>
      <c r="Z103" s="177">
        <f>SUM(N103:Y103)</f>
        <v>0</v>
      </c>
      <c r="AA103" s="7" t="s">
        <v>396</v>
      </c>
      <c r="AB103" s="16"/>
      <c r="AD103" s="286" t="s">
        <v>198</v>
      </c>
      <c r="AE103" s="16"/>
      <c r="AF103" s="16">
        <v>0</v>
      </c>
    </row>
    <row r="104" spans="2:32" ht="15.6" hidden="1">
      <c r="B104" s="395"/>
      <c r="C104" s="315"/>
      <c r="D104" s="174" t="s">
        <v>22</v>
      </c>
      <c r="E104" s="181">
        <f>SUM(N104:Y104)</f>
        <v>0</v>
      </c>
      <c r="F104" s="175" t="s">
        <v>623</v>
      </c>
      <c r="G104" s="183" t="s">
        <v>382</v>
      </c>
      <c r="H104" s="181"/>
      <c r="I104" s="182"/>
      <c r="J104" s="182"/>
      <c r="K104" s="176" t="s">
        <v>276</v>
      </c>
      <c r="L104" s="311"/>
      <c r="M104" s="363"/>
      <c r="N104" s="181">
        <f>SUMIFS('FCST data'!Q:Q,'FCST data'!$D:$D,$F104,'FCST data'!$K:$K,$G104,'FCST data'!$L:$L,$K104)</f>
        <v>0</v>
      </c>
      <c r="O104" s="181">
        <f>SUMIFS('FCST data'!R:R,'FCST data'!$D:$D,$F104,'FCST data'!$K:$K,$G104,'FCST data'!$L:$L,$K104)</f>
        <v>0</v>
      </c>
      <c r="P104" s="181">
        <f>SUMIFS('FCST data'!S:S,'FCST data'!$D:$D,$F104,'FCST data'!$K:$K,$G104,'FCST data'!$L:$L,$K104)</f>
        <v>0</v>
      </c>
      <c r="Q104" s="181">
        <f>SUMIFS('FCST data'!T:T,'FCST data'!$D:$D,$F104,'FCST data'!$K:$K,$G104,'FCST data'!$L:$L,$K104)</f>
        <v>0</v>
      </c>
      <c r="R104" s="181">
        <f>SUMIFS('FCST data'!U:U,'FCST data'!$D:$D,$F104,'FCST data'!$K:$K,$G104,'FCST data'!$L:$L,$K104)</f>
        <v>0</v>
      </c>
      <c r="S104" s="181">
        <f>SUMIFS('FCST data'!V:V,'FCST data'!$D:$D,$F104,'FCST data'!$K:$K,$G104,'FCST data'!$L:$L,$K104)</f>
        <v>0</v>
      </c>
      <c r="T104" s="181">
        <f>SUMIFS('FCST data'!W:W,'FCST data'!$D:$D,$F104,'FCST data'!$K:$K,$G104,'FCST data'!$L:$L,$K104)</f>
        <v>0</v>
      </c>
      <c r="U104" s="181">
        <f>SUMIFS('FCST data'!X:X,'FCST data'!$D:$D,$F104,'FCST data'!$K:$K,$G104,'FCST data'!$L:$L,$K104)</f>
        <v>0</v>
      </c>
      <c r="V104" s="181">
        <f>SUMIFS('FCST data'!Y:Y,'FCST data'!$D:$D,$F104,'FCST data'!$K:$K,$G104,'FCST data'!$L:$L,$K104)</f>
        <v>0</v>
      </c>
      <c r="W104" s="181">
        <f>SUMIFS('FCST data'!Z:Z,'FCST data'!$D:$D,$F104,'FCST data'!$K:$K,$G104,'FCST data'!$L:$L,$K104)</f>
        <v>0</v>
      </c>
      <c r="X104" s="181">
        <f>SUMIFS('FCST data'!AA:AA,'FCST data'!$D:$D,$F104,'FCST data'!$K:$K,$G104,'FCST data'!$L:$L,$K104)</f>
        <v>0</v>
      </c>
      <c r="Y104" s="181">
        <f>SUMIFS('FCST data'!AB:AB,'FCST data'!$D:$D,$F104,'FCST data'!$K:$K,$G104,'FCST data'!$L:$L,$K104)</f>
        <v>0</v>
      </c>
      <c r="Z104" s="148"/>
      <c r="AA104" s="44"/>
      <c r="AC104" s="16">
        <f>E104-SUM(AA105:AB108)</f>
        <v>0</v>
      </c>
      <c r="AD104" s="175" t="s">
        <v>623</v>
      </c>
      <c r="AE104" s="16">
        <v>0</v>
      </c>
      <c r="AF104" s="16">
        <v>0</v>
      </c>
    </row>
    <row r="105" spans="2:32" s="1" customFormat="1" ht="30.6" hidden="1">
      <c r="B105" s="395"/>
      <c r="C105" s="18"/>
      <c r="D105" s="195"/>
      <c r="E105" s="197"/>
      <c r="F105" s="286" t="s">
        <v>623</v>
      </c>
      <c r="G105" s="286" t="s">
        <v>382</v>
      </c>
      <c r="H105" s="284" t="s">
        <v>715</v>
      </c>
      <c r="I105" s="287" t="s">
        <v>718</v>
      </c>
      <c r="J105" s="284" t="s">
        <v>28</v>
      </c>
      <c r="K105" s="287" t="s">
        <v>282</v>
      </c>
      <c r="L105" s="180">
        <v>8</v>
      </c>
      <c r="M105" s="359" t="s">
        <v>554</v>
      </c>
      <c r="N105" s="291"/>
      <c r="O105" s="291"/>
      <c r="P105" s="291"/>
      <c r="Q105" s="291"/>
      <c r="R105" s="291"/>
      <c r="S105" s="291"/>
      <c r="T105" s="291"/>
      <c r="U105" s="291"/>
      <c r="V105" s="291"/>
      <c r="W105" s="291"/>
      <c r="X105" s="291"/>
      <c r="Y105" s="291"/>
      <c r="Z105" s="177">
        <f t="shared" ref="Z105:Z107" si="46">SUM(N105:Y105)*L105</f>
        <v>0</v>
      </c>
      <c r="AA105" s="7">
        <f t="shared" ref="AA105:AA107" si="47">SUM(N105:Y105)</f>
        <v>0</v>
      </c>
      <c r="AD105" s="286" t="s">
        <v>623</v>
      </c>
      <c r="AE105" s="16">
        <v>0</v>
      </c>
      <c r="AF105" s="16">
        <v>0</v>
      </c>
    </row>
    <row r="106" spans="2:32" s="1" customFormat="1" ht="15.6" hidden="1">
      <c r="B106" s="395" t="s">
        <v>762</v>
      </c>
      <c r="C106" s="18"/>
      <c r="D106" s="195"/>
      <c r="E106" s="197"/>
      <c r="F106" s="286" t="s">
        <v>623</v>
      </c>
      <c r="G106" s="286" t="s">
        <v>382</v>
      </c>
      <c r="H106" s="284" t="s">
        <v>20</v>
      </c>
      <c r="I106" s="284" t="s">
        <v>721</v>
      </c>
      <c r="J106" s="284" t="s">
        <v>28</v>
      </c>
      <c r="K106" s="287" t="s">
        <v>282</v>
      </c>
      <c r="L106" s="180">
        <v>8</v>
      </c>
      <c r="M106" s="362" t="s">
        <v>300</v>
      </c>
      <c r="N106" s="291"/>
      <c r="O106" s="291"/>
      <c r="P106" s="291"/>
      <c r="Q106" s="291"/>
      <c r="R106" s="291"/>
      <c r="S106" s="291"/>
      <c r="T106" s="291"/>
      <c r="U106" s="291"/>
      <c r="V106" s="291"/>
      <c r="W106" s="291"/>
      <c r="X106" s="291"/>
      <c r="Y106" s="291"/>
      <c r="Z106" s="177">
        <f t="shared" si="46"/>
        <v>0</v>
      </c>
      <c r="AA106" s="7">
        <f t="shared" si="47"/>
        <v>0</v>
      </c>
      <c r="AD106" s="286" t="s">
        <v>623</v>
      </c>
      <c r="AE106" s="16">
        <v>0</v>
      </c>
      <c r="AF106" s="16">
        <v>0</v>
      </c>
    </row>
    <row r="107" spans="2:32" s="1" customFormat="1" ht="15.6" hidden="1">
      <c r="B107" s="395"/>
      <c r="C107" s="18"/>
      <c r="D107" s="195"/>
      <c r="E107" s="197"/>
      <c r="F107" s="286" t="s">
        <v>623</v>
      </c>
      <c r="G107" s="286" t="s">
        <v>382</v>
      </c>
      <c r="H107" s="284" t="s">
        <v>20</v>
      </c>
      <c r="I107" s="284" t="s">
        <v>133</v>
      </c>
      <c r="J107" s="284" t="s">
        <v>28</v>
      </c>
      <c r="K107" s="287" t="s">
        <v>282</v>
      </c>
      <c r="L107" s="180">
        <v>8</v>
      </c>
      <c r="M107" s="362"/>
      <c r="N107" s="291"/>
      <c r="O107" s="291"/>
      <c r="P107" s="291"/>
      <c r="Q107" s="291"/>
      <c r="R107" s="291"/>
      <c r="S107" s="291"/>
      <c r="T107" s="291"/>
      <c r="U107" s="291"/>
      <c r="V107" s="291"/>
      <c r="W107" s="291"/>
      <c r="X107" s="291"/>
      <c r="Y107" s="291"/>
      <c r="Z107" s="177">
        <f t="shared" si="46"/>
        <v>0</v>
      </c>
      <c r="AA107" s="7">
        <f t="shared" si="47"/>
        <v>0</v>
      </c>
      <c r="AD107" s="286" t="s">
        <v>623</v>
      </c>
      <c r="AE107" s="16">
        <v>0</v>
      </c>
      <c r="AF107" s="16">
        <v>0</v>
      </c>
    </row>
    <row r="108" spans="2:32" s="1" customFormat="1" ht="30.6" hidden="1">
      <c r="B108" s="395"/>
      <c r="C108" s="18"/>
      <c r="D108" s="195"/>
      <c r="E108" s="197"/>
      <c r="F108" s="286" t="s">
        <v>623</v>
      </c>
      <c r="G108" s="286" t="s">
        <v>382</v>
      </c>
      <c r="H108" s="284" t="s">
        <v>715</v>
      </c>
      <c r="I108" s="287" t="s">
        <v>718</v>
      </c>
      <c r="J108" s="126" t="s">
        <v>119</v>
      </c>
      <c r="K108" s="287" t="s">
        <v>283</v>
      </c>
      <c r="L108" s="168">
        <v>4</v>
      </c>
      <c r="M108" s="359" t="s">
        <v>570</v>
      </c>
      <c r="N108" s="291">
        <f t="shared" ref="N108:Y108" si="48">N104*$L$103</f>
        <v>0</v>
      </c>
      <c r="O108" s="291">
        <f t="shared" si="48"/>
        <v>0</v>
      </c>
      <c r="P108" s="291">
        <f t="shared" si="48"/>
        <v>0</v>
      </c>
      <c r="Q108" s="291">
        <f t="shared" si="48"/>
        <v>0</v>
      </c>
      <c r="R108" s="291">
        <f t="shared" si="48"/>
        <v>0</v>
      </c>
      <c r="S108" s="291">
        <f t="shared" si="48"/>
        <v>0</v>
      </c>
      <c r="T108" s="291">
        <f t="shared" si="48"/>
        <v>0</v>
      </c>
      <c r="U108" s="291">
        <f t="shared" si="48"/>
        <v>0</v>
      </c>
      <c r="V108" s="291">
        <f t="shared" si="48"/>
        <v>0</v>
      </c>
      <c r="W108" s="291">
        <f t="shared" si="48"/>
        <v>0</v>
      </c>
      <c r="X108" s="291">
        <f t="shared" si="48"/>
        <v>0</v>
      </c>
      <c r="Y108" s="291">
        <f t="shared" si="48"/>
        <v>0</v>
      </c>
      <c r="Z108" s="177">
        <f>SUM(N108:Y108)</f>
        <v>0</v>
      </c>
      <c r="AA108" s="7" t="s">
        <v>396</v>
      </c>
      <c r="AB108" s="16"/>
      <c r="AD108" s="286" t="s">
        <v>623</v>
      </c>
      <c r="AE108" s="16"/>
      <c r="AF108" s="16">
        <v>0</v>
      </c>
    </row>
    <row r="109" spans="2:32" ht="15.6" hidden="1">
      <c r="B109" s="395"/>
      <c r="C109" s="315"/>
      <c r="D109" s="174" t="s">
        <v>22</v>
      </c>
      <c r="E109" s="181">
        <f>SUM(N109:Y109)</f>
        <v>0</v>
      </c>
      <c r="F109" s="175" t="s">
        <v>207</v>
      </c>
      <c r="G109" s="183" t="s">
        <v>382</v>
      </c>
      <c r="H109" s="181"/>
      <c r="I109" s="182"/>
      <c r="J109" s="182"/>
      <c r="K109" s="176" t="s">
        <v>276</v>
      </c>
      <c r="L109" s="306"/>
      <c r="M109" s="358"/>
      <c r="N109" s="181">
        <f>SUMIFS('FCST data'!Q:Q,'FCST data'!$D:$D,$F109,'FCST data'!$K:$K,$G109,'FCST data'!$L:$L,$K109)</f>
        <v>0</v>
      </c>
      <c r="O109" s="181">
        <f>SUMIFS('FCST data'!R:R,'FCST data'!$D:$D,$F109,'FCST data'!$K:$K,$G109,'FCST data'!$L:$L,$K109)</f>
        <v>0</v>
      </c>
      <c r="P109" s="181">
        <f>SUMIFS('FCST data'!S:S,'FCST data'!$D:$D,$F109,'FCST data'!$K:$K,$G109,'FCST data'!$L:$L,$K109)</f>
        <v>0</v>
      </c>
      <c r="Q109" s="181">
        <f>SUMIFS('FCST data'!T:T,'FCST data'!$D:$D,$F109,'FCST data'!$K:$K,$G109,'FCST data'!$L:$L,$K109)</f>
        <v>0</v>
      </c>
      <c r="R109" s="181">
        <f>SUMIFS('FCST data'!U:U,'FCST data'!$D:$D,$F109,'FCST data'!$K:$K,$G109,'FCST data'!$L:$L,$K109)</f>
        <v>0</v>
      </c>
      <c r="S109" s="181">
        <f>SUMIFS('FCST data'!V:V,'FCST data'!$D:$D,$F109,'FCST data'!$K:$K,$G109,'FCST data'!$L:$L,$K109)</f>
        <v>0</v>
      </c>
      <c r="T109" s="181">
        <f>SUMIFS('FCST data'!W:W,'FCST data'!$D:$D,$F109,'FCST data'!$K:$K,$G109,'FCST data'!$L:$L,$K109)</f>
        <v>0</v>
      </c>
      <c r="U109" s="181">
        <f>SUMIFS('FCST data'!X:X,'FCST data'!$D:$D,$F109,'FCST data'!$K:$K,$G109,'FCST data'!$L:$L,$K109)</f>
        <v>0</v>
      </c>
      <c r="V109" s="181">
        <f>SUMIFS('FCST data'!Y:Y,'FCST data'!$D:$D,$F109,'FCST data'!$K:$K,$G109,'FCST data'!$L:$L,$K109)</f>
        <v>0</v>
      </c>
      <c r="W109" s="181">
        <f>SUMIFS('FCST data'!Z:Z,'FCST data'!$D:$D,$F109,'FCST data'!$K:$K,$G109,'FCST data'!$L:$L,$K109)</f>
        <v>0</v>
      </c>
      <c r="X109" s="181">
        <f>SUMIFS('FCST data'!AA:AA,'FCST data'!$D:$D,$F109,'FCST data'!$K:$K,$G109,'FCST data'!$L:$L,$K109)</f>
        <v>0</v>
      </c>
      <c r="Y109" s="181">
        <f>SUMIFS('FCST data'!AB:AB,'FCST data'!$D:$D,$F109,'FCST data'!$K:$K,$G109,'FCST data'!$L:$L,$K109)</f>
        <v>0</v>
      </c>
      <c r="Z109" s="148"/>
      <c r="AA109" s="44"/>
      <c r="AC109" s="16">
        <f>E109-SUM(AA110:AB114)</f>
        <v>0</v>
      </c>
      <c r="AD109" s="175" t="s">
        <v>207</v>
      </c>
      <c r="AE109" s="16">
        <v>0</v>
      </c>
      <c r="AF109" s="16">
        <v>0</v>
      </c>
    </row>
    <row r="110" spans="2:32" hidden="1">
      <c r="B110" s="395"/>
      <c r="C110" s="20"/>
      <c r="D110" s="284"/>
      <c r="E110" s="285"/>
      <c r="F110" s="286" t="s">
        <v>207</v>
      </c>
      <c r="G110" s="286" t="s">
        <v>382</v>
      </c>
      <c r="H110" s="284" t="s">
        <v>715</v>
      </c>
      <c r="I110" s="287" t="s">
        <v>718</v>
      </c>
      <c r="J110" s="341" t="s">
        <v>454</v>
      </c>
      <c r="K110" s="287" t="s">
        <v>455</v>
      </c>
      <c r="L110" s="299">
        <v>2</v>
      </c>
      <c r="M110" s="360" t="s">
        <v>561</v>
      </c>
      <c r="N110" s="291">
        <f t="shared" ref="N110:Y110" si="49">N109*$L$110</f>
        <v>0</v>
      </c>
      <c r="O110" s="291">
        <f t="shared" si="49"/>
        <v>0</v>
      </c>
      <c r="P110" s="291">
        <f t="shared" si="49"/>
        <v>0</v>
      </c>
      <c r="Q110" s="291">
        <f t="shared" si="49"/>
        <v>0</v>
      </c>
      <c r="R110" s="291">
        <f t="shared" si="49"/>
        <v>0</v>
      </c>
      <c r="S110" s="291">
        <f t="shared" si="49"/>
        <v>0</v>
      </c>
      <c r="T110" s="291">
        <f t="shared" si="49"/>
        <v>0</v>
      </c>
      <c r="U110" s="291">
        <f t="shared" si="49"/>
        <v>0</v>
      </c>
      <c r="V110" s="291">
        <f t="shared" si="49"/>
        <v>0</v>
      </c>
      <c r="W110" s="291">
        <f t="shared" si="49"/>
        <v>0</v>
      </c>
      <c r="X110" s="291">
        <f t="shared" si="49"/>
        <v>0</v>
      </c>
      <c r="Y110" s="291">
        <f t="shared" si="49"/>
        <v>0</v>
      </c>
      <c r="Z110" s="177">
        <f>SUM(N110:Y110)</f>
        <v>0</v>
      </c>
      <c r="AA110" s="7" t="s">
        <v>396</v>
      </c>
      <c r="AD110" s="286" t="s">
        <v>207</v>
      </c>
      <c r="AF110" s="16">
        <v>0</v>
      </c>
    </row>
    <row r="111" spans="2:32" ht="30.6" hidden="1">
      <c r="B111" s="395"/>
      <c r="C111" s="20"/>
      <c r="D111" s="284"/>
      <c r="E111" s="285"/>
      <c r="F111" s="286" t="s">
        <v>207</v>
      </c>
      <c r="G111" s="286" t="s">
        <v>382</v>
      </c>
      <c r="H111" s="284" t="s">
        <v>715</v>
      </c>
      <c r="I111" s="287" t="s">
        <v>718</v>
      </c>
      <c r="J111" s="284" t="s">
        <v>28</v>
      </c>
      <c r="K111" s="287" t="s">
        <v>246</v>
      </c>
      <c r="L111" s="299">
        <v>8</v>
      </c>
      <c r="M111" s="359" t="s">
        <v>554</v>
      </c>
      <c r="N111" s="291"/>
      <c r="O111" s="291"/>
      <c r="P111" s="291"/>
      <c r="Q111" s="291"/>
      <c r="R111" s="291"/>
      <c r="S111" s="291"/>
      <c r="T111" s="291"/>
      <c r="U111" s="291"/>
      <c r="V111" s="291"/>
      <c r="W111" s="291"/>
      <c r="X111" s="291"/>
      <c r="Y111" s="291"/>
      <c r="Z111" s="177">
        <f t="shared" ref="Z111:Z113" si="50">SUM(N111:Y111)*L111</f>
        <v>0</v>
      </c>
      <c r="AA111" s="7">
        <f t="shared" ref="AA111:AA113" si="51">SUM(N111:Y111)</f>
        <v>0</v>
      </c>
      <c r="AD111" s="286" t="s">
        <v>207</v>
      </c>
      <c r="AE111" s="16">
        <v>0</v>
      </c>
      <c r="AF111" s="16">
        <v>0</v>
      </c>
    </row>
    <row r="112" spans="2:32" hidden="1">
      <c r="B112" s="395" t="s">
        <v>762</v>
      </c>
      <c r="C112" s="20"/>
      <c r="D112" s="284"/>
      <c r="E112" s="285"/>
      <c r="F112" s="286" t="s">
        <v>207</v>
      </c>
      <c r="G112" s="286" t="s">
        <v>382</v>
      </c>
      <c r="H112" s="287" t="s">
        <v>20</v>
      </c>
      <c r="I112" s="284" t="s">
        <v>721</v>
      </c>
      <c r="J112" s="284" t="s">
        <v>28</v>
      </c>
      <c r="K112" s="287" t="s">
        <v>246</v>
      </c>
      <c r="L112" s="299">
        <v>8</v>
      </c>
      <c r="M112" s="360" t="s">
        <v>262</v>
      </c>
      <c r="N112" s="291"/>
      <c r="O112" s="291"/>
      <c r="P112" s="291"/>
      <c r="Q112" s="291"/>
      <c r="R112" s="291"/>
      <c r="S112" s="291"/>
      <c r="T112" s="291"/>
      <c r="U112" s="291"/>
      <c r="V112" s="291"/>
      <c r="W112" s="291"/>
      <c r="X112" s="291"/>
      <c r="Y112" s="291"/>
      <c r="Z112" s="177">
        <f t="shared" si="50"/>
        <v>0</v>
      </c>
      <c r="AA112" s="7">
        <f t="shared" si="51"/>
        <v>0</v>
      </c>
      <c r="AD112" s="286" t="s">
        <v>207</v>
      </c>
      <c r="AE112" s="16">
        <v>0</v>
      </c>
      <c r="AF112" s="16">
        <v>0</v>
      </c>
    </row>
    <row r="113" spans="2:32" hidden="1">
      <c r="B113" s="395"/>
      <c r="C113" s="20"/>
      <c r="D113" s="284"/>
      <c r="E113" s="285"/>
      <c r="F113" s="286" t="s">
        <v>207</v>
      </c>
      <c r="G113" s="286" t="s">
        <v>382</v>
      </c>
      <c r="H113" s="287" t="s">
        <v>20</v>
      </c>
      <c r="I113" s="284" t="s">
        <v>133</v>
      </c>
      <c r="J113" s="284" t="s">
        <v>28</v>
      </c>
      <c r="K113" s="287" t="s">
        <v>246</v>
      </c>
      <c r="L113" s="180">
        <v>8</v>
      </c>
      <c r="M113" s="362"/>
      <c r="N113" s="291"/>
      <c r="O113" s="291"/>
      <c r="P113" s="291"/>
      <c r="Q113" s="291"/>
      <c r="R113" s="291"/>
      <c r="S113" s="291"/>
      <c r="T113" s="291"/>
      <c r="U113" s="291"/>
      <c r="V113" s="291"/>
      <c r="W113" s="291"/>
      <c r="X113" s="291"/>
      <c r="Y113" s="291"/>
      <c r="Z113" s="177">
        <f t="shared" si="50"/>
        <v>0</v>
      </c>
      <c r="AA113" s="7">
        <f t="shared" si="51"/>
        <v>0</v>
      </c>
      <c r="AD113" s="286" t="s">
        <v>207</v>
      </c>
      <c r="AE113" s="16">
        <v>0</v>
      </c>
      <c r="AF113" s="16">
        <v>0</v>
      </c>
    </row>
    <row r="114" spans="2:32" ht="20.399999999999999" hidden="1">
      <c r="B114" s="395"/>
      <c r="C114" s="20"/>
      <c r="D114" s="284"/>
      <c r="E114" s="285"/>
      <c r="F114" s="286" t="s">
        <v>207</v>
      </c>
      <c r="G114" s="286" t="s">
        <v>382</v>
      </c>
      <c r="H114" s="284" t="s">
        <v>715</v>
      </c>
      <c r="I114" s="287" t="s">
        <v>718</v>
      </c>
      <c r="J114" s="126" t="s">
        <v>119</v>
      </c>
      <c r="K114" s="287" t="s">
        <v>283</v>
      </c>
      <c r="L114" s="299">
        <v>4</v>
      </c>
      <c r="M114" s="359" t="s">
        <v>547</v>
      </c>
      <c r="N114" s="291">
        <f t="shared" ref="N114:Y114" si="52">N109*$L$114</f>
        <v>0</v>
      </c>
      <c r="O114" s="291">
        <f t="shared" si="52"/>
        <v>0</v>
      </c>
      <c r="P114" s="291">
        <f t="shared" si="52"/>
        <v>0</v>
      </c>
      <c r="Q114" s="291">
        <f t="shared" si="52"/>
        <v>0</v>
      </c>
      <c r="R114" s="291">
        <f t="shared" si="52"/>
        <v>0</v>
      </c>
      <c r="S114" s="291">
        <f t="shared" si="52"/>
        <v>0</v>
      </c>
      <c r="T114" s="291">
        <f t="shared" si="52"/>
        <v>0</v>
      </c>
      <c r="U114" s="291">
        <f t="shared" si="52"/>
        <v>0</v>
      </c>
      <c r="V114" s="291">
        <f t="shared" si="52"/>
        <v>0</v>
      </c>
      <c r="W114" s="291">
        <f t="shared" si="52"/>
        <v>0</v>
      </c>
      <c r="X114" s="291">
        <f t="shared" si="52"/>
        <v>0</v>
      </c>
      <c r="Y114" s="291">
        <f t="shared" si="52"/>
        <v>0</v>
      </c>
      <c r="Z114" s="177">
        <f>SUM(N114:Y114)</f>
        <v>0</v>
      </c>
      <c r="AA114" s="7" t="s">
        <v>396</v>
      </c>
      <c r="AD114" s="286" t="s">
        <v>207</v>
      </c>
      <c r="AF114" s="16">
        <v>0</v>
      </c>
    </row>
    <row r="115" spans="2:32" ht="15.6" hidden="1">
      <c r="B115" s="395"/>
      <c r="C115" s="315"/>
      <c r="D115" s="174" t="s">
        <v>22</v>
      </c>
      <c r="E115" s="181">
        <f>SUM(N115:Y115)</f>
        <v>0</v>
      </c>
      <c r="F115" s="183" t="s">
        <v>411</v>
      </c>
      <c r="G115" s="183" t="s">
        <v>527</v>
      </c>
      <c r="H115" s="181"/>
      <c r="I115" s="182"/>
      <c r="J115" s="182"/>
      <c r="K115" s="176" t="s">
        <v>276</v>
      </c>
      <c r="L115" s="306"/>
      <c r="M115" s="363"/>
      <c r="N115" s="181">
        <f>SUMIFS('FCST data'!Q:Q,'FCST data'!$D:$D,$F115,'FCST data'!$K:$K,$G115,'FCST data'!$L:$L,$K115)</f>
        <v>0</v>
      </c>
      <c r="O115" s="181">
        <f>SUMIFS('FCST data'!R:R,'FCST data'!$D:$D,$F115,'FCST data'!$K:$K,$G115,'FCST data'!$L:$L,$K115)</f>
        <v>0</v>
      </c>
      <c r="P115" s="181">
        <f>SUMIFS('FCST data'!S:S,'FCST data'!$D:$D,$F115,'FCST data'!$K:$K,$G115,'FCST data'!$L:$L,$K115)</f>
        <v>0</v>
      </c>
      <c r="Q115" s="181">
        <f>SUMIFS('FCST data'!T:T,'FCST data'!$D:$D,$F115,'FCST data'!$K:$K,$G115,'FCST data'!$L:$L,$K115)</f>
        <v>0</v>
      </c>
      <c r="R115" s="181">
        <f>SUMIFS('FCST data'!U:U,'FCST data'!$D:$D,$F115,'FCST data'!$K:$K,$G115,'FCST data'!$L:$L,$K115)</f>
        <v>0</v>
      </c>
      <c r="S115" s="181">
        <f>SUMIFS('FCST data'!V:V,'FCST data'!$D:$D,$F115,'FCST data'!$K:$K,$G115,'FCST data'!$L:$L,$K115)</f>
        <v>0</v>
      </c>
      <c r="T115" s="181">
        <f>SUMIFS('FCST data'!W:W,'FCST data'!$D:$D,$F115,'FCST data'!$K:$K,$G115,'FCST data'!$L:$L,$K115)</f>
        <v>0</v>
      </c>
      <c r="U115" s="181">
        <f>SUMIFS('FCST data'!X:X,'FCST data'!$D:$D,$F115,'FCST data'!$K:$K,$G115,'FCST data'!$L:$L,$K115)</f>
        <v>0</v>
      </c>
      <c r="V115" s="181">
        <f>SUMIFS('FCST data'!Y:Y,'FCST data'!$D:$D,$F115,'FCST data'!$K:$K,$G115,'FCST data'!$L:$L,$K115)</f>
        <v>0</v>
      </c>
      <c r="W115" s="181">
        <f>SUMIFS('FCST data'!Z:Z,'FCST data'!$D:$D,$F115,'FCST data'!$K:$K,$G115,'FCST data'!$L:$L,$K115)</f>
        <v>0</v>
      </c>
      <c r="X115" s="181">
        <f>SUMIFS('FCST data'!AA:AA,'FCST data'!$D:$D,$F115,'FCST data'!$K:$K,$G115,'FCST data'!$L:$L,$K115)</f>
        <v>0</v>
      </c>
      <c r="Y115" s="181">
        <f>SUMIFS('FCST data'!AB:AB,'FCST data'!$D:$D,$F115,'FCST data'!$K:$K,$G115,'FCST data'!$L:$L,$K115)</f>
        <v>0</v>
      </c>
      <c r="Z115" s="148"/>
      <c r="AA115" s="44"/>
      <c r="AC115" s="16">
        <f>E115-SUM(AA116:AB118)</f>
        <v>0</v>
      </c>
      <c r="AD115" s="183" t="s">
        <v>411</v>
      </c>
      <c r="AE115" s="16">
        <v>0</v>
      </c>
      <c r="AF115" s="16">
        <v>0</v>
      </c>
    </row>
    <row r="116" spans="2:32" hidden="1">
      <c r="B116" s="395"/>
      <c r="C116" s="20"/>
      <c r="D116" s="284"/>
      <c r="E116" s="285"/>
      <c r="F116" s="286" t="s">
        <v>411</v>
      </c>
      <c r="G116" s="286" t="s">
        <v>527</v>
      </c>
      <c r="H116" s="284" t="s">
        <v>715</v>
      </c>
      <c r="I116" s="287" t="s">
        <v>718</v>
      </c>
      <c r="J116" s="341" t="s">
        <v>454</v>
      </c>
      <c r="K116" s="287" t="s">
        <v>456</v>
      </c>
      <c r="L116" s="299">
        <v>4</v>
      </c>
      <c r="M116" s="360" t="s">
        <v>562</v>
      </c>
      <c r="N116" s="291">
        <f t="shared" ref="N116:Y116" si="53">N115*$L$116</f>
        <v>0</v>
      </c>
      <c r="O116" s="291">
        <f t="shared" si="53"/>
        <v>0</v>
      </c>
      <c r="P116" s="291">
        <f t="shared" si="53"/>
        <v>0</v>
      </c>
      <c r="Q116" s="291">
        <f t="shared" si="53"/>
        <v>0</v>
      </c>
      <c r="R116" s="291">
        <f t="shared" si="53"/>
        <v>0</v>
      </c>
      <c r="S116" s="291">
        <f t="shared" si="53"/>
        <v>0</v>
      </c>
      <c r="T116" s="291">
        <f t="shared" si="53"/>
        <v>0</v>
      </c>
      <c r="U116" s="291">
        <f t="shared" si="53"/>
        <v>0</v>
      </c>
      <c r="V116" s="291">
        <f t="shared" si="53"/>
        <v>0</v>
      </c>
      <c r="W116" s="291">
        <f t="shared" si="53"/>
        <v>0</v>
      </c>
      <c r="X116" s="291">
        <f t="shared" si="53"/>
        <v>0</v>
      </c>
      <c r="Y116" s="291">
        <f t="shared" si="53"/>
        <v>0</v>
      </c>
      <c r="Z116" s="177">
        <f>SUM(N116:Y116)</f>
        <v>0</v>
      </c>
      <c r="AA116" s="7" t="s">
        <v>396</v>
      </c>
      <c r="AD116" s="286" t="s">
        <v>411</v>
      </c>
      <c r="AF116" s="16">
        <v>0</v>
      </c>
    </row>
    <row r="117" spans="2:32" ht="20.399999999999999" hidden="1">
      <c r="B117" s="395"/>
      <c r="C117" s="20"/>
      <c r="D117" s="284"/>
      <c r="E117" s="285"/>
      <c r="F117" s="286" t="s">
        <v>411</v>
      </c>
      <c r="G117" s="286" t="s">
        <v>527</v>
      </c>
      <c r="H117" s="284" t="s">
        <v>715</v>
      </c>
      <c r="I117" s="287" t="s">
        <v>718</v>
      </c>
      <c r="J117" s="126" t="s">
        <v>119</v>
      </c>
      <c r="K117" s="287" t="s">
        <v>319</v>
      </c>
      <c r="L117" s="299">
        <v>8</v>
      </c>
      <c r="M117" s="359" t="s">
        <v>555</v>
      </c>
      <c r="N117" s="291">
        <f t="shared" ref="N117:Y117" si="54">N115*$L$117</f>
        <v>0</v>
      </c>
      <c r="O117" s="291">
        <f t="shared" si="54"/>
        <v>0</v>
      </c>
      <c r="P117" s="291">
        <f t="shared" si="54"/>
        <v>0</v>
      </c>
      <c r="Q117" s="291">
        <f t="shared" si="54"/>
        <v>0</v>
      </c>
      <c r="R117" s="291">
        <f t="shared" si="54"/>
        <v>0</v>
      </c>
      <c r="S117" s="291">
        <f t="shared" si="54"/>
        <v>0</v>
      </c>
      <c r="T117" s="291">
        <f t="shared" si="54"/>
        <v>0</v>
      </c>
      <c r="U117" s="291">
        <f t="shared" si="54"/>
        <v>0</v>
      </c>
      <c r="V117" s="291">
        <f t="shared" si="54"/>
        <v>0</v>
      </c>
      <c r="W117" s="291">
        <f t="shared" si="54"/>
        <v>0</v>
      </c>
      <c r="X117" s="291">
        <f t="shared" si="54"/>
        <v>0</v>
      </c>
      <c r="Y117" s="291">
        <f t="shared" si="54"/>
        <v>0</v>
      </c>
      <c r="Z117" s="177">
        <f t="shared" ref="Z117:Z118" si="55">SUM(N117:Y117)</f>
        <v>0</v>
      </c>
      <c r="AA117" s="7" t="s">
        <v>396</v>
      </c>
      <c r="AB117" s="16">
        <f>Z117/L117</f>
        <v>0</v>
      </c>
      <c r="AD117" s="286" t="s">
        <v>411</v>
      </c>
      <c r="AF117" s="16">
        <v>0</v>
      </c>
    </row>
    <row r="118" spans="2:32" hidden="1">
      <c r="B118" s="395"/>
      <c r="C118" s="20"/>
      <c r="D118" s="284"/>
      <c r="E118" s="285"/>
      <c r="F118" s="286" t="s">
        <v>411</v>
      </c>
      <c r="G118" s="286" t="s">
        <v>527</v>
      </c>
      <c r="H118" s="284" t="s">
        <v>20</v>
      </c>
      <c r="I118" s="284" t="s">
        <v>133</v>
      </c>
      <c r="J118" s="126" t="s">
        <v>119</v>
      </c>
      <c r="K118" s="287" t="s">
        <v>248</v>
      </c>
      <c r="L118" s="299">
        <v>8</v>
      </c>
      <c r="M118" s="360" t="s">
        <v>249</v>
      </c>
      <c r="N118" s="291"/>
      <c r="O118" s="291"/>
      <c r="P118" s="291"/>
      <c r="Q118" s="291"/>
      <c r="R118" s="291"/>
      <c r="S118" s="291"/>
      <c r="T118" s="291"/>
      <c r="U118" s="291"/>
      <c r="V118" s="291"/>
      <c r="W118" s="291"/>
      <c r="X118" s="291"/>
      <c r="Y118" s="291"/>
      <c r="Z118" s="177">
        <f t="shared" si="55"/>
        <v>0</v>
      </c>
      <c r="AA118" s="7" t="s">
        <v>396</v>
      </c>
      <c r="AB118" s="16">
        <f>Z118/L118</f>
        <v>0</v>
      </c>
      <c r="AD118" s="286" t="s">
        <v>411</v>
      </c>
      <c r="AF118" s="16">
        <v>0</v>
      </c>
    </row>
    <row r="119" spans="2:32" ht="15.6" hidden="1">
      <c r="B119" s="395"/>
      <c r="C119" s="315"/>
      <c r="D119" s="174" t="s">
        <v>22</v>
      </c>
      <c r="E119" s="181">
        <f>SUM(N119:Y119)</f>
        <v>0</v>
      </c>
      <c r="F119" s="183" t="s">
        <v>411</v>
      </c>
      <c r="G119" s="183" t="s">
        <v>528</v>
      </c>
      <c r="H119" s="181"/>
      <c r="I119" s="182"/>
      <c r="J119" s="182"/>
      <c r="K119" s="176" t="s">
        <v>276</v>
      </c>
      <c r="L119" s="306"/>
      <c r="M119" s="363"/>
      <c r="N119" s="181">
        <f>SUMIFS('FCST data'!Q:Q,'FCST data'!$D:$D,$F119,'FCST data'!$K:$K,$G119,'FCST data'!$L:$L,$K119)</f>
        <v>0</v>
      </c>
      <c r="O119" s="181">
        <f>SUMIFS('FCST data'!R:R,'FCST data'!$D:$D,$F119,'FCST data'!$K:$K,$G119,'FCST data'!$L:$L,$K119)</f>
        <v>0</v>
      </c>
      <c r="P119" s="181">
        <f>SUMIFS('FCST data'!S:S,'FCST data'!$D:$D,$F119,'FCST data'!$K:$K,$G119,'FCST data'!$L:$L,$K119)</f>
        <v>0</v>
      </c>
      <c r="Q119" s="181">
        <f>SUMIFS('FCST data'!T:T,'FCST data'!$D:$D,$F119,'FCST data'!$K:$K,$G119,'FCST data'!$L:$L,$K119)</f>
        <v>0</v>
      </c>
      <c r="R119" s="181">
        <f>SUMIFS('FCST data'!U:U,'FCST data'!$D:$D,$F119,'FCST data'!$K:$K,$G119,'FCST data'!$L:$L,$K119)</f>
        <v>0</v>
      </c>
      <c r="S119" s="181">
        <f>SUMIFS('FCST data'!V:V,'FCST data'!$D:$D,$F119,'FCST data'!$K:$K,$G119,'FCST data'!$L:$L,$K119)</f>
        <v>0</v>
      </c>
      <c r="T119" s="181">
        <f>SUMIFS('FCST data'!W:W,'FCST data'!$D:$D,$F119,'FCST data'!$K:$K,$G119,'FCST data'!$L:$L,$K119)</f>
        <v>0</v>
      </c>
      <c r="U119" s="181">
        <f>SUMIFS('FCST data'!X:X,'FCST data'!$D:$D,$F119,'FCST data'!$K:$K,$G119,'FCST data'!$L:$L,$K119)</f>
        <v>0</v>
      </c>
      <c r="V119" s="181">
        <f>SUMIFS('FCST data'!Y:Y,'FCST data'!$D:$D,$F119,'FCST data'!$K:$K,$G119,'FCST data'!$L:$L,$K119)</f>
        <v>0</v>
      </c>
      <c r="W119" s="181">
        <f>SUMIFS('FCST data'!Z:Z,'FCST data'!$D:$D,$F119,'FCST data'!$K:$K,$G119,'FCST data'!$L:$L,$K119)</f>
        <v>0</v>
      </c>
      <c r="X119" s="181">
        <f>SUMIFS('FCST data'!AA:AA,'FCST data'!$D:$D,$F119,'FCST data'!$K:$K,$G119,'FCST data'!$L:$L,$K119)</f>
        <v>0</v>
      </c>
      <c r="Y119" s="181">
        <f>SUMIFS('FCST data'!AB:AB,'FCST data'!$D:$D,$F119,'FCST data'!$K:$K,$G119,'FCST data'!$L:$L,$K119)</f>
        <v>0</v>
      </c>
      <c r="Z119" s="148"/>
      <c r="AA119" s="44"/>
      <c r="AC119" s="16">
        <f>E119-SUM(AA120:AB122)</f>
        <v>0</v>
      </c>
      <c r="AD119" s="183" t="s">
        <v>411</v>
      </c>
      <c r="AE119" s="16">
        <v>0</v>
      </c>
      <c r="AF119" s="16">
        <v>0</v>
      </c>
    </row>
    <row r="120" spans="2:32" hidden="1">
      <c r="B120" s="395"/>
      <c r="C120" s="20"/>
      <c r="D120" s="284"/>
      <c r="E120" s="285"/>
      <c r="F120" s="286" t="s">
        <v>411</v>
      </c>
      <c r="G120" s="286" t="s">
        <v>528</v>
      </c>
      <c r="H120" s="284" t="s">
        <v>715</v>
      </c>
      <c r="I120" s="287" t="s">
        <v>718</v>
      </c>
      <c r="J120" s="341" t="s">
        <v>454</v>
      </c>
      <c r="K120" s="287" t="s">
        <v>456</v>
      </c>
      <c r="L120" s="299">
        <v>4</v>
      </c>
      <c r="M120" s="360" t="s">
        <v>562</v>
      </c>
      <c r="N120" s="291">
        <f t="shared" ref="N120:Y120" si="56">N119*$L$120</f>
        <v>0</v>
      </c>
      <c r="O120" s="291">
        <f t="shared" si="56"/>
        <v>0</v>
      </c>
      <c r="P120" s="291">
        <f t="shared" si="56"/>
        <v>0</v>
      </c>
      <c r="Q120" s="291">
        <f t="shared" si="56"/>
        <v>0</v>
      </c>
      <c r="R120" s="291">
        <f t="shared" si="56"/>
        <v>0</v>
      </c>
      <c r="S120" s="291">
        <f t="shared" si="56"/>
        <v>0</v>
      </c>
      <c r="T120" s="291">
        <f t="shared" si="56"/>
        <v>0</v>
      </c>
      <c r="U120" s="291">
        <f t="shared" si="56"/>
        <v>0</v>
      </c>
      <c r="V120" s="291">
        <f t="shared" si="56"/>
        <v>0</v>
      </c>
      <c r="W120" s="291">
        <f t="shared" si="56"/>
        <v>0</v>
      </c>
      <c r="X120" s="291">
        <f t="shared" si="56"/>
        <v>0</v>
      </c>
      <c r="Y120" s="291">
        <f t="shared" si="56"/>
        <v>0</v>
      </c>
      <c r="Z120" s="177">
        <f>SUM(N120:Y120)</f>
        <v>0</v>
      </c>
      <c r="AA120" s="7" t="s">
        <v>396</v>
      </c>
      <c r="AD120" s="286" t="s">
        <v>411</v>
      </c>
      <c r="AF120" s="16">
        <v>0</v>
      </c>
    </row>
    <row r="121" spans="2:32" ht="20.399999999999999" hidden="1">
      <c r="B121" s="395"/>
      <c r="C121" s="20"/>
      <c r="D121" s="284"/>
      <c r="E121" s="285"/>
      <c r="F121" s="286" t="s">
        <v>411</v>
      </c>
      <c r="G121" s="286" t="s">
        <v>528</v>
      </c>
      <c r="H121" s="284" t="s">
        <v>715</v>
      </c>
      <c r="I121" s="287" t="s">
        <v>718</v>
      </c>
      <c r="J121" s="126" t="s">
        <v>119</v>
      </c>
      <c r="K121" s="287" t="s">
        <v>319</v>
      </c>
      <c r="L121" s="299">
        <v>8</v>
      </c>
      <c r="M121" s="359" t="s">
        <v>555</v>
      </c>
      <c r="N121" s="291">
        <f t="shared" ref="N121:Y121" si="57">N119*$L$121</f>
        <v>0</v>
      </c>
      <c r="O121" s="291">
        <f t="shared" si="57"/>
        <v>0</v>
      </c>
      <c r="P121" s="291">
        <f t="shared" si="57"/>
        <v>0</v>
      </c>
      <c r="Q121" s="291">
        <f t="shared" si="57"/>
        <v>0</v>
      </c>
      <c r="R121" s="291">
        <f t="shared" si="57"/>
        <v>0</v>
      </c>
      <c r="S121" s="291">
        <f t="shared" si="57"/>
        <v>0</v>
      </c>
      <c r="T121" s="291">
        <f t="shared" si="57"/>
        <v>0</v>
      </c>
      <c r="U121" s="291">
        <f t="shared" si="57"/>
        <v>0</v>
      </c>
      <c r="V121" s="291">
        <f t="shared" si="57"/>
        <v>0</v>
      </c>
      <c r="W121" s="291">
        <f t="shared" si="57"/>
        <v>0</v>
      </c>
      <c r="X121" s="291">
        <f t="shared" si="57"/>
        <v>0</v>
      </c>
      <c r="Y121" s="291">
        <f t="shared" si="57"/>
        <v>0</v>
      </c>
      <c r="Z121" s="177">
        <f t="shared" ref="Z121:Z122" si="58">SUM(N121:Y121)</f>
        <v>0</v>
      </c>
      <c r="AA121" s="7" t="s">
        <v>396</v>
      </c>
      <c r="AB121" s="16">
        <f>Z121/L121</f>
        <v>0</v>
      </c>
      <c r="AD121" s="286" t="s">
        <v>411</v>
      </c>
      <c r="AF121" s="16">
        <v>0</v>
      </c>
    </row>
    <row r="122" spans="2:32" hidden="1">
      <c r="B122" s="395"/>
      <c r="C122" s="20"/>
      <c r="D122" s="284"/>
      <c r="E122" s="285"/>
      <c r="F122" s="286" t="s">
        <v>411</v>
      </c>
      <c r="G122" s="286" t="s">
        <v>528</v>
      </c>
      <c r="H122" s="284" t="s">
        <v>20</v>
      </c>
      <c r="I122" s="284" t="s">
        <v>133</v>
      </c>
      <c r="J122" s="126" t="s">
        <v>119</v>
      </c>
      <c r="K122" s="287" t="s">
        <v>248</v>
      </c>
      <c r="L122" s="299">
        <v>8</v>
      </c>
      <c r="M122" s="360" t="s">
        <v>249</v>
      </c>
      <c r="N122" s="291"/>
      <c r="O122" s="291"/>
      <c r="P122" s="291"/>
      <c r="Q122" s="291"/>
      <c r="R122" s="291"/>
      <c r="S122" s="291"/>
      <c r="T122" s="291"/>
      <c r="U122" s="291"/>
      <c r="V122" s="291"/>
      <c r="W122" s="291"/>
      <c r="X122" s="291"/>
      <c r="Y122" s="291"/>
      <c r="Z122" s="177">
        <f t="shared" si="58"/>
        <v>0</v>
      </c>
      <c r="AA122" s="7" t="s">
        <v>396</v>
      </c>
      <c r="AB122" s="16">
        <f>Z122/L122</f>
        <v>0</v>
      </c>
      <c r="AD122" s="286" t="s">
        <v>411</v>
      </c>
      <c r="AF122" s="16">
        <v>0</v>
      </c>
    </row>
    <row r="123" spans="2:32" ht="15.6" hidden="1">
      <c r="B123" s="395"/>
      <c r="C123" s="315"/>
      <c r="D123" s="174" t="s">
        <v>22</v>
      </c>
      <c r="E123" s="181">
        <f>SUM(N123:Y123)</f>
        <v>0</v>
      </c>
      <c r="F123" s="183" t="s">
        <v>244</v>
      </c>
      <c r="G123" s="183" t="s">
        <v>527</v>
      </c>
      <c r="H123" s="181"/>
      <c r="I123" s="182"/>
      <c r="J123" s="182"/>
      <c r="K123" s="176" t="s">
        <v>108</v>
      </c>
      <c r="L123" s="306"/>
      <c r="M123" s="363"/>
      <c r="N123" s="181">
        <f>SUMIFS('FCST data'!Q:Q,'FCST data'!$D:$D,$F123,'FCST data'!$K:$K,$G123,'FCST data'!$L:$L,$K123)</f>
        <v>0</v>
      </c>
      <c r="O123" s="181">
        <f>SUMIFS('FCST data'!R:R,'FCST data'!$D:$D,$F123,'FCST data'!$K:$K,$G123,'FCST data'!$L:$L,$K123)</f>
        <v>0</v>
      </c>
      <c r="P123" s="181">
        <f>SUMIFS('FCST data'!S:S,'FCST data'!$D:$D,$F123,'FCST data'!$K:$K,$G123,'FCST data'!$L:$L,$K123)</f>
        <v>0</v>
      </c>
      <c r="Q123" s="181">
        <f>SUMIFS('FCST data'!T:T,'FCST data'!$D:$D,$F123,'FCST data'!$K:$K,$G123,'FCST data'!$L:$L,$K123)</f>
        <v>0</v>
      </c>
      <c r="R123" s="181">
        <f>SUMIFS('FCST data'!U:U,'FCST data'!$D:$D,$F123,'FCST data'!$K:$K,$G123,'FCST data'!$L:$L,$K123)</f>
        <v>0</v>
      </c>
      <c r="S123" s="181">
        <f>SUMIFS('FCST data'!V:V,'FCST data'!$D:$D,$F123,'FCST data'!$K:$K,$G123,'FCST data'!$L:$L,$K123)</f>
        <v>0</v>
      </c>
      <c r="T123" s="181">
        <f>SUMIFS('FCST data'!W:W,'FCST data'!$D:$D,$F123,'FCST data'!$K:$K,$G123,'FCST data'!$L:$L,$K123)</f>
        <v>0</v>
      </c>
      <c r="U123" s="181">
        <f>SUMIFS('FCST data'!X:X,'FCST data'!$D:$D,$F123,'FCST data'!$K:$K,$G123,'FCST data'!$L:$L,$K123)</f>
        <v>0</v>
      </c>
      <c r="V123" s="181">
        <f>SUMIFS('FCST data'!Y:Y,'FCST data'!$D:$D,$F123,'FCST data'!$K:$K,$G123,'FCST data'!$L:$L,$K123)</f>
        <v>0</v>
      </c>
      <c r="W123" s="181">
        <f>SUMIFS('FCST data'!Z:Z,'FCST data'!$D:$D,$F123,'FCST data'!$K:$K,$G123,'FCST data'!$L:$L,$K123)</f>
        <v>0</v>
      </c>
      <c r="X123" s="181">
        <f>SUMIFS('FCST data'!AA:AA,'FCST data'!$D:$D,$F123,'FCST data'!$K:$K,$G123,'FCST data'!$L:$L,$K123)</f>
        <v>0</v>
      </c>
      <c r="Y123" s="181">
        <f>SUMIFS('FCST data'!AB:AB,'FCST data'!$D:$D,$F123,'FCST data'!$K:$K,$G123,'FCST data'!$L:$L,$K123)</f>
        <v>0</v>
      </c>
      <c r="Z123" s="148"/>
      <c r="AA123" s="44"/>
      <c r="AC123" s="16">
        <f>E123-SUM(AA124:AB126)</f>
        <v>0</v>
      </c>
      <c r="AD123" s="183" t="s">
        <v>244</v>
      </c>
      <c r="AE123" s="16">
        <v>0</v>
      </c>
      <c r="AF123" s="16">
        <v>0</v>
      </c>
    </row>
    <row r="124" spans="2:32" hidden="1">
      <c r="B124" s="395"/>
      <c r="C124" s="20"/>
      <c r="D124" s="284"/>
      <c r="E124" s="285"/>
      <c r="F124" s="286" t="s">
        <v>244</v>
      </c>
      <c r="G124" s="286" t="s">
        <v>527</v>
      </c>
      <c r="H124" s="284" t="s">
        <v>715</v>
      </c>
      <c r="I124" s="287" t="s">
        <v>718</v>
      </c>
      <c r="J124" s="341" t="s">
        <v>454</v>
      </c>
      <c r="K124" s="287" t="s">
        <v>456</v>
      </c>
      <c r="L124" s="299">
        <v>4</v>
      </c>
      <c r="M124" s="360" t="s">
        <v>562</v>
      </c>
      <c r="N124" s="291">
        <f t="shared" ref="N124:Y124" si="59">N123*$L$124</f>
        <v>0</v>
      </c>
      <c r="O124" s="291">
        <f t="shared" si="59"/>
        <v>0</v>
      </c>
      <c r="P124" s="291">
        <f t="shared" si="59"/>
        <v>0</v>
      </c>
      <c r="Q124" s="291">
        <f t="shared" si="59"/>
        <v>0</v>
      </c>
      <c r="R124" s="291">
        <f t="shared" si="59"/>
        <v>0</v>
      </c>
      <c r="S124" s="291">
        <f t="shared" si="59"/>
        <v>0</v>
      </c>
      <c r="T124" s="291">
        <f t="shared" si="59"/>
        <v>0</v>
      </c>
      <c r="U124" s="291">
        <f t="shared" si="59"/>
        <v>0</v>
      </c>
      <c r="V124" s="291">
        <f t="shared" si="59"/>
        <v>0</v>
      </c>
      <c r="W124" s="291">
        <f t="shared" si="59"/>
        <v>0</v>
      </c>
      <c r="X124" s="291">
        <f t="shared" si="59"/>
        <v>0</v>
      </c>
      <c r="Y124" s="291">
        <f t="shared" si="59"/>
        <v>0</v>
      </c>
      <c r="Z124" s="177">
        <f>SUM(N124:Y124)</f>
        <v>0</v>
      </c>
      <c r="AA124" s="7" t="s">
        <v>396</v>
      </c>
      <c r="AD124" s="286" t="s">
        <v>244</v>
      </c>
      <c r="AF124" s="16">
        <v>0</v>
      </c>
    </row>
    <row r="125" spans="2:32" ht="20.399999999999999" hidden="1">
      <c r="B125" s="395"/>
      <c r="C125" s="20"/>
      <c r="D125" s="284"/>
      <c r="E125" s="285"/>
      <c r="F125" s="286" t="s">
        <v>244</v>
      </c>
      <c r="G125" s="286" t="s">
        <v>527</v>
      </c>
      <c r="H125" s="284" t="s">
        <v>715</v>
      </c>
      <c r="I125" s="287" t="s">
        <v>718</v>
      </c>
      <c r="J125" s="126" t="s">
        <v>119</v>
      </c>
      <c r="K125" s="287" t="s">
        <v>246</v>
      </c>
      <c r="L125" s="299">
        <v>8</v>
      </c>
      <c r="M125" s="359" t="s">
        <v>556</v>
      </c>
      <c r="N125" s="291">
        <f t="shared" ref="N125:Y125" si="60">N123*$L$125</f>
        <v>0</v>
      </c>
      <c r="O125" s="291">
        <f t="shared" si="60"/>
        <v>0</v>
      </c>
      <c r="P125" s="291">
        <f t="shared" si="60"/>
        <v>0</v>
      </c>
      <c r="Q125" s="291">
        <f t="shared" si="60"/>
        <v>0</v>
      </c>
      <c r="R125" s="291">
        <f t="shared" si="60"/>
        <v>0</v>
      </c>
      <c r="S125" s="291">
        <f t="shared" si="60"/>
        <v>0</v>
      </c>
      <c r="T125" s="291">
        <f t="shared" si="60"/>
        <v>0</v>
      </c>
      <c r="U125" s="291">
        <f t="shared" si="60"/>
        <v>0</v>
      </c>
      <c r="V125" s="291">
        <f t="shared" si="60"/>
        <v>0</v>
      </c>
      <c r="W125" s="291">
        <f t="shared" si="60"/>
        <v>0</v>
      </c>
      <c r="X125" s="291">
        <f t="shared" si="60"/>
        <v>0</v>
      </c>
      <c r="Y125" s="291">
        <f t="shared" si="60"/>
        <v>0</v>
      </c>
      <c r="Z125" s="177">
        <f t="shared" ref="Z125:Z126" si="61">SUM(N125:Y125)</f>
        <v>0</v>
      </c>
      <c r="AA125" s="7" t="s">
        <v>396</v>
      </c>
      <c r="AB125" s="16">
        <f>Z125/L125</f>
        <v>0</v>
      </c>
      <c r="AD125" s="286" t="s">
        <v>244</v>
      </c>
      <c r="AF125" s="16">
        <v>0</v>
      </c>
    </row>
    <row r="126" spans="2:32" hidden="1">
      <c r="B126" s="395"/>
      <c r="C126" s="20"/>
      <c r="D126" s="284"/>
      <c r="E126" s="285"/>
      <c r="F126" s="286" t="s">
        <v>244</v>
      </c>
      <c r="G126" s="286" t="s">
        <v>527</v>
      </c>
      <c r="H126" s="284" t="s">
        <v>20</v>
      </c>
      <c r="I126" s="284" t="s">
        <v>133</v>
      </c>
      <c r="J126" s="126" t="s">
        <v>119</v>
      </c>
      <c r="K126" s="287" t="s">
        <v>132</v>
      </c>
      <c r="L126" s="299">
        <v>8</v>
      </c>
      <c r="M126" s="362" t="s">
        <v>247</v>
      </c>
      <c r="N126" s="291"/>
      <c r="O126" s="291"/>
      <c r="P126" s="291"/>
      <c r="Q126" s="291"/>
      <c r="R126" s="291"/>
      <c r="S126" s="291"/>
      <c r="T126" s="291"/>
      <c r="U126" s="291"/>
      <c r="V126" s="291"/>
      <c r="W126" s="291"/>
      <c r="X126" s="291"/>
      <c r="Y126" s="291"/>
      <c r="Z126" s="177">
        <f t="shared" si="61"/>
        <v>0</v>
      </c>
      <c r="AA126" s="7" t="s">
        <v>396</v>
      </c>
      <c r="AB126" s="16">
        <f>Z126/L126</f>
        <v>0</v>
      </c>
      <c r="AD126" s="286" t="s">
        <v>244</v>
      </c>
      <c r="AF126" s="16">
        <v>0</v>
      </c>
    </row>
    <row r="127" spans="2:32" ht="15.6" hidden="1">
      <c r="B127" s="395"/>
      <c r="C127" s="315"/>
      <c r="D127" s="174" t="s">
        <v>22</v>
      </c>
      <c r="E127" s="181">
        <f>SUM(N127:Y127)</f>
        <v>0</v>
      </c>
      <c r="F127" s="183" t="s">
        <v>446</v>
      </c>
      <c r="G127" s="183" t="s">
        <v>441</v>
      </c>
      <c r="H127" s="181"/>
      <c r="I127" s="182"/>
      <c r="J127" s="182"/>
      <c r="K127" s="176" t="s">
        <v>276</v>
      </c>
      <c r="L127" s="306"/>
      <c r="M127" s="363"/>
      <c r="N127" s="181">
        <f>SUMIFS('FCST data'!Q:Q,'FCST data'!$D:$D,$F127,'FCST data'!$K:$K,$G127,'FCST data'!$L:$L,$K127)</f>
        <v>0</v>
      </c>
      <c r="O127" s="181">
        <f>SUMIFS('FCST data'!R:R,'FCST data'!$D:$D,$F127,'FCST data'!$K:$K,$G127,'FCST data'!$L:$L,$K127)</f>
        <v>0</v>
      </c>
      <c r="P127" s="181">
        <f>SUMIFS('FCST data'!S:S,'FCST data'!$D:$D,$F127,'FCST data'!$K:$K,$G127,'FCST data'!$L:$L,$K127)</f>
        <v>0</v>
      </c>
      <c r="Q127" s="181">
        <f>SUMIFS('FCST data'!T:T,'FCST data'!$D:$D,$F127,'FCST data'!$K:$K,$G127,'FCST data'!$L:$L,$K127)</f>
        <v>0</v>
      </c>
      <c r="R127" s="181">
        <f>SUMIFS('FCST data'!U:U,'FCST data'!$D:$D,$F127,'FCST data'!$K:$K,$G127,'FCST data'!$L:$L,$K127)</f>
        <v>0</v>
      </c>
      <c r="S127" s="181">
        <f>SUMIFS('FCST data'!V:V,'FCST data'!$D:$D,$F127,'FCST data'!$K:$K,$G127,'FCST data'!$L:$L,$K127)</f>
        <v>0</v>
      </c>
      <c r="T127" s="181">
        <f>SUMIFS('FCST data'!W:W,'FCST data'!$D:$D,$F127,'FCST data'!$K:$K,$G127,'FCST data'!$L:$L,$K127)</f>
        <v>0</v>
      </c>
      <c r="U127" s="181">
        <f>SUMIFS('FCST data'!X:X,'FCST data'!$D:$D,$F127,'FCST data'!$K:$K,$G127,'FCST data'!$L:$L,$K127)</f>
        <v>0</v>
      </c>
      <c r="V127" s="181">
        <f>SUMIFS('FCST data'!Y:Y,'FCST data'!$D:$D,$F127,'FCST data'!$K:$K,$G127,'FCST data'!$L:$L,$K127)</f>
        <v>0</v>
      </c>
      <c r="W127" s="181">
        <f>SUMIFS('FCST data'!Z:Z,'FCST data'!$D:$D,$F127,'FCST data'!$K:$K,$G127,'FCST data'!$L:$L,$K127)</f>
        <v>0</v>
      </c>
      <c r="X127" s="181">
        <f>SUMIFS('FCST data'!AA:AA,'FCST data'!$D:$D,$F127,'FCST data'!$K:$K,$G127,'FCST data'!$L:$L,$K127)</f>
        <v>0</v>
      </c>
      <c r="Y127" s="181">
        <f>SUMIFS('FCST data'!AB:AB,'FCST data'!$D:$D,$F127,'FCST data'!$K:$K,$G127,'FCST data'!$L:$L,$K127)</f>
        <v>0</v>
      </c>
      <c r="Z127" s="148"/>
      <c r="AA127" s="44"/>
      <c r="AC127" s="16">
        <f>E127-SUM(AA128:AB130)</f>
        <v>0</v>
      </c>
      <c r="AD127" s="183" t="s">
        <v>446</v>
      </c>
      <c r="AE127" s="16">
        <v>0</v>
      </c>
      <c r="AF127" s="16">
        <v>0</v>
      </c>
    </row>
    <row r="128" spans="2:32" hidden="1">
      <c r="B128" s="395"/>
      <c r="C128" s="20"/>
      <c r="D128" s="284"/>
      <c r="E128" s="285"/>
      <c r="F128" s="286" t="s">
        <v>446</v>
      </c>
      <c r="G128" s="286" t="s">
        <v>441</v>
      </c>
      <c r="H128" s="284" t="s">
        <v>715</v>
      </c>
      <c r="I128" s="287" t="s">
        <v>718</v>
      </c>
      <c r="J128" s="341" t="s">
        <v>454</v>
      </c>
      <c r="K128" s="287" t="s">
        <v>456</v>
      </c>
      <c r="L128" s="299">
        <v>4</v>
      </c>
      <c r="M128" s="360" t="s">
        <v>562</v>
      </c>
      <c r="N128" s="291">
        <f t="shared" ref="N128:Y128" si="62">N127*$L$128</f>
        <v>0</v>
      </c>
      <c r="O128" s="291">
        <f t="shared" si="62"/>
        <v>0</v>
      </c>
      <c r="P128" s="291">
        <f t="shared" si="62"/>
        <v>0</v>
      </c>
      <c r="Q128" s="291">
        <f t="shared" si="62"/>
        <v>0</v>
      </c>
      <c r="R128" s="291">
        <f t="shared" si="62"/>
        <v>0</v>
      </c>
      <c r="S128" s="291">
        <f t="shared" si="62"/>
        <v>0</v>
      </c>
      <c r="T128" s="291">
        <f t="shared" si="62"/>
        <v>0</v>
      </c>
      <c r="U128" s="291">
        <f t="shared" si="62"/>
        <v>0</v>
      </c>
      <c r="V128" s="291">
        <f t="shared" si="62"/>
        <v>0</v>
      </c>
      <c r="W128" s="291">
        <f t="shared" si="62"/>
        <v>0</v>
      </c>
      <c r="X128" s="291">
        <f t="shared" si="62"/>
        <v>0</v>
      </c>
      <c r="Y128" s="291">
        <f t="shared" si="62"/>
        <v>0</v>
      </c>
      <c r="Z128" s="177">
        <f>SUM(N128:Y128)</f>
        <v>0</v>
      </c>
      <c r="AA128" s="7" t="s">
        <v>396</v>
      </c>
      <c r="AD128" s="286" t="s">
        <v>446</v>
      </c>
      <c r="AF128" s="16">
        <v>0</v>
      </c>
    </row>
    <row r="129" spans="2:32" ht="20.399999999999999" hidden="1">
      <c r="B129" s="395"/>
      <c r="C129" s="20"/>
      <c r="D129" s="284"/>
      <c r="E129" s="285"/>
      <c r="F129" s="286" t="s">
        <v>446</v>
      </c>
      <c r="G129" s="286" t="s">
        <v>441</v>
      </c>
      <c r="H129" s="284" t="s">
        <v>715</v>
      </c>
      <c r="I129" s="287" t="s">
        <v>718</v>
      </c>
      <c r="J129" s="126" t="s">
        <v>119</v>
      </c>
      <c r="K129" s="287" t="s">
        <v>319</v>
      </c>
      <c r="L129" s="299">
        <v>8</v>
      </c>
      <c r="M129" s="359" t="s">
        <v>547</v>
      </c>
      <c r="N129" s="291">
        <f t="shared" ref="N129:Y129" si="63">N127*$L$129</f>
        <v>0</v>
      </c>
      <c r="O129" s="291">
        <f t="shared" si="63"/>
        <v>0</v>
      </c>
      <c r="P129" s="291">
        <f t="shared" si="63"/>
        <v>0</v>
      </c>
      <c r="Q129" s="291">
        <f t="shared" si="63"/>
        <v>0</v>
      </c>
      <c r="R129" s="291">
        <f t="shared" si="63"/>
        <v>0</v>
      </c>
      <c r="S129" s="291">
        <f t="shared" si="63"/>
        <v>0</v>
      </c>
      <c r="T129" s="291">
        <f t="shared" si="63"/>
        <v>0</v>
      </c>
      <c r="U129" s="291">
        <f t="shared" si="63"/>
        <v>0</v>
      </c>
      <c r="V129" s="291">
        <f t="shared" si="63"/>
        <v>0</v>
      </c>
      <c r="W129" s="291">
        <f t="shared" si="63"/>
        <v>0</v>
      </c>
      <c r="X129" s="291">
        <f t="shared" si="63"/>
        <v>0</v>
      </c>
      <c r="Y129" s="291">
        <f t="shared" si="63"/>
        <v>0</v>
      </c>
      <c r="Z129" s="177">
        <f t="shared" ref="Z129:Z130" si="64">SUM(N129:Y129)</f>
        <v>0</v>
      </c>
      <c r="AA129" s="7" t="s">
        <v>396</v>
      </c>
      <c r="AB129" s="16">
        <f>Z129/L129</f>
        <v>0</v>
      </c>
      <c r="AD129" s="286" t="s">
        <v>446</v>
      </c>
      <c r="AF129" s="16">
        <v>0</v>
      </c>
    </row>
    <row r="130" spans="2:32" hidden="1">
      <c r="B130" s="395"/>
      <c r="C130" s="20"/>
      <c r="D130" s="284"/>
      <c r="E130" s="285"/>
      <c r="F130" s="286" t="s">
        <v>446</v>
      </c>
      <c r="G130" s="286" t="s">
        <v>441</v>
      </c>
      <c r="H130" s="284" t="s">
        <v>20</v>
      </c>
      <c r="I130" s="284" t="s">
        <v>133</v>
      </c>
      <c r="J130" s="126" t="s">
        <v>119</v>
      </c>
      <c r="K130" s="287" t="s">
        <v>248</v>
      </c>
      <c r="L130" s="299">
        <v>8</v>
      </c>
      <c r="M130" s="360" t="s">
        <v>249</v>
      </c>
      <c r="N130" s="291"/>
      <c r="O130" s="291"/>
      <c r="P130" s="291"/>
      <c r="Q130" s="291"/>
      <c r="R130" s="291"/>
      <c r="S130" s="291"/>
      <c r="T130" s="291"/>
      <c r="U130" s="291"/>
      <c r="V130" s="291"/>
      <c r="W130" s="291"/>
      <c r="X130" s="291"/>
      <c r="Y130" s="291"/>
      <c r="Z130" s="177">
        <f t="shared" si="64"/>
        <v>0</v>
      </c>
      <c r="AA130" s="7" t="s">
        <v>396</v>
      </c>
      <c r="AB130" s="16">
        <f>Z130/L130</f>
        <v>0</v>
      </c>
      <c r="AD130" s="286" t="s">
        <v>446</v>
      </c>
      <c r="AF130" s="16">
        <v>0</v>
      </c>
    </row>
    <row r="131" spans="2:32" ht="15.6" hidden="1">
      <c r="B131" s="395"/>
      <c r="C131" s="315"/>
      <c r="D131" s="174" t="s">
        <v>22</v>
      </c>
      <c r="E131" s="181">
        <f>SUM(N131:Y131)</f>
        <v>23900</v>
      </c>
      <c r="F131" s="175" t="s">
        <v>445</v>
      </c>
      <c r="G131" s="175" t="s">
        <v>619</v>
      </c>
      <c r="H131" s="148"/>
      <c r="I131" s="176"/>
      <c r="J131" s="176"/>
      <c r="K131" s="176" t="s">
        <v>108</v>
      </c>
      <c r="L131" s="307"/>
      <c r="M131" s="363"/>
      <c r="N131" s="181">
        <f>SUMIFS('FCST data'!Q:Q,'FCST data'!$D:$D,$F131,'FCST data'!$K:$K,$G131,'FCST data'!$L:$L,$K131)</f>
        <v>0</v>
      </c>
      <c r="O131" s="181">
        <f>SUMIFS('FCST data'!R:R,'FCST data'!$D:$D,$F131,'FCST data'!$K:$K,$G131,'FCST data'!$L:$L,$K131)</f>
        <v>0</v>
      </c>
      <c r="P131" s="181">
        <f>SUMIFS('FCST data'!S:S,'FCST data'!$D:$D,$F131,'FCST data'!$K:$K,$G131,'FCST data'!$L:$L,$K131)</f>
        <v>0</v>
      </c>
      <c r="Q131" s="181">
        <f>SUMIFS('FCST data'!T:T,'FCST data'!$D:$D,$F131,'FCST data'!$K:$K,$G131,'FCST data'!$L:$L,$K131)</f>
        <v>0</v>
      </c>
      <c r="R131" s="181">
        <f>SUMIFS('FCST data'!U:U,'FCST data'!$D:$D,$F131,'FCST data'!$K:$K,$G131,'FCST data'!$L:$L,$K131)</f>
        <v>700</v>
      </c>
      <c r="S131" s="181">
        <f>SUMIFS('FCST data'!V:V,'FCST data'!$D:$D,$F131,'FCST data'!$K:$K,$G131,'FCST data'!$L:$L,$K131)</f>
        <v>4300</v>
      </c>
      <c r="T131" s="181">
        <f>SUMIFS('FCST data'!W:W,'FCST data'!$D:$D,$F131,'FCST data'!$K:$K,$G131,'FCST data'!$L:$L,$K131)</f>
        <v>6300</v>
      </c>
      <c r="U131" s="181">
        <f>SUMIFS('FCST data'!X:X,'FCST data'!$D:$D,$F131,'FCST data'!$K:$K,$G131,'FCST data'!$L:$L,$K131)</f>
        <v>6300</v>
      </c>
      <c r="V131" s="181">
        <f>SUMIFS('FCST data'!Y:Y,'FCST data'!$D:$D,$F131,'FCST data'!$K:$K,$G131,'FCST data'!$L:$L,$K131)</f>
        <v>6300</v>
      </c>
      <c r="W131" s="181">
        <f>SUMIFS('FCST data'!Z:Z,'FCST data'!$D:$D,$F131,'FCST data'!$K:$K,$G131,'FCST data'!$L:$L,$K131)</f>
        <v>0</v>
      </c>
      <c r="X131" s="181">
        <f>SUMIFS('FCST data'!AA:AA,'FCST data'!$D:$D,$F131,'FCST data'!$K:$K,$G131,'FCST data'!$L:$L,$K131)</f>
        <v>0</v>
      </c>
      <c r="Y131" s="181">
        <f>SUMIFS('FCST data'!AB:AB,'FCST data'!$D:$D,$F131,'FCST data'!$K:$K,$G131,'FCST data'!$L:$L,$K131)</f>
        <v>0</v>
      </c>
      <c r="Z131" s="148"/>
      <c r="AA131" s="44"/>
      <c r="AC131" s="16">
        <f>E131-SUM(AA132:AB134)</f>
        <v>0</v>
      </c>
      <c r="AD131" s="175" t="s">
        <v>445</v>
      </c>
      <c r="AE131" s="16">
        <v>0</v>
      </c>
      <c r="AF131" s="16">
        <v>0</v>
      </c>
    </row>
    <row r="132" spans="2:32" s="1" customFormat="1" ht="30.6" hidden="1">
      <c r="B132" s="395"/>
      <c r="C132" s="18"/>
      <c r="D132" s="195"/>
      <c r="E132" s="197"/>
      <c r="F132" s="178" t="s">
        <v>445</v>
      </c>
      <c r="G132" s="178" t="s">
        <v>619</v>
      </c>
      <c r="H132" s="284" t="s">
        <v>715</v>
      </c>
      <c r="I132" s="287" t="s">
        <v>718</v>
      </c>
      <c r="J132" s="284" t="s">
        <v>28</v>
      </c>
      <c r="K132" s="287" t="s">
        <v>302</v>
      </c>
      <c r="L132" s="299">
        <v>4</v>
      </c>
      <c r="M132" s="359" t="s">
        <v>572</v>
      </c>
      <c r="N132" s="291"/>
      <c r="O132" s="291"/>
      <c r="P132" s="291"/>
      <c r="Q132" s="291"/>
      <c r="R132" s="291"/>
      <c r="S132" s="291"/>
      <c r="T132" s="291"/>
      <c r="U132" s="291"/>
      <c r="V132" s="291"/>
      <c r="W132" s="291"/>
      <c r="X132" s="291"/>
      <c r="Y132" s="291"/>
      <c r="Z132" s="177">
        <f t="shared" ref="Z132:Z133" si="65">SUM(N132:Y132)*L132</f>
        <v>0</v>
      </c>
      <c r="AA132" s="7">
        <f t="shared" ref="AA132:AA133" si="66">SUM(N132:Y132)</f>
        <v>0</v>
      </c>
      <c r="AD132" s="178" t="s">
        <v>445</v>
      </c>
      <c r="AE132" s="16">
        <v>0</v>
      </c>
      <c r="AF132" s="16">
        <v>0</v>
      </c>
    </row>
    <row r="133" spans="2:32" s="1" customFormat="1" ht="15.6" hidden="1">
      <c r="B133" s="395"/>
      <c r="C133" s="18"/>
      <c r="D133" s="195"/>
      <c r="E133" s="197"/>
      <c r="F133" s="178" t="s">
        <v>445</v>
      </c>
      <c r="G133" s="178" t="s">
        <v>619</v>
      </c>
      <c r="H133" s="284" t="s">
        <v>20</v>
      </c>
      <c r="I133" s="287" t="s">
        <v>422</v>
      </c>
      <c r="J133" s="284" t="s">
        <v>28</v>
      </c>
      <c r="K133" s="287" t="s">
        <v>280</v>
      </c>
      <c r="L133" s="299">
        <v>4</v>
      </c>
      <c r="M133" s="362" t="s">
        <v>711</v>
      </c>
      <c r="N133" s="291"/>
      <c r="O133" s="291"/>
      <c r="P133" s="291"/>
      <c r="Q133" s="291"/>
      <c r="R133" s="291">
        <v>700</v>
      </c>
      <c r="S133" s="291">
        <v>4300</v>
      </c>
      <c r="T133" s="291">
        <v>6300</v>
      </c>
      <c r="U133" s="291">
        <v>6300</v>
      </c>
      <c r="V133" s="291">
        <v>6300</v>
      </c>
      <c r="W133" s="291"/>
      <c r="X133" s="291"/>
      <c r="Y133" s="291"/>
      <c r="Z133" s="177">
        <f t="shared" si="65"/>
        <v>95600</v>
      </c>
      <c r="AA133" s="7">
        <f t="shared" si="66"/>
        <v>23900</v>
      </c>
      <c r="AD133" s="178" t="s">
        <v>445</v>
      </c>
      <c r="AE133" s="16">
        <v>0</v>
      </c>
      <c r="AF133" s="16">
        <v>0</v>
      </c>
    </row>
    <row r="134" spans="2:32" s="1" customFormat="1" ht="15.6" hidden="1">
      <c r="B134" s="395"/>
      <c r="C134" s="18"/>
      <c r="D134" s="195"/>
      <c r="E134" s="197"/>
      <c r="F134" s="178" t="s">
        <v>445</v>
      </c>
      <c r="G134" s="178" t="s">
        <v>619</v>
      </c>
      <c r="H134" s="284" t="s">
        <v>715</v>
      </c>
      <c r="I134" s="287" t="s">
        <v>718</v>
      </c>
      <c r="J134" s="126" t="s">
        <v>119</v>
      </c>
      <c r="K134" s="287" t="s">
        <v>279</v>
      </c>
      <c r="L134" s="168">
        <v>4</v>
      </c>
      <c r="M134" s="362" t="s">
        <v>247</v>
      </c>
      <c r="N134" s="291">
        <f t="shared" ref="N134:Y134" si="67">N131*$L134</f>
        <v>0</v>
      </c>
      <c r="O134" s="291">
        <f t="shared" si="67"/>
        <v>0</v>
      </c>
      <c r="P134" s="291">
        <f t="shared" si="67"/>
        <v>0</v>
      </c>
      <c r="Q134" s="291">
        <f t="shared" si="67"/>
        <v>0</v>
      </c>
      <c r="R134" s="291">
        <f t="shared" si="67"/>
        <v>2800</v>
      </c>
      <c r="S134" s="291">
        <f t="shared" si="67"/>
        <v>17200</v>
      </c>
      <c r="T134" s="291">
        <f t="shared" si="67"/>
        <v>25200</v>
      </c>
      <c r="U134" s="291">
        <f t="shared" si="67"/>
        <v>25200</v>
      </c>
      <c r="V134" s="291">
        <f t="shared" si="67"/>
        <v>25200</v>
      </c>
      <c r="W134" s="291">
        <f t="shared" si="67"/>
        <v>0</v>
      </c>
      <c r="X134" s="291">
        <f t="shared" si="67"/>
        <v>0</v>
      </c>
      <c r="Y134" s="291">
        <f t="shared" si="67"/>
        <v>0</v>
      </c>
      <c r="Z134" s="177">
        <f>SUM(N134:Y134)</f>
        <v>95600</v>
      </c>
      <c r="AA134" s="7" t="s">
        <v>396</v>
      </c>
      <c r="AB134" s="16"/>
      <c r="AD134" s="178" t="s">
        <v>445</v>
      </c>
      <c r="AE134" s="16"/>
      <c r="AF134" s="16">
        <v>0</v>
      </c>
    </row>
    <row r="135" spans="2:32" ht="15.6" hidden="1">
      <c r="B135" s="395"/>
      <c r="C135" s="315"/>
      <c r="D135" s="174" t="s">
        <v>22</v>
      </c>
      <c r="E135" s="181">
        <f>SUM(N135:Y135)</f>
        <v>1500</v>
      </c>
      <c r="F135" s="175" t="s">
        <v>445</v>
      </c>
      <c r="G135" s="175" t="s">
        <v>620</v>
      </c>
      <c r="H135" s="148"/>
      <c r="I135" s="176"/>
      <c r="J135" s="176"/>
      <c r="K135" s="176" t="s">
        <v>108</v>
      </c>
      <c r="L135" s="307"/>
      <c r="M135" s="363"/>
      <c r="N135" s="181">
        <f>SUMIFS('FCST data'!Q:Q,'FCST data'!$D:$D,$F135,'FCST data'!$K:$K,$G135,'FCST data'!$L:$L,$K135)</f>
        <v>0</v>
      </c>
      <c r="O135" s="181">
        <f>SUMIFS('FCST data'!R:R,'FCST data'!$D:$D,$F135,'FCST data'!$K:$K,$G135,'FCST data'!$L:$L,$K135)</f>
        <v>0</v>
      </c>
      <c r="P135" s="181">
        <f>SUMIFS('FCST data'!S:S,'FCST data'!$D:$D,$F135,'FCST data'!$K:$K,$G135,'FCST data'!$L:$L,$K135)</f>
        <v>0</v>
      </c>
      <c r="Q135" s="181">
        <f>SUMIFS('FCST data'!T:T,'FCST data'!$D:$D,$F135,'FCST data'!$K:$K,$G135,'FCST data'!$L:$L,$K135)</f>
        <v>0</v>
      </c>
      <c r="R135" s="181">
        <f>SUMIFS('FCST data'!U:U,'FCST data'!$D:$D,$F135,'FCST data'!$K:$K,$G135,'FCST data'!$L:$L,$K135)</f>
        <v>150</v>
      </c>
      <c r="S135" s="181">
        <f>SUMIFS('FCST data'!V:V,'FCST data'!$D:$D,$F135,'FCST data'!$K:$K,$G135,'FCST data'!$L:$L,$K135)</f>
        <v>150</v>
      </c>
      <c r="T135" s="181">
        <f>SUMIFS('FCST data'!W:W,'FCST data'!$D:$D,$F135,'FCST data'!$K:$K,$G135,'FCST data'!$L:$L,$K135)</f>
        <v>400</v>
      </c>
      <c r="U135" s="181">
        <f>SUMIFS('FCST data'!X:X,'FCST data'!$D:$D,$F135,'FCST data'!$K:$K,$G135,'FCST data'!$L:$L,$K135)</f>
        <v>400</v>
      </c>
      <c r="V135" s="181">
        <f>SUMIFS('FCST data'!Y:Y,'FCST data'!$D:$D,$F135,'FCST data'!$K:$K,$G135,'FCST data'!$L:$L,$K135)</f>
        <v>400</v>
      </c>
      <c r="W135" s="181">
        <f>SUMIFS('FCST data'!Z:Z,'FCST data'!$D:$D,$F135,'FCST data'!$K:$K,$G135,'FCST data'!$L:$L,$K135)</f>
        <v>0</v>
      </c>
      <c r="X135" s="181">
        <f>SUMIFS('FCST data'!AA:AA,'FCST data'!$D:$D,$F135,'FCST data'!$K:$K,$G135,'FCST data'!$L:$L,$K135)</f>
        <v>0</v>
      </c>
      <c r="Y135" s="181">
        <f>SUMIFS('FCST data'!AB:AB,'FCST data'!$D:$D,$F135,'FCST data'!$K:$K,$G135,'FCST data'!$L:$L,$K135)</f>
        <v>0</v>
      </c>
      <c r="Z135" s="148"/>
      <c r="AA135" s="44"/>
      <c r="AC135" s="16">
        <f>E135-SUM(AA136:AB138)</f>
        <v>0</v>
      </c>
      <c r="AD135" s="175" t="s">
        <v>445</v>
      </c>
      <c r="AE135" s="16">
        <v>0</v>
      </c>
      <c r="AF135" s="16">
        <v>0</v>
      </c>
    </row>
    <row r="136" spans="2:32" s="1" customFormat="1" ht="30.6" hidden="1">
      <c r="B136" s="395"/>
      <c r="C136" s="18"/>
      <c r="D136" s="195"/>
      <c r="E136" s="197"/>
      <c r="F136" s="178" t="s">
        <v>445</v>
      </c>
      <c r="G136" s="178" t="s">
        <v>620</v>
      </c>
      <c r="H136" s="284" t="s">
        <v>715</v>
      </c>
      <c r="I136" s="287" t="s">
        <v>718</v>
      </c>
      <c r="J136" s="284" t="s">
        <v>28</v>
      </c>
      <c r="K136" s="287" t="s">
        <v>302</v>
      </c>
      <c r="L136" s="299">
        <v>4</v>
      </c>
      <c r="M136" s="359" t="s">
        <v>572</v>
      </c>
      <c r="N136" s="291">
        <v>0</v>
      </c>
      <c r="O136" s="291">
        <v>0</v>
      </c>
      <c r="P136" s="291">
        <v>0</v>
      </c>
      <c r="Q136" s="291">
        <v>0</v>
      </c>
      <c r="R136" s="291"/>
      <c r="S136" s="291"/>
      <c r="T136" s="291"/>
      <c r="U136" s="291"/>
      <c r="V136" s="291"/>
      <c r="W136" s="291"/>
      <c r="X136" s="291"/>
      <c r="Y136" s="291"/>
      <c r="Z136" s="177">
        <f t="shared" ref="Z136:Z137" si="68">SUM(N136:Y136)*L136</f>
        <v>0</v>
      </c>
      <c r="AA136" s="7">
        <f t="shared" ref="AA136:AA137" si="69">SUM(N136:Y136)</f>
        <v>0</v>
      </c>
      <c r="AD136" s="178" t="s">
        <v>445</v>
      </c>
      <c r="AE136" s="16">
        <v>0</v>
      </c>
      <c r="AF136" s="16">
        <v>0</v>
      </c>
    </row>
    <row r="137" spans="2:32" s="1" customFormat="1" ht="15.6" hidden="1">
      <c r="B137" s="395"/>
      <c r="C137" s="18"/>
      <c r="D137" s="195"/>
      <c r="E137" s="197"/>
      <c r="F137" s="178" t="s">
        <v>445</v>
      </c>
      <c r="G137" s="178" t="s">
        <v>620</v>
      </c>
      <c r="H137" s="284" t="s">
        <v>20</v>
      </c>
      <c r="I137" s="287" t="s">
        <v>422</v>
      </c>
      <c r="J137" s="284" t="s">
        <v>28</v>
      </c>
      <c r="K137" s="287" t="s">
        <v>280</v>
      </c>
      <c r="L137" s="299">
        <v>4</v>
      </c>
      <c r="M137" s="362" t="s">
        <v>711</v>
      </c>
      <c r="N137" s="291"/>
      <c r="O137" s="291"/>
      <c r="P137" s="291"/>
      <c r="Q137" s="291"/>
      <c r="R137" s="291">
        <v>150</v>
      </c>
      <c r="S137" s="291">
        <v>150</v>
      </c>
      <c r="T137" s="291">
        <v>400</v>
      </c>
      <c r="U137" s="291">
        <v>400</v>
      </c>
      <c r="V137" s="291">
        <v>400</v>
      </c>
      <c r="W137" s="291"/>
      <c r="X137" s="291"/>
      <c r="Y137" s="291"/>
      <c r="Z137" s="177">
        <f t="shared" si="68"/>
        <v>6000</v>
      </c>
      <c r="AA137" s="7">
        <f t="shared" si="69"/>
        <v>1500</v>
      </c>
      <c r="AD137" s="178" t="s">
        <v>445</v>
      </c>
      <c r="AE137" s="16">
        <v>0</v>
      </c>
      <c r="AF137" s="16">
        <v>0</v>
      </c>
    </row>
    <row r="138" spans="2:32" s="1" customFormat="1" ht="15.6" hidden="1">
      <c r="B138" s="395"/>
      <c r="C138" s="18"/>
      <c r="D138" s="195"/>
      <c r="E138" s="197"/>
      <c r="F138" s="178" t="s">
        <v>445</v>
      </c>
      <c r="G138" s="178" t="s">
        <v>620</v>
      </c>
      <c r="H138" s="284" t="s">
        <v>715</v>
      </c>
      <c r="I138" s="287" t="s">
        <v>718</v>
      </c>
      <c r="J138" s="126" t="s">
        <v>119</v>
      </c>
      <c r="K138" s="287" t="s">
        <v>279</v>
      </c>
      <c r="L138" s="168">
        <v>4</v>
      </c>
      <c r="M138" s="362" t="s">
        <v>247</v>
      </c>
      <c r="N138" s="291">
        <f t="shared" ref="N138:Y138" si="70">N135*$L138</f>
        <v>0</v>
      </c>
      <c r="O138" s="291">
        <f t="shared" si="70"/>
        <v>0</v>
      </c>
      <c r="P138" s="291">
        <f t="shared" si="70"/>
        <v>0</v>
      </c>
      <c r="Q138" s="291">
        <f t="shared" si="70"/>
        <v>0</v>
      </c>
      <c r="R138" s="291">
        <f t="shared" si="70"/>
        <v>600</v>
      </c>
      <c r="S138" s="291">
        <f t="shared" si="70"/>
        <v>600</v>
      </c>
      <c r="T138" s="291">
        <f t="shared" si="70"/>
        <v>1600</v>
      </c>
      <c r="U138" s="291">
        <f t="shared" si="70"/>
        <v>1600</v>
      </c>
      <c r="V138" s="291">
        <f t="shared" si="70"/>
        <v>1600</v>
      </c>
      <c r="W138" s="291">
        <f t="shared" si="70"/>
        <v>0</v>
      </c>
      <c r="X138" s="291">
        <f t="shared" si="70"/>
        <v>0</v>
      </c>
      <c r="Y138" s="291">
        <f t="shared" si="70"/>
        <v>0</v>
      </c>
      <c r="Z138" s="177">
        <f>SUM(N138:Y138)</f>
        <v>6000</v>
      </c>
      <c r="AA138" s="7" t="s">
        <v>396</v>
      </c>
      <c r="AB138" s="16"/>
      <c r="AD138" s="178" t="s">
        <v>445</v>
      </c>
      <c r="AE138" s="16"/>
      <c r="AF138" s="16">
        <v>0</v>
      </c>
    </row>
    <row r="139" spans="2:32" ht="15.6" hidden="1">
      <c r="B139" s="395"/>
      <c r="C139" s="315"/>
      <c r="D139" s="174" t="s">
        <v>22</v>
      </c>
      <c r="E139" s="181">
        <f>SUM(N139:Y139)</f>
        <v>470</v>
      </c>
      <c r="F139" s="175" t="s">
        <v>445</v>
      </c>
      <c r="G139" s="175" t="s">
        <v>620</v>
      </c>
      <c r="H139" s="148"/>
      <c r="I139" s="176"/>
      <c r="J139" s="176"/>
      <c r="K139" s="176" t="s">
        <v>531</v>
      </c>
      <c r="L139" s="307"/>
      <c r="M139" s="363"/>
      <c r="N139" s="181">
        <f>SUMIFS('FCST data'!Q:Q,'FCST data'!$D:$D,$F139,'FCST data'!$K:$K,$G139,'FCST data'!$L:$L,$K139)</f>
        <v>0</v>
      </c>
      <c r="O139" s="181">
        <f>SUMIFS('FCST data'!R:R,'FCST data'!$D:$D,$F139,'FCST data'!$K:$K,$G139,'FCST data'!$L:$L,$K139)</f>
        <v>0</v>
      </c>
      <c r="P139" s="181">
        <f>SUMIFS('FCST data'!S:S,'FCST data'!$D:$D,$F139,'FCST data'!$K:$K,$G139,'FCST data'!$L:$L,$K139)</f>
        <v>0</v>
      </c>
      <c r="Q139" s="181">
        <f>SUMIFS('FCST data'!T:T,'FCST data'!$D:$D,$F139,'FCST data'!$K:$K,$G139,'FCST data'!$L:$L,$K139)</f>
        <v>0</v>
      </c>
      <c r="R139" s="181">
        <f>SUMIFS('FCST data'!U:U,'FCST data'!$D:$D,$F139,'FCST data'!$K:$K,$G139,'FCST data'!$L:$L,$K139)</f>
        <v>30</v>
      </c>
      <c r="S139" s="181">
        <f>SUMIFS('FCST data'!V:V,'FCST data'!$D:$D,$F139,'FCST data'!$K:$K,$G139,'FCST data'!$L:$L,$K139)</f>
        <v>50</v>
      </c>
      <c r="T139" s="181">
        <f>SUMIFS('FCST data'!W:W,'FCST data'!$D:$D,$F139,'FCST data'!$K:$K,$G139,'FCST data'!$L:$L,$K139)</f>
        <v>130</v>
      </c>
      <c r="U139" s="181">
        <f>SUMIFS('FCST data'!X:X,'FCST data'!$D:$D,$F139,'FCST data'!$K:$K,$G139,'FCST data'!$L:$L,$K139)</f>
        <v>130</v>
      </c>
      <c r="V139" s="181">
        <f>SUMIFS('FCST data'!Y:Y,'FCST data'!$D:$D,$F139,'FCST data'!$K:$K,$G139,'FCST data'!$L:$L,$K139)</f>
        <v>130</v>
      </c>
      <c r="W139" s="181">
        <f>SUMIFS('FCST data'!Z:Z,'FCST data'!$D:$D,$F139,'FCST data'!$K:$K,$G139,'FCST data'!$L:$L,$K139)</f>
        <v>0</v>
      </c>
      <c r="X139" s="181">
        <f>SUMIFS('FCST data'!AA:AA,'FCST data'!$D:$D,$F139,'FCST data'!$K:$K,$G139,'FCST data'!$L:$L,$K139)</f>
        <v>0</v>
      </c>
      <c r="Y139" s="181">
        <f>SUMIFS('FCST data'!AB:AB,'FCST data'!$D:$D,$F139,'FCST data'!$K:$K,$G139,'FCST data'!$L:$L,$K139)</f>
        <v>0</v>
      </c>
      <c r="Z139" s="148"/>
      <c r="AA139" s="44"/>
      <c r="AC139" s="16">
        <f>E139-SUM(AA140:AB142)</f>
        <v>0</v>
      </c>
      <c r="AD139" s="175" t="s">
        <v>445</v>
      </c>
      <c r="AE139" s="16">
        <v>0</v>
      </c>
      <c r="AF139" s="16">
        <v>0</v>
      </c>
    </row>
    <row r="140" spans="2:32" s="1" customFormat="1" ht="30.6" hidden="1">
      <c r="B140" s="395"/>
      <c r="C140" s="18"/>
      <c r="D140" s="195"/>
      <c r="E140" s="197"/>
      <c r="F140" s="178" t="s">
        <v>445</v>
      </c>
      <c r="G140" s="178" t="s">
        <v>620</v>
      </c>
      <c r="H140" s="284" t="s">
        <v>715</v>
      </c>
      <c r="I140" s="287" t="s">
        <v>718</v>
      </c>
      <c r="J140" s="284" t="s">
        <v>28</v>
      </c>
      <c r="K140" s="287" t="s">
        <v>246</v>
      </c>
      <c r="L140" s="180">
        <v>8</v>
      </c>
      <c r="M140" s="359" t="s">
        <v>573</v>
      </c>
      <c r="N140" s="291"/>
      <c r="O140" s="291"/>
      <c r="P140" s="291"/>
      <c r="Q140" s="291"/>
      <c r="R140" s="291">
        <v>30</v>
      </c>
      <c r="S140" s="291">
        <v>50</v>
      </c>
      <c r="T140" s="291">
        <v>130</v>
      </c>
      <c r="U140" s="291">
        <v>130</v>
      </c>
      <c r="V140" s="291">
        <v>130</v>
      </c>
      <c r="W140" s="291"/>
      <c r="X140" s="291"/>
      <c r="Y140" s="291"/>
      <c r="Z140" s="177">
        <f t="shared" ref="Z140:Z141" si="71">SUM(N140:Y140)*L140</f>
        <v>3760</v>
      </c>
      <c r="AA140" s="7">
        <f t="shared" ref="AA140:AA141" si="72">SUM(N140:Y140)</f>
        <v>470</v>
      </c>
      <c r="AD140" s="178" t="s">
        <v>445</v>
      </c>
      <c r="AE140" s="16">
        <v>0</v>
      </c>
      <c r="AF140" s="16">
        <v>0</v>
      </c>
    </row>
    <row r="141" spans="2:32" s="1" customFormat="1" ht="15.6" hidden="1">
      <c r="B141" s="395"/>
      <c r="C141" s="18"/>
      <c r="D141" s="195"/>
      <c r="E141" s="197"/>
      <c r="F141" s="178" t="s">
        <v>445</v>
      </c>
      <c r="G141" s="178" t="s">
        <v>620</v>
      </c>
      <c r="H141" s="284" t="s">
        <v>20</v>
      </c>
      <c r="I141" s="284" t="s">
        <v>133</v>
      </c>
      <c r="J141" s="284" t="s">
        <v>28</v>
      </c>
      <c r="K141" s="287" t="s">
        <v>532</v>
      </c>
      <c r="L141" s="180">
        <v>8</v>
      </c>
      <c r="M141" s="362"/>
      <c r="N141" s="291"/>
      <c r="O141" s="291"/>
      <c r="P141" s="291"/>
      <c r="Q141" s="291"/>
      <c r="R141" s="291"/>
      <c r="S141" s="291"/>
      <c r="T141" s="291"/>
      <c r="U141" s="291"/>
      <c r="V141" s="291"/>
      <c r="W141" s="291"/>
      <c r="X141" s="291"/>
      <c r="Y141" s="291"/>
      <c r="Z141" s="177">
        <f t="shared" si="71"/>
        <v>0</v>
      </c>
      <c r="AA141" s="7">
        <f t="shared" si="72"/>
        <v>0</v>
      </c>
      <c r="AD141" s="178" t="s">
        <v>445</v>
      </c>
      <c r="AE141" s="16">
        <v>0</v>
      </c>
      <c r="AF141" s="16">
        <v>0</v>
      </c>
    </row>
    <row r="142" spans="2:32" s="1" customFormat="1" ht="30.6" hidden="1">
      <c r="B142" s="395"/>
      <c r="C142" s="18"/>
      <c r="D142" s="195"/>
      <c r="E142" s="197"/>
      <c r="F142" s="286" t="s">
        <v>445</v>
      </c>
      <c r="G142" s="286" t="s">
        <v>620</v>
      </c>
      <c r="H142" s="284" t="s">
        <v>715</v>
      </c>
      <c r="I142" s="287" t="s">
        <v>718</v>
      </c>
      <c r="J142" s="126" t="s">
        <v>119</v>
      </c>
      <c r="K142" s="287" t="s">
        <v>283</v>
      </c>
      <c r="L142" s="168">
        <v>4</v>
      </c>
      <c r="M142" s="359" t="s">
        <v>574</v>
      </c>
      <c r="N142" s="291">
        <f t="shared" ref="N142:Y142" si="73">N139*$L142</f>
        <v>0</v>
      </c>
      <c r="O142" s="291">
        <f t="shared" si="73"/>
        <v>0</v>
      </c>
      <c r="P142" s="291">
        <f t="shared" si="73"/>
        <v>0</v>
      </c>
      <c r="Q142" s="291">
        <f t="shared" si="73"/>
        <v>0</v>
      </c>
      <c r="R142" s="291">
        <f t="shared" si="73"/>
        <v>120</v>
      </c>
      <c r="S142" s="291">
        <f t="shared" si="73"/>
        <v>200</v>
      </c>
      <c r="T142" s="291">
        <f t="shared" si="73"/>
        <v>520</v>
      </c>
      <c r="U142" s="291">
        <f t="shared" si="73"/>
        <v>520</v>
      </c>
      <c r="V142" s="291">
        <f t="shared" si="73"/>
        <v>520</v>
      </c>
      <c r="W142" s="291">
        <f t="shared" si="73"/>
        <v>0</v>
      </c>
      <c r="X142" s="291">
        <f t="shared" si="73"/>
        <v>0</v>
      </c>
      <c r="Y142" s="291">
        <f t="shared" si="73"/>
        <v>0</v>
      </c>
      <c r="Z142" s="177">
        <f>SUM(N142:Y142)</f>
        <v>1880</v>
      </c>
      <c r="AA142" s="7" t="s">
        <v>396</v>
      </c>
      <c r="AB142" s="16"/>
      <c r="AD142" s="286" t="s">
        <v>445</v>
      </c>
      <c r="AE142" s="16"/>
      <c r="AF142" s="16">
        <v>0</v>
      </c>
    </row>
    <row r="143" spans="2:32" ht="15.6" hidden="1">
      <c r="B143" s="395"/>
      <c r="C143" s="315"/>
      <c r="D143" s="174" t="s">
        <v>22</v>
      </c>
      <c r="E143" s="181">
        <f>SUM(N143:Y143)</f>
        <v>80</v>
      </c>
      <c r="F143" s="175" t="s">
        <v>444</v>
      </c>
      <c r="G143" s="175" t="s">
        <v>621</v>
      </c>
      <c r="H143" s="148"/>
      <c r="I143" s="176"/>
      <c r="J143" s="176"/>
      <c r="K143" s="176" t="s">
        <v>108</v>
      </c>
      <c r="L143" s="307"/>
      <c r="M143" s="363"/>
      <c r="N143" s="181">
        <f>SUMIFS('FCST data'!Q:Q,'FCST data'!$D:$D,$F143,'FCST data'!$K:$K,$G143,'FCST data'!$L:$L,$K143)</f>
        <v>0</v>
      </c>
      <c r="O143" s="181">
        <f>SUMIFS('FCST data'!R:R,'FCST data'!$D:$D,$F143,'FCST data'!$K:$K,$G143,'FCST data'!$L:$L,$K143)</f>
        <v>80</v>
      </c>
      <c r="P143" s="181">
        <f>SUMIFS('FCST data'!S:S,'FCST data'!$D:$D,$F143,'FCST data'!$K:$K,$G143,'FCST data'!$L:$L,$K143)</f>
        <v>0</v>
      </c>
      <c r="Q143" s="181">
        <f>SUMIFS('FCST data'!T:T,'FCST data'!$D:$D,$F143,'FCST data'!$K:$K,$G143,'FCST data'!$L:$L,$K143)</f>
        <v>0</v>
      </c>
      <c r="R143" s="181">
        <f>SUMIFS('FCST data'!U:U,'FCST data'!$D:$D,$F143,'FCST data'!$K:$K,$G143,'FCST data'!$L:$L,$K143)</f>
        <v>0</v>
      </c>
      <c r="S143" s="181">
        <f>SUMIFS('FCST data'!V:V,'FCST data'!$D:$D,$F143,'FCST data'!$K:$K,$G143,'FCST data'!$L:$L,$K143)</f>
        <v>0</v>
      </c>
      <c r="T143" s="181">
        <f>SUMIFS('FCST data'!W:W,'FCST data'!$D:$D,$F143,'FCST data'!$K:$K,$G143,'FCST data'!$L:$L,$K143)</f>
        <v>0</v>
      </c>
      <c r="U143" s="181">
        <f>SUMIFS('FCST data'!X:X,'FCST data'!$D:$D,$F143,'FCST data'!$K:$K,$G143,'FCST data'!$L:$L,$K143)</f>
        <v>0</v>
      </c>
      <c r="V143" s="181">
        <f>SUMIFS('FCST data'!Y:Y,'FCST data'!$D:$D,$F143,'FCST data'!$K:$K,$G143,'FCST data'!$L:$L,$K143)</f>
        <v>0</v>
      </c>
      <c r="W143" s="181">
        <f>SUMIFS('FCST data'!Z:Z,'FCST data'!$D:$D,$F143,'FCST data'!$K:$K,$G143,'FCST data'!$L:$L,$K143)</f>
        <v>0</v>
      </c>
      <c r="X143" s="181">
        <f>SUMIFS('FCST data'!AA:AA,'FCST data'!$D:$D,$F143,'FCST data'!$K:$K,$G143,'FCST data'!$L:$L,$K143)</f>
        <v>0</v>
      </c>
      <c r="Y143" s="181">
        <f>SUMIFS('FCST data'!AB:AB,'FCST data'!$D:$D,$F143,'FCST data'!$K:$K,$G143,'FCST data'!$L:$L,$K143)</f>
        <v>0</v>
      </c>
      <c r="Z143" s="148"/>
      <c r="AA143" s="44"/>
      <c r="AC143" s="16">
        <f>E143-SUM(AA144:AB147)</f>
        <v>0</v>
      </c>
      <c r="AD143" s="175" t="s">
        <v>444</v>
      </c>
      <c r="AE143" s="16">
        <v>0</v>
      </c>
      <c r="AF143" s="16">
        <v>0</v>
      </c>
    </row>
    <row r="144" spans="2:32" s="1" customFormat="1" ht="30.6" hidden="1">
      <c r="B144" s="395"/>
      <c r="C144" s="18"/>
      <c r="D144" s="195"/>
      <c r="E144" s="197"/>
      <c r="F144" s="178" t="s">
        <v>444</v>
      </c>
      <c r="G144" s="178" t="s">
        <v>621</v>
      </c>
      <c r="H144" s="284" t="s">
        <v>715</v>
      </c>
      <c r="I144" s="287" t="s">
        <v>718</v>
      </c>
      <c r="J144" s="284" t="s">
        <v>28</v>
      </c>
      <c r="K144" s="287" t="s">
        <v>302</v>
      </c>
      <c r="L144" s="299">
        <v>4</v>
      </c>
      <c r="M144" s="359" t="s">
        <v>572</v>
      </c>
      <c r="N144" s="291"/>
      <c r="O144" s="291"/>
      <c r="P144" s="291"/>
      <c r="Q144" s="291"/>
      <c r="R144" s="291"/>
      <c r="S144" s="291"/>
      <c r="T144" s="291"/>
      <c r="U144" s="291"/>
      <c r="V144" s="291"/>
      <c r="W144" s="291"/>
      <c r="X144" s="291"/>
      <c r="Y144" s="291"/>
      <c r="Z144" s="177">
        <f t="shared" ref="Z144:Z146" si="74">SUM(N144:Y144)*L144</f>
        <v>0</v>
      </c>
      <c r="AA144" s="7">
        <f t="shared" ref="AA144:AA146" si="75">SUM(N144:Y144)</f>
        <v>0</v>
      </c>
      <c r="AD144" s="178" t="s">
        <v>444</v>
      </c>
      <c r="AE144" s="16">
        <v>0</v>
      </c>
      <c r="AF144" s="16">
        <v>0</v>
      </c>
    </row>
    <row r="145" spans="2:32" s="1" customFormat="1" ht="15.6" hidden="1">
      <c r="B145" s="395"/>
      <c r="C145" s="18"/>
      <c r="D145" s="195"/>
      <c r="E145" s="197"/>
      <c r="F145" s="178" t="s">
        <v>444</v>
      </c>
      <c r="G145" s="178" t="s">
        <v>621</v>
      </c>
      <c r="H145" s="284" t="s">
        <v>20</v>
      </c>
      <c r="I145" s="287" t="s">
        <v>422</v>
      </c>
      <c r="J145" s="284" t="s">
        <v>28</v>
      </c>
      <c r="K145" s="287" t="s">
        <v>280</v>
      </c>
      <c r="L145" s="299">
        <v>4</v>
      </c>
      <c r="M145" s="362" t="s">
        <v>711</v>
      </c>
      <c r="N145" s="291">
        <v>0</v>
      </c>
      <c r="O145" s="291">
        <v>80</v>
      </c>
      <c r="P145" s="291">
        <v>0</v>
      </c>
      <c r="Q145" s="291">
        <v>0</v>
      </c>
      <c r="R145" s="291"/>
      <c r="S145" s="291"/>
      <c r="T145" s="291"/>
      <c r="U145" s="291"/>
      <c r="V145" s="291"/>
      <c r="W145" s="291"/>
      <c r="X145" s="291"/>
      <c r="Y145" s="291"/>
      <c r="Z145" s="177">
        <f t="shared" si="74"/>
        <v>320</v>
      </c>
      <c r="AA145" s="7">
        <f t="shared" si="75"/>
        <v>80</v>
      </c>
      <c r="AD145" s="178" t="s">
        <v>444</v>
      </c>
      <c r="AE145" s="16">
        <v>0</v>
      </c>
      <c r="AF145" s="16">
        <v>0</v>
      </c>
    </row>
    <row r="146" spans="2:32" s="1" customFormat="1" ht="15.6" hidden="1">
      <c r="B146" s="395"/>
      <c r="C146" s="18"/>
      <c r="D146" s="195"/>
      <c r="E146" s="197"/>
      <c r="F146" s="178" t="s">
        <v>444</v>
      </c>
      <c r="G146" s="178" t="s">
        <v>621</v>
      </c>
      <c r="H146" s="284" t="s">
        <v>20</v>
      </c>
      <c r="I146" s="284" t="s">
        <v>133</v>
      </c>
      <c r="J146" s="284" t="s">
        <v>28</v>
      </c>
      <c r="K146" s="287" t="s">
        <v>280</v>
      </c>
      <c r="L146" s="299">
        <v>4</v>
      </c>
      <c r="M146" s="362"/>
      <c r="N146" s="291"/>
      <c r="O146" s="291"/>
      <c r="P146" s="291"/>
      <c r="Q146" s="291"/>
      <c r="R146" s="291"/>
      <c r="S146" s="291"/>
      <c r="T146" s="291"/>
      <c r="U146" s="291"/>
      <c r="V146" s="291"/>
      <c r="W146" s="291"/>
      <c r="X146" s="291"/>
      <c r="Y146" s="291"/>
      <c r="Z146" s="177">
        <f t="shared" si="74"/>
        <v>0</v>
      </c>
      <c r="AA146" s="7">
        <f t="shared" si="75"/>
        <v>0</v>
      </c>
      <c r="AD146" s="178" t="s">
        <v>444</v>
      </c>
      <c r="AE146" s="16">
        <v>0</v>
      </c>
      <c r="AF146" s="16">
        <v>0</v>
      </c>
    </row>
    <row r="147" spans="2:32" s="1" customFormat="1" ht="15.6" hidden="1">
      <c r="B147" s="395"/>
      <c r="C147" s="18"/>
      <c r="D147" s="195"/>
      <c r="E147" s="197"/>
      <c r="F147" s="286" t="s">
        <v>444</v>
      </c>
      <c r="G147" s="286" t="s">
        <v>621</v>
      </c>
      <c r="H147" s="284" t="s">
        <v>715</v>
      </c>
      <c r="I147" s="287" t="s">
        <v>718</v>
      </c>
      <c r="J147" s="126" t="s">
        <v>119</v>
      </c>
      <c r="K147" s="287" t="s">
        <v>279</v>
      </c>
      <c r="L147" s="168">
        <v>4</v>
      </c>
      <c r="M147" s="362" t="s">
        <v>247</v>
      </c>
      <c r="N147" s="291">
        <f t="shared" ref="N147:Y147" si="76">N143*$L147</f>
        <v>0</v>
      </c>
      <c r="O147" s="291">
        <f t="shared" si="76"/>
        <v>320</v>
      </c>
      <c r="P147" s="291">
        <f t="shared" si="76"/>
        <v>0</v>
      </c>
      <c r="Q147" s="291">
        <f t="shared" si="76"/>
        <v>0</v>
      </c>
      <c r="R147" s="291">
        <f t="shared" si="76"/>
        <v>0</v>
      </c>
      <c r="S147" s="291">
        <f t="shared" si="76"/>
        <v>0</v>
      </c>
      <c r="T147" s="291">
        <f t="shared" si="76"/>
        <v>0</v>
      </c>
      <c r="U147" s="291">
        <f t="shared" si="76"/>
        <v>0</v>
      </c>
      <c r="V147" s="291">
        <f t="shared" si="76"/>
        <v>0</v>
      </c>
      <c r="W147" s="291">
        <f t="shared" si="76"/>
        <v>0</v>
      </c>
      <c r="X147" s="291">
        <f t="shared" si="76"/>
        <v>0</v>
      </c>
      <c r="Y147" s="291">
        <f t="shared" si="76"/>
        <v>0</v>
      </c>
      <c r="Z147" s="177">
        <f>SUM(N147:Y147)</f>
        <v>320</v>
      </c>
      <c r="AA147" s="7" t="s">
        <v>396</v>
      </c>
      <c r="AB147" s="16"/>
      <c r="AD147" s="286" t="s">
        <v>444</v>
      </c>
      <c r="AE147" s="16"/>
      <c r="AF147" s="16">
        <v>0</v>
      </c>
    </row>
    <row r="148" spans="2:32" ht="15.6" hidden="1">
      <c r="B148" s="395"/>
      <c r="C148" s="315"/>
      <c r="D148" s="174" t="s">
        <v>22</v>
      </c>
      <c r="E148" s="181">
        <f>SUM(N148:Y148)</f>
        <v>20</v>
      </c>
      <c r="F148" s="175" t="s">
        <v>444</v>
      </c>
      <c r="G148" s="175" t="s">
        <v>621</v>
      </c>
      <c r="H148" s="148"/>
      <c r="I148" s="176"/>
      <c r="J148" s="176"/>
      <c r="K148" s="176" t="s">
        <v>276</v>
      </c>
      <c r="L148" s="307"/>
      <c r="M148" s="363"/>
      <c r="N148" s="181">
        <f>SUMIFS('FCST data'!Q:Q,'FCST data'!$D:$D,$F148,'FCST data'!$K:$K,$G148,'FCST data'!$L:$L,$K148)</f>
        <v>0</v>
      </c>
      <c r="O148" s="181">
        <f>SUMIFS('FCST data'!R:R,'FCST data'!$D:$D,$F148,'FCST data'!$K:$K,$G148,'FCST data'!$L:$L,$K148)</f>
        <v>20</v>
      </c>
      <c r="P148" s="181">
        <f>SUMIFS('FCST data'!S:S,'FCST data'!$D:$D,$F148,'FCST data'!$K:$K,$G148,'FCST data'!$L:$L,$K148)</f>
        <v>0</v>
      </c>
      <c r="Q148" s="181">
        <f>SUMIFS('FCST data'!T:T,'FCST data'!$D:$D,$F148,'FCST data'!$K:$K,$G148,'FCST data'!$L:$L,$K148)</f>
        <v>0</v>
      </c>
      <c r="R148" s="181">
        <f>SUMIFS('FCST data'!U:U,'FCST data'!$D:$D,$F148,'FCST data'!$K:$K,$G148,'FCST data'!$L:$L,$K148)</f>
        <v>0</v>
      </c>
      <c r="S148" s="181">
        <f>SUMIFS('FCST data'!V:V,'FCST data'!$D:$D,$F148,'FCST data'!$K:$K,$G148,'FCST data'!$L:$L,$K148)</f>
        <v>0</v>
      </c>
      <c r="T148" s="181">
        <f>SUMIFS('FCST data'!W:W,'FCST data'!$D:$D,$F148,'FCST data'!$K:$K,$G148,'FCST data'!$L:$L,$K148)</f>
        <v>0</v>
      </c>
      <c r="U148" s="181">
        <f>SUMIFS('FCST data'!X:X,'FCST data'!$D:$D,$F148,'FCST data'!$K:$K,$G148,'FCST data'!$L:$L,$K148)</f>
        <v>0</v>
      </c>
      <c r="V148" s="181">
        <f>SUMIFS('FCST data'!Y:Y,'FCST data'!$D:$D,$F148,'FCST data'!$K:$K,$G148,'FCST data'!$L:$L,$K148)</f>
        <v>0</v>
      </c>
      <c r="W148" s="181">
        <f>SUMIFS('FCST data'!Z:Z,'FCST data'!$D:$D,$F148,'FCST data'!$K:$K,$G148,'FCST data'!$L:$L,$K148)</f>
        <v>0</v>
      </c>
      <c r="X148" s="181">
        <f>SUMIFS('FCST data'!AA:AA,'FCST data'!$D:$D,$F148,'FCST data'!$K:$K,$G148,'FCST data'!$L:$L,$K148)</f>
        <v>0</v>
      </c>
      <c r="Y148" s="181">
        <f>SUMIFS('FCST data'!AB:AB,'FCST data'!$D:$D,$F148,'FCST data'!$K:$K,$G148,'FCST data'!$L:$L,$K148)</f>
        <v>0</v>
      </c>
      <c r="Z148" s="148"/>
      <c r="AA148" s="44"/>
      <c r="AC148" s="16">
        <f>E148-SUM(AA149:AB151)</f>
        <v>0</v>
      </c>
      <c r="AD148" s="175" t="s">
        <v>444</v>
      </c>
      <c r="AE148" s="16">
        <v>0</v>
      </c>
      <c r="AF148" s="16">
        <v>0</v>
      </c>
    </row>
    <row r="149" spans="2:32" s="1" customFormat="1" ht="30.6" hidden="1">
      <c r="B149" s="395"/>
      <c r="C149" s="18"/>
      <c r="D149" s="195"/>
      <c r="E149" s="197"/>
      <c r="F149" s="178" t="s">
        <v>444</v>
      </c>
      <c r="G149" s="178" t="s">
        <v>621</v>
      </c>
      <c r="H149" s="284" t="s">
        <v>715</v>
      </c>
      <c r="I149" s="287" t="s">
        <v>718</v>
      </c>
      <c r="J149" s="284" t="s">
        <v>28</v>
      </c>
      <c r="K149" s="287" t="s">
        <v>303</v>
      </c>
      <c r="L149" s="180">
        <v>8</v>
      </c>
      <c r="M149" s="359" t="s">
        <v>573</v>
      </c>
      <c r="N149" s="291">
        <v>0</v>
      </c>
      <c r="O149" s="291">
        <v>20</v>
      </c>
      <c r="P149" s="291">
        <v>0</v>
      </c>
      <c r="Q149" s="291">
        <v>0</v>
      </c>
      <c r="R149" s="291"/>
      <c r="S149" s="291"/>
      <c r="T149" s="291"/>
      <c r="U149" s="291"/>
      <c r="V149" s="291"/>
      <c r="W149" s="291"/>
      <c r="X149" s="291"/>
      <c r="Y149" s="291"/>
      <c r="Z149" s="177">
        <f t="shared" ref="Z149:Z150" si="77">SUM(N149:Y149)*L149</f>
        <v>160</v>
      </c>
      <c r="AA149" s="7">
        <f t="shared" ref="AA149:AA150" si="78">SUM(N149:Y149)</f>
        <v>20</v>
      </c>
      <c r="AD149" s="178" t="s">
        <v>444</v>
      </c>
      <c r="AE149" s="16">
        <v>0</v>
      </c>
      <c r="AF149" s="16">
        <v>0</v>
      </c>
    </row>
    <row r="150" spans="2:32" s="1" customFormat="1" ht="15.6" hidden="1">
      <c r="B150" s="395"/>
      <c r="C150" s="18"/>
      <c r="D150" s="195"/>
      <c r="E150" s="197"/>
      <c r="F150" s="178" t="s">
        <v>444</v>
      </c>
      <c r="G150" s="178" t="s">
        <v>621</v>
      </c>
      <c r="H150" s="284" t="s">
        <v>20</v>
      </c>
      <c r="I150" s="284" t="s">
        <v>133</v>
      </c>
      <c r="J150" s="284" t="s">
        <v>28</v>
      </c>
      <c r="K150" s="287" t="s">
        <v>303</v>
      </c>
      <c r="L150" s="180">
        <v>8</v>
      </c>
      <c r="M150" s="362"/>
      <c r="N150" s="291"/>
      <c r="O150" s="291"/>
      <c r="P150" s="291"/>
      <c r="Q150" s="291"/>
      <c r="R150" s="291"/>
      <c r="S150" s="291"/>
      <c r="T150" s="291"/>
      <c r="U150" s="291"/>
      <c r="V150" s="291"/>
      <c r="W150" s="291"/>
      <c r="X150" s="291"/>
      <c r="Y150" s="291"/>
      <c r="Z150" s="177">
        <f t="shared" si="77"/>
        <v>0</v>
      </c>
      <c r="AA150" s="7">
        <f t="shared" si="78"/>
        <v>0</v>
      </c>
      <c r="AD150" s="178" t="s">
        <v>444</v>
      </c>
      <c r="AE150" s="16">
        <v>0</v>
      </c>
      <c r="AF150" s="16">
        <v>0</v>
      </c>
    </row>
    <row r="151" spans="2:32" s="1" customFormat="1" ht="30.6" hidden="1">
      <c r="B151" s="395"/>
      <c r="C151" s="18"/>
      <c r="D151" s="195"/>
      <c r="E151" s="197"/>
      <c r="F151" s="286" t="s">
        <v>444</v>
      </c>
      <c r="G151" s="286" t="s">
        <v>621</v>
      </c>
      <c r="H151" s="284" t="s">
        <v>715</v>
      </c>
      <c r="I151" s="287" t="s">
        <v>718</v>
      </c>
      <c r="J151" s="126" t="s">
        <v>119</v>
      </c>
      <c r="K151" s="287" t="s">
        <v>283</v>
      </c>
      <c r="L151" s="168">
        <v>4</v>
      </c>
      <c r="M151" s="359" t="s">
        <v>574</v>
      </c>
      <c r="N151" s="291">
        <f t="shared" ref="N151:Y151" si="79">N148*$L151</f>
        <v>0</v>
      </c>
      <c r="O151" s="291">
        <f t="shared" si="79"/>
        <v>80</v>
      </c>
      <c r="P151" s="291">
        <f t="shared" si="79"/>
        <v>0</v>
      </c>
      <c r="Q151" s="291">
        <f t="shared" si="79"/>
        <v>0</v>
      </c>
      <c r="R151" s="291">
        <f t="shared" si="79"/>
        <v>0</v>
      </c>
      <c r="S151" s="291">
        <f t="shared" si="79"/>
        <v>0</v>
      </c>
      <c r="T151" s="291">
        <f t="shared" si="79"/>
        <v>0</v>
      </c>
      <c r="U151" s="291">
        <f t="shared" si="79"/>
        <v>0</v>
      </c>
      <c r="V151" s="291">
        <f t="shared" si="79"/>
        <v>0</v>
      </c>
      <c r="W151" s="291">
        <f t="shared" si="79"/>
        <v>0</v>
      </c>
      <c r="X151" s="291">
        <f t="shared" si="79"/>
        <v>0</v>
      </c>
      <c r="Y151" s="291">
        <f t="shared" si="79"/>
        <v>0</v>
      </c>
      <c r="Z151" s="177">
        <f>SUM(N151:Y151)</f>
        <v>80</v>
      </c>
      <c r="AA151" s="7" t="s">
        <v>396</v>
      </c>
      <c r="AB151" s="16"/>
      <c r="AD151" s="286" t="s">
        <v>444</v>
      </c>
      <c r="AE151" s="16"/>
      <c r="AF151" s="16">
        <v>0</v>
      </c>
    </row>
    <row r="152" spans="2:32" ht="15.6" hidden="1">
      <c r="B152" s="395"/>
      <c r="C152" s="315"/>
      <c r="D152" s="174" t="s">
        <v>22</v>
      </c>
      <c r="E152" s="181">
        <f>SUM(N152:Y152)</f>
        <v>0</v>
      </c>
      <c r="F152" s="175" t="s">
        <v>444</v>
      </c>
      <c r="G152" s="175" t="s">
        <v>622</v>
      </c>
      <c r="H152" s="148"/>
      <c r="I152" s="176"/>
      <c r="J152" s="176"/>
      <c r="K152" s="176" t="s">
        <v>108</v>
      </c>
      <c r="L152" s="307"/>
      <c r="M152" s="363"/>
      <c r="N152" s="181">
        <f>SUMIFS('FCST data'!Q:Q,'FCST data'!$D:$D,$F152,'FCST data'!$K:$K,$G152,'FCST data'!$L:$L,$K152)</f>
        <v>0</v>
      </c>
      <c r="O152" s="181">
        <f>SUMIFS('FCST data'!R:R,'FCST data'!$D:$D,$F152,'FCST data'!$K:$K,$G152,'FCST data'!$L:$L,$K152)</f>
        <v>0</v>
      </c>
      <c r="P152" s="181">
        <f>SUMIFS('FCST data'!S:S,'FCST data'!$D:$D,$F152,'FCST data'!$K:$K,$G152,'FCST data'!$L:$L,$K152)</f>
        <v>0</v>
      </c>
      <c r="Q152" s="181">
        <f>SUMIFS('FCST data'!T:T,'FCST data'!$D:$D,$F152,'FCST data'!$K:$K,$G152,'FCST data'!$L:$L,$K152)</f>
        <v>0</v>
      </c>
      <c r="R152" s="181">
        <f>SUMIFS('FCST data'!U:U,'FCST data'!$D:$D,$F152,'FCST data'!$K:$K,$G152,'FCST data'!$L:$L,$K152)</f>
        <v>0</v>
      </c>
      <c r="S152" s="181">
        <f>SUMIFS('FCST data'!V:V,'FCST data'!$D:$D,$F152,'FCST data'!$K:$K,$G152,'FCST data'!$L:$L,$K152)</f>
        <v>0</v>
      </c>
      <c r="T152" s="181">
        <f>SUMIFS('FCST data'!W:W,'FCST data'!$D:$D,$F152,'FCST data'!$K:$K,$G152,'FCST data'!$L:$L,$K152)</f>
        <v>0</v>
      </c>
      <c r="U152" s="181">
        <f>SUMIFS('FCST data'!X:X,'FCST data'!$D:$D,$F152,'FCST data'!$K:$K,$G152,'FCST data'!$L:$L,$K152)</f>
        <v>0</v>
      </c>
      <c r="V152" s="181">
        <f>SUMIFS('FCST data'!Y:Y,'FCST data'!$D:$D,$F152,'FCST data'!$K:$K,$G152,'FCST data'!$L:$L,$K152)</f>
        <v>0</v>
      </c>
      <c r="W152" s="181">
        <f>SUMIFS('FCST data'!Z:Z,'FCST data'!$D:$D,$F152,'FCST data'!$K:$K,$G152,'FCST data'!$L:$L,$K152)</f>
        <v>0</v>
      </c>
      <c r="X152" s="181">
        <f>SUMIFS('FCST data'!AA:AA,'FCST data'!$D:$D,$F152,'FCST data'!$K:$K,$G152,'FCST data'!$L:$L,$K152)</f>
        <v>0</v>
      </c>
      <c r="Y152" s="181">
        <f>SUMIFS('FCST data'!AB:AB,'FCST data'!$D:$D,$F152,'FCST data'!$K:$K,$G152,'FCST data'!$L:$L,$K152)</f>
        <v>0</v>
      </c>
      <c r="Z152" s="148"/>
      <c r="AA152" s="44"/>
      <c r="AC152" s="16">
        <f>E152-SUM(AA153:AB156)</f>
        <v>0</v>
      </c>
      <c r="AD152" s="175" t="s">
        <v>444</v>
      </c>
      <c r="AE152" s="16">
        <v>0</v>
      </c>
      <c r="AF152" s="16">
        <v>0</v>
      </c>
    </row>
    <row r="153" spans="2:32" s="1" customFormat="1" ht="30.6" hidden="1">
      <c r="B153" s="395"/>
      <c r="C153" s="18"/>
      <c r="D153" s="195"/>
      <c r="E153" s="197"/>
      <c r="F153" s="178" t="s">
        <v>444</v>
      </c>
      <c r="G153" s="178" t="s">
        <v>622</v>
      </c>
      <c r="H153" s="284" t="s">
        <v>715</v>
      </c>
      <c r="I153" s="287" t="s">
        <v>718</v>
      </c>
      <c r="J153" s="284" t="s">
        <v>28</v>
      </c>
      <c r="K153" s="287" t="s">
        <v>302</v>
      </c>
      <c r="L153" s="299">
        <v>4</v>
      </c>
      <c r="M153" s="359" t="s">
        <v>572</v>
      </c>
      <c r="N153" s="291">
        <v>0</v>
      </c>
      <c r="O153" s="291">
        <v>0</v>
      </c>
      <c r="P153" s="291">
        <v>0</v>
      </c>
      <c r="Q153" s="291"/>
      <c r="R153" s="291"/>
      <c r="S153" s="291"/>
      <c r="T153" s="291"/>
      <c r="U153" s="291"/>
      <c r="V153" s="291"/>
      <c r="W153" s="291"/>
      <c r="X153" s="291"/>
      <c r="Y153" s="291"/>
      <c r="Z153" s="177">
        <f t="shared" ref="Z153:Z155" si="80">SUM(N153:Y153)*L153</f>
        <v>0</v>
      </c>
      <c r="AA153" s="7">
        <f t="shared" ref="AA153:AA155" si="81">SUM(N153:Y153)</f>
        <v>0</v>
      </c>
      <c r="AD153" s="178" t="s">
        <v>444</v>
      </c>
      <c r="AE153" s="16">
        <v>0</v>
      </c>
      <c r="AF153" s="16">
        <v>0</v>
      </c>
    </row>
    <row r="154" spans="2:32" s="1" customFormat="1" ht="15.6" hidden="1">
      <c r="B154" s="395"/>
      <c r="C154" s="18"/>
      <c r="D154" s="195"/>
      <c r="E154" s="197"/>
      <c r="F154" s="178" t="s">
        <v>444</v>
      </c>
      <c r="G154" s="178" t="s">
        <v>622</v>
      </c>
      <c r="H154" s="284" t="s">
        <v>20</v>
      </c>
      <c r="I154" s="287" t="s">
        <v>422</v>
      </c>
      <c r="J154" s="284" t="s">
        <v>28</v>
      </c>
      <c r="K154" s="287" t="s">
        <v>280</v>
      </c>
      <c r="L154" s="299">
        <v>4</v>
      </c>
      <c r="M154" s="362" t="s">
        <v>711</v>
      </c>
      <c r="N154" s="291"/>
      <c r="O154" s="291"/>
      <c r="P154" s="291"/>
      <c r="Q154" s="291"/>
      <c r="R154" s="291"/>
      <c r="S154" s="291"/>
      <c r="T154" s="291"/>
      <c r="U154" s="291"/>
      <c r="V154" s="291"/>
      <c r="W154" s="291"/>
      <c r="X154" s="291"/>
      <c r="Y154" s="291"/>
      <c r="Z154" s="177">
        <f t="shared" si="80"/>
        <v>0</v>
      </c>
      <c r="AA154" s="7">
        <f t="shared" si="81"/>
        <v>0</v>
      </c>
      <c r="AD154" s="178" t="s">
        <v>444</v>
      </c>
      <c r="AE154" s="16">
        <v>0</v>
      </c>
      <c r="AF154" s="16">
        <v>0</v>
      </c>
    </row>
    <row r="155" spans="2:32" s="1" customFormat="1" ht="15.6" hidden="1">
      <c r="B155" s="395"/>
      <c r="C155" s="18"/>
      <c r="D155" s="195"/>
      <c r="E155" s="197"/>
      <c r="F155" s="178" t="s">
        <v>444</v>
      </c>
      <c r="G155" s="178" t="s">
        <v>622</v>
      </c>
      <c r="H155" s="284" t="s">
        <v>20</v>
      </c>
      <c r="I155" s="284" t="s">
        <v>133</v>
      </c>
      <c r="J155" s="284" t="s">
        <v>28</v>
      </c>
      <c r="K155" s="287" t="s">
        <v>280</v>
      </c>
      <c r="L155" s="299">
        <v>4</v>
      </c>
      <c r="M155" s="362"/>
      <c r="N155" s="291"/>
      <c r="O155" s="291"/>
      <c r="P155" s="291"/>
      <c r="Q155" s="291"/>
      <c r="R155" s="291"/>
      <c r="S155" s="291"/>
      <c r="T155" s="291"/>
      <c r="U155" s="291"/>
      <c r="V155" s="291"/>
      <c r="W155" s="291"/>
      <c r="X155" s="291"/>
      <c r="Y155" s="291"/>
      <c r="Z155" s="177">
        <f t="shared" si="80"/>
        <v>0</v>
      </c>
      <c r="AA155" s="7">
        <f t="shared" si="81"/>
        <v>0</v>
      </c>
      <c r="AD155" s="178" t="s">
        <v>444</v>
      </c>
      <c r="AE155" s="16">
        <v>0</v>
      </c>
      <c r="AF155" s="16">
        <v>0</v>
      </c>
    </row>
    <row r="156" spans="2:32" s="1" customFormat="1" ht="15.6" hidden="1">
      <c r="B156" s="395"/>
      <c r="C156" s="18"/>
      <c r="D156" s="195"/>
      <c r="E156" s="197"/>
      <c r="F156" s="286" t="s">
        <v>444</v>
      </c>
      <c r="G156" s="286" t="s">
        <v>622</v>
      </c>
      <c r="H156" s="284" t="s">
        <v>715</v>
      </c>
      <c r="I156" s="287" t="s">
        <v>718</v>
      </c>
      <c r="J156" s="126" t="s">
        <v>119</v>
      </c>
      <c r="K156" s="287" t="s">
        <v>279</v>
      </c>
      <c r="L156" s="168">
        <v>4</v>
      </c>
      <c r="M156" s="362" t="s">
        <v>247</v>
      </c>
      <c r="N156" s="291">
        <f t="shared" ref="N156:Y156" si="82">N152*$L156</f>
        <v>0</v>
      </c>
      <c r="O156" s="291">
        <f t="shared" si="82"/>
        <v>0</v>
      </c>
      <c r="P156" s="291">
        <f t="shared" si="82"/>
        <v>0</v>
      </c>
      <c r="Q156" s="291">
        <f t="shared" si="82"/>
        <v>0</v>
      </c>
      <c r="R156" s="291">
        <f t="shared" si="82"/>
        <v>0</v>
      </c>
      <c r="S156" s="291">
        <f t="shared" si="82"/>
        <v>0</v>
      </c>
      <c r="T156" s="291">
        <f t="shared" si="82"/>
        <v>0</v>
      </c>
      <c r="U156" s="291">
        <f t="shared" si="82"/>
        <v>0</v>
      </c>
      <c r="V156" s="291">
        <f t="shared" si="82"/>
        <v>0</v>
      </c>
      <c r="W156" s="291">
        <f t="shared" si="82"/>
        <v>0</v>
      </c>
      <c r="X156" s="291">
        <f t="shared" si="82"/>
        <v>0</v>
      </c>
      <c r="Y156" s="291">
        <f t="shared" si="82"/>
        <v>0</v>
      </c>
      <c r="Z156" s="177">
        <f>SUM(N156:Y156)</f>
        <v>0</v>
      </c>
      <c r="AA156" s="7" t="s">
        <v>396</v>
      </c>
      <c r="AB156" s="16"/>
      <c r="AD156" s="286" t="s">
        <v>444</v>
      </c>
      <c r="AE156" s="16"/>
      <c r="AF156" s="16">
        <v>0</v>
      </c>
    </row>
    <row r="157" spans="2:32" ht="15.6" hidden="1">
      <c r="B157" s="395"/>
      <c r="C157" s="315"/>
      <c r="D157" s="174" t="s">
        <v>22</v>
      </c>
      <c r="E157" s="181">
        <f>SUM(N157:Y157)</f>
        <v>600</v>
      </c>
      <c r="F157" s="175" t="s">
        <v>444</v>
      </c>
      <c r="G157" s="175" t="s">
        <v>622</v>
      </c>
      <c r="H157" s="148"/>
      <c r="I157" s="176"/>
      <c r="J157" s="176"/>
      <c r="K157" s="176" t="s">
        <v>276</v>
      </c>
      <c r="L157" s="307"/>
      <c r="M157" s="363"/>
      <c r="N157" s="181">
        <f>SUMIFS('FCST data'!Q:Q,'FCST data'!$D:$D,$F157,'FCST data'!$K:$K,$G157,'FCST data'!$L:$L,$K157)</f>
        <v>200</v>
      </c>
      <c r="O157" s="181">
        <f>SUMIFS('FCST data'!R:R,'FCST data'!$D:$D,$F157,'FCST data'!$K:$K,$G157,'FCST data'!$L:$L,$K157)</f>
        <v>200</v>
      </c>
      <c r="P157" s="181">
        <f>SUMIFS('FCST data'!S:S,'FCST data'!$D:$D,$F157,'FCST data'!$K:$K,$G157,'FCST data'!$L:$L,$K157)</f>
        <v>200</v>
      </c>
      <c r="Q157" s="181">
        <f>SUMIFS('FCST data'!T:T,'FCST data'!$D:$D,$F157,'FCST data'!$K:$K,$G157,'FCST data'!$L:$L,$K157)</f>
        <v>0</v>
      </c>
      <c r="R157" s="181">
        <f>SUMIFS('FCST data'!U:U,'FCST data'!$D:$D,$F157,'FCST data'!$K:$K,$G157,'FCST data'!$L:$L,$K157)</f>
        <v>0</v>
      </c>
      <c r="S157" s="181">
        <f>SUMIFS('FCST data'!V:V,'FCST data'!$D:$D,$F157,'FCST data'!$K:$K,$G157,'FCST data'!$L:$L,$K157)</f>
        <v>0</v>
      </c>
      <c r="T157" s="181">
        <f>SUMIFS('FCST data'!W:W,'FCST data'!$D:$D,$F157,'FCST data'!$K:$K,$G157,'FCST data'!$L:$L,$K157)</f>
        <v>0</v>
      </c>
      <c r="U157" s="181">
        <f>SUMIFS('FCST data'!X:X,'FCST data'!$D:$D,$F157,'FCST data'!$K:$K,$G157,'FCST data'!$L:$L,$K157)</f>
        <v>0</v>
      </c>
      <c r="V157" s="181">
        <f>SUMIFS('FCST data'!Y:Y,'FCST data'!$D:$D,$F157,'FCST data'!$K:$K,$G157,'FCST data'!$L:$L,$K157)</f>
        <v>0</v>
      </c>
      <c r="W157" s="181">
        <f>SUMIFS('FCST data'!Z:Z,'FCST data'!$D:$D,$F157,'FCST data'!$K:$K,$G157,'FCST data'!$L:$L,$K157)</f>
        <v>0</v>
      </c>
      <c r="X157" s="181">
        <f>SUMIFS('FCST data'!AA:AA,'FCST data'!$D:$D,$F157,'FCST data'!$K:$K,$G157,'FCST data'!$L:$L,$K157)</f>
        <v>0</v>
      </c>
      <c r="Y157" s="181">
        <f>SUMIFS('FCST data'!AB:AB,'FCST data'!$D:$D,$F157,'FCST data'!$K:$K,$G157,'FCST data'!$L:$L,$K157)</f>
        <v>0</v>
      </c>
      <c r="Z157" s="148"/>
      <c r="AA157" s="44"/>
      <c r="AC157" s="16">
        <f>E157-SUM(AA158:AB160)</f>
        <v>0</v>
      </c>
      <c r="AD157" s="175" t="s">
        <v>444</v>
      </c>
      <c r="AE157" s="16">
        <v>0</v>
      </c>
      <c r="AF157" s="16">
        <v>0</v>
      </c>
    </row>
    <row r="158" spans="2:32" s="1" customFormat="1" ht="30.6" hidden="1">
      <c r="B158" s="395"/>
      <c r="C158" s="18"/>
      <c r="D158" s="195"/>
      <c r="E158" s="197"/>
      <c r="F158" s="178" t="s">
        <v>444</v>
      </c>
      <c r="G158" s="178" t="s">
        <v>622</v>
      </c>
      <c r="H158" s="284" t="s">
        <v>715</v>
      </c>
      <c r="I158" s="287" t="s">
        <v>718</v>
      </c>
      <c r="J158" s="284" t="s">
        <v>28</v>
      </c>
      <c r="K158" s="287" t="s">
        <v>246</v>
      </c>
      <c r="L158" s="180">
        <v>8</v>
      </c>
      <c r="M158" s="359" t="s">
        <v>573</v>
      </c>
      <c r="N158" s="291">
        <v>200</v>
      </c>
      <c r="O158" s="291">
        <v>200</v>
      </c>
      <c r="P158" s="291">
        <v>200</v>
      </c>
      <c r="Q158" s="291"/>
      <c r="R158" s="291"/>
      <c r="S158" s="291"/>
      <c r="T158" s="291"/>
      <c r="U158" s="291"/>
      <c r="V158" s="291"/>
      <c r="W158" s="291"/>
      <c r="X158" s="291"/>
      <c r="Y158" s="291"/>
      <c r="Z158" s="177">
        <f t="shared" ref="Z158:Z159" si="83">SUM(N158:Y158)*L158</f>
        <v>4800</v>
      </c>
      <c r="AA158" s="7">
        <f t="shared" ref="AA158:AA159" si="84">SUM(N158:Y158)</f>
        <v>600</v>
      </c>
      <c r="AD158" s="178" t="s">
        <v>444</v>
      </c>
      <c r="AE158" s="16">
        <v>200</v>
      </c>
      <c r="AF158" s="16">
        <v>0</v>
      </c>
    </row>
    <row r="159" spans="2:32" s="1" customFormat="1" ht="15.6" hidden="1">
      <c r="B159" s="395"/>
      <c r="C159" s="18"/>
      <c r="D159" s="195"/>
      <c r="E159" s="197"/>
      <c r="F159" s="178" t="s">
        <v>444</v>
      </c>
      <c r="G159" s="178" t="s">
        <v>622</v>
      </c>
      <c r="H159" s="284" t="s">
        <v>20</v>
      </c>
      <c r="I159" s="284" t="s">
        <v>133</v>
      </c>
      <c r="J159" s="284" t="s">
        <v>28</v>
      </c>
      <c r="K159" s="287" t="s">
        <v>246</v>
      </c>
      <c r="L159" s="180">
        <v>8</v>
      </c>
      <c r="M159" s="362"/>
      <c r="N159" s="291"/>
      <c r="O159" s="291"/>
      <c r="P159" s="291"/>
      <c r="Q159" s="291"/>
      <c r="R159" s="291"/>
      <c r="S159" s="291"/>
      <c r="T159" s="291"/>
      <c r="U159" s="291"/>
      <c r="V159" s="291"/>
      <c r="W159" s="291"/>
      <c r="X159" s="291"/>
      <c r="Y159" s="291"/>
      <c r="Z159" s="177">
        <f t="shared" si="83"/>
        <v>0</v>
      </c>
      <c r="AA159" s="7">
        <f t="shared" si="84"/>
        <v>0</v>
      </c>
      <c r="AD159" s="178" t="s">
        <v>444</v>
      </c>
      <c r="AE159" s="16">
        <v>0</v>
      </c>
      <c r="AF159" s="16">
        <v>0</v>
      </c>
    </row>
    <row r="160" spans="2:32" s="1" customFormat="1" ht="30.6" hidden="1">
      <c r="B160" s="395"/>
      <c r="C160" s="18"/>
      <c r="D160" s="195"/>
      <c r="E160" s="197"/>
      <c r="F160" s="286" t="s">
        <v>444</v>
      </c>
      <c r="G160" s="286" t="s">
        <v>622</v>
      </c>
      <c r="H160" s="284" t="s">
        <v>715</v>
      </c>
      <c r="I160" s="287" t="s">
        <v>718</v>
      </c>
      <c r="J160" s="126" t="s">
        <v>119</v>
      </c>
      <c r="K160" s="287" t="s">
        <v>283</v>
      </c>
      <c r="L160" s="168">
        <v>4</v>
      </c>
      <c r="M160" s="359" t="s">
        <v>574</v>
      </c>
      <c r="N160" s="291">
        <f t="shared" ref="N160:Y160" si="85">N157*$L160</f>
        <v>800</v>
      </c>
      <c r="O160" s="291">
        <f t="shared" si="85"/>
        <v>800</v>
      </c>
      <c r="P160" s="291">
        <f t="shared" si="85"/>
        <v>800</v>
      </c>
      <c r="Q160" s="291">
        <f t="shared" si="85"/>
        <v>0</v>
      </c>
      <c r="R160" s="291">
        <f t="shared" si="85"/>
        <v>0</v>
      </c>
      <c r="S160" s="291">
        <f t="shared" si="85"/>
        <v>0</v>
      </c>
      <c r="T160" s="291">
        <f t="shared" si="85"/>
        <v>0</v>
      </c>
      <c r="U160" s="291">
        <f t="shared" si="85"/>
        <v>0</v>
      </c>
      <c r="V160" s="291">
        <f t="shared" si="85"/>
        <v>0</v>
      </c>
      <c r="W160" s="291">
        <f t="shared" si="85"/>
        <v>0</v>
      </c>
      <c r="X160" s="291">
        <f t="shared" si="85"/>
        <v>0</v>
      </c>
      <c r="Y160" s="291">
        <f t="shared" si="85"/>
        <v>0</v>
      </c>
      <c r="Z160" s="177">
        <f>SUM(N160:Y160)</f>
        <v>2400</v>
      </c>
      <c r="AA160" s="7" t="s">
        <v>396</v>
      </c>
      <c r="AB160" s="16"/>
      <c r="AD160" s="286" t="s">
        <v>444</v>
      </c>
      <c r="AE160" s="16"/>
      <c r="AF160" s="16">
        <v>0</v>
      </c>
    </row>
    <row r="161" spans="2:32" ht="15.6" hidden="1">
      <c r="B161" s="395"/>
      <c r="C161" s="315"/>
      <c r="D161" s="174" t="s">
        <v>22</v>
      </c>
      <c r="E161" s="181">
        <f>SUM(N161:Y161)</f>
        <v>0</v>
      </c>
      <c r="F161" s="175" t="s">
        <v>624</v>
      </c>
      <c r="G161" s="175" t="s">
        <v>390</v>
      </c>
      <c r="H161" s="148"/>
      <c r="I161" s="176"/>
      <c r="J161" s="176"/>
      <c r="K161" s="176" t="s">
        <v>108</v>
      </c>
      <c r="L161" s="307"/>
      <c r="M161" s="363"/>
      <c r="N161" s="181">
        <f>SUMIFS('FCST data'!Q:Q,'FCST data'!$D:$D,$F161,'FCST data'!$K:$K,$G161,'FCST data'!$L:$L,$K161)</f>
        <v>0</v>
      </c>
      <c r="O161" s="181">
        <f>SUMIFS('FCST data'!R:R,'FCST data'!$D:$D,$F161,'FCST data'!$K:$K,$G161,'FCST data'!$L:$L,$K161)</f>
        <v>0</v>
      </c>
      <c r="P161" s="181">
        <f>SUMIFS('FCST data'!S:S,'FCST data'!$D:$D,$F161,'FCST data'!$K:$K,$G161,'FCST data'!$L:$L,$K161)</f>
        <v>0</v>
      </c>
      <c r="Q161" s="181">
        <f>SUMIFS('FCST data'!T:T,'FCST data'!$D:$D,$F161,'FCST data'!$K:$K,$G161,'FCST data'!$L:$L,$K161)</f>
        <v>0</v>
      </c>
      <c r="R161" s="181">
        <f>SUMIFS('FCST data'!U:U,'FCST data'!$D:$D,$F161,'FCST data'!$K:$K,$G161,'FCST data'!$L:$L,$K161)</f>
        <v>0</v>
      </c>
      <c r="S161" s="181">
        <f>SUMIFS('FCST data'!V:V,'FCST data'!$D:$D,$F161,'FCST data'!$K:$K,$G161,'FCST data'!$L:$L,$K161)</f>
        <v>0</v>
      </c>
      <c r="T161" s="181">
        <f>SUMIFS('FCST data'!W:W,'FCST data'!$D:$D,$F161,'FCST data'!$K:$K,$G161,'FCST data'!$L:$L,$K161)</f>
        <v>0</v>
      </c>
      <c r="U161" s="181">
        <f>SUMIFS('FCST data'!X:X,'FCST data'!$D:$D,$F161,'FCST data'!$K:$K,$G161,'FCST data'!$L:$L,$K161)</f>
        <v>0</v>
      </c>
      <c r="V161" s="181">
        <f>SUMIFS('FCST data'!Y:Y,'FCST data'!$D:$D,$F161,'FCST data'!$K:$K,$G161,'FCST data'!$L:$L,$K161)</f>
        <v>0</v>
      </c>
      <c r="W161" s="181">
        <f>SUMIFS('FCST data'!Z:Z,'FCST data'!$D:$D,$F161,'FCST data'!$K:$K,$G161,'FCST data'!$L:$L,$K161)</f>
        <v>0</v>
      </c>
      <c r="X161" s="181">
        <f>SUMIFS('FCST data'!AA:AA,'FCST data'!$D:$D,$F161,'FCST data'!$K:$K,$G161,'FCST data'!$L:$L,$K161)</f>
        <v>0</v>
      </c>
      <c r="Y161" s="181">
        <f>SUMIFS('FCST data'!AB:AB,'FCST data'!$D:$D,$F161,'FCST data'!$K:$K,$G161,'FCST data'!$L:$L,$K161)</f>
        <v>0</v>
      </c>
      <c r="Z161" s="148"/>
      <c r="AA161" s="44"/>
      <c r="AC161" s="16">
        <f>E161-SUM(AA162:AB164)</f>
        <v>0</v>
      </c>
      <c r="AD161" s="175" t="s">
        <v>624</v>
      </c>
      <c r="AE161" s="16">
        <v>0</v>
      </c>
      <c r="AF161" s="16">
        <v>0</v>
      </c>
    </row>
    <row r="162" spans="2:32" s="1" customFormat="1" ht="30.6" hidden="1">
      <c r="B162" s="395"/>
      <c r="C162" s="18"/>
      <c r="D162" s="195"/>
      <c r="E162" s="197"/>
      <c r="F162" s="178" t="s">
        <v>624</v>
      </c>
      <c r="G162" s="178" t="s">
        <v>390</v>
      </c>
      <c r="H162" s="284" t="s">
        <v>715</v>
      </c>
      <c r="I162" s="287" t="s">
        <v>718</v>
      </c>
      <c r="J162" s="284" t="s">
        <v>28</v>
      </c>
      <c r="K162" s="287" t="s">
        <v>302</v>
      </c>
      <c r="L162" s="299">
        <v>4</v>
      </c>
      <c r="M162" s="359" t="s">
        <v>572</v>
      </c>
      <c r="N162" s="291"/>
      <c r="O162" s="291"/>
      <c r="P162" s="291"/>
      <c r="Q162" s="291"/>
      <c r="R162" s="291"/>
      <c r="S162" s="291"/>
      <c r="T162" s="291"/>
      <c r="U162" s="291"/>
      <c r="V162" s="291"/>
      <c r="W162" s="291"/>
      <c r="X162" s="291"/>
      <c r="Y162" s="291"/>
      <c r="Z162" s="177">
        <f t="shared" ref="Z162:Z163" si="86">SUM(N162:Y162)*L162</f>
        <v>0</v>
      </c>
      <c r="AA162" s="7">
        <f t="shared" ref="AA162:AA163" si="87">SUM(N162:Y162)</f>
        <v>0</v>
      </c>
      <c r="AD162" s="178" t="s">
        <v>624</v>
      </c>
      <c r="AE162" s="16">
        <v>0</v>
      </c>
      <c r="AF162" s="16">
        <v>0</v>
      </c>
    </row>
    <row r="163" spans="2:32" s="1" customFormat="1" ht="15.6" hidden="1">
      <c r="B163" s="395"/>
      <c r="C163" s="18"/>
      <c r="D163" s="195"/>
      <c r="E163" s="197"/>
      <c r="F163" s="178" t="s">
        <v>624</v>
      </c>
      <c r="G163" s="178" t="s">
        <v>390</v>
      </c>
      <c r="H163" s="284" t="s">
        <v>20</v>
      </c>
      <c r="I163" s="284" t="s">
        <v>133</v>
      </c>
      <c r="J163" s="284" t="s">
        <v>28</v>
      </c>
      <c r="K163" s="287" t="s">
        <v>280</v>
      </c>
      <c r="L163" s="299">
        <v>4</v>
      </c>
      <c r="M163" s="362"/>
      <c r="N163" s="291"/>
      <c r="O163" s="291"/>
      <c r="P163" s="291"/>
      <c r="Q163" s="291"/>
      <c r="R163" s="291"/>
      <c r="S163" s="291"/>
      <c r="T163" s="291"/>
      <c r="U163" s="291"/>
      <c r="V163" s="291"/>
      <c r="W163" s="291"/>
      <c r="X163" s="291"/>
      <c r="Y163" s="291"/>
      <c r="Z163" s="177">
        <f t="shared" si="86"/>
        <v>0</v>
      </c>
      <c r="AA163" s="7">
        <f t="shared" si="87"/>
        <v>0</v>
      </c>
      <c r="AD163" s="178" t="s">
        <v>624</v>
      </c>
      <c r="AE163" s="16">
        <v>0</v>
      </c>
      <c r="AF163" s="16">
        <v>0</v>
      </c>
    </row>
    <row r="164" spans="2:32" s="1" customFormat="1" ht="15.6" hidden="1">
      <c r="B164" s="395"/>
      <c r="C164" s="18"/>
      <c r="D164" s="195"/>
      <c r="E164" s="197"/>
      <c r="F164" s="286" t="s">
        <v>624</v>
      </c>
      <c r="G164" s="286" t="s">
        <v>390</v>
      </c>
      <c r="H164" s="284" t="s">
        <v>715</v>
      </c>
      <c r="I164" s="287" t="s">
        <v>718</v>
      </c>
      <c r="J164" s="126" t="s">
        <v>119</v>
      </c>
      <c r="K164" s="287" t="s">
        <v>279</v>
      </c>
      <c r="L164" s="168">
        <v>4</v>
      </c>
      <c r="M164" s="362" t="s">
        <v>247</v>
      </c>
      <c r="N164" s="291">
        <f t="shared" ref="N164:Y164" si="88">N161*$L164</f>
        <v>0</v>
      </c>
      <c r="O164" s="291">
        <f t="shared" si="88"/>
        <v>0</v>
      </c>
      <c r="P164" s="291">
        <f t="shared" si="88"/>
        <v>0</v>
      </c>
      <c r="Q164" s="291">
        <f t="shared" si="88"/>
        <v>0</v>
      </c>
      <c r="R164" s="291">
        <f t="shared" si="88"/>
        <v>0</v>
      </c>
      <c r="S164" s="291">
        <f t="shared" si="88"/>
        <v>0</v>
      </c>
      <c r="T164" s="291">
        <f t="shared" si="88"/>
        <v>0</v>
      </c>
      <c r="U164" s="291">
        <f t="shared" si="88"/>
        <v>0</v>
      </c>
      <c r="V164" s="291">
        <f t="shared" si="88"/>
        <v>0</v>
      </c>
      <c r="W164" s="291">
        <f t="shared" si="88"/>
        <v>0</v>
      </c>
      <c r="X164" s="291">
        <f t="shared" si="88"/>
        <v>0</v>
      </c>
      <c r="Y164" s="291">
        <f t="shared" si="88"/>
        <v>0</v>
      </c>
      <c r="Z164" s="177">
        <f>SUM(N164:Y164)</f>
        <v>0</v>
      </c>
      <c r="AA164" s="7" t="s">
        <v>396</v>
      </c>
      <c r="AB164" s="16"/>
      <c r="AD164" s="286" t="s">
        <v>624</v>
      </c>
      <c r="AE164" s="16"/>
      <c r="AF164" s="16">
        <v>0</v>
      </c>
    </row>
    <row r="165" spans="2:32" ht="15.6" hidden="1">
      <c r="B165" s="395"/>
      <c r="C165" s="315"/>
      <c r="D165" s="174" t="s">
        <v>22</v>
      </c>
      <c r="E165" s="181">
        <f>SUM(N165:Y165)</f>
        <v>0</v>
      </c>
      <c r="F165" s="175" t="s">
        <v>624</v>
      </c>
      <c r="G165" s="175" t="s">
        <v>390</v>
      </c>
      <c r="H165" s="148"/>
      <c r="I165" s="176"/>
      <c r="J165" s="176"/>
      <c r="K165" s="176" t="s">
        <v>276</v>
      </c>
      <c r="L165" s="307"/>
      <c r="M165" s="363"/>
      <c r="N165" s="181">
        <f>SUMIFS('FCST data'!Q:Q,'FCST data'!$D:$D,$F165,'FCST data'!$K:$K,$G165,'FCST data'!$L:$L,$K165)</f>
        <v>0</v>
      </c>
      <c r="O165" s="181">
        <f>SUMIFS('FCST data'!R:R,'FCST data'!$D:$D,$F165,'FCST data'!$K:$K,$G165,'FCST data'!$L:$L,$K165)</f>
        <v>0</v>
      </c>
      <c r="P165" s="181">
        <f>SUMIFS('FCST data'!S:S,'FCST data'!$D:$D,$F165,'FCST data'!$K:$K,$G165,'FCST data'!$L:$L,$K165)</f>
        <v>0</v>
      </c>
      <c r="Q165" s="181">
        <f>SUMIFS('FCST data'!T:T,'FCST data'!$D:$D,$F165,'FCST data'!$K:$K,$G165,'FCST data'!$L:$L,$K165)</f>
        <v>0</v>
      </c>
      <c r="R165" s="181">
        <f>SUMIFS('FCST data'!U:U,'FCST data'!$D:$D,$F165,'FCST data'!$K:$K,$G165,'FCST data'!$L:$L,$K165)</f>
        <v>0</v>
      </c>
      <c r="S165" s="181">
        <f>SUMIFS('FCST data'!V:V,'FCST data'!$D:$D,$F165,'FCST data'!$K:$K,$G165,'FCST data'!$L:$L,$K165)</f>
        <v>0</v>
      </c>
      <c r="T165" s="181">
        <f>SUMIFS('FCST data'!W:W,'FCST data'!$D:$D,$F165,'FCST data'!$K:$K,$G165,'FCST data'!$L:$L,$K165)</f>
        <v>0</v>
      </c>
      <c r="U165" s="181">
        <f>SUMIFS('FCST data'!X:X,'FCST data'!$D:$D,$F165,'FCST data'!$K:$K,$G165,'FCST data'!$L:$L,$K165)</f>
        <v>0</v>
      </c>
      <c r="V165" s="181">
        <f>SUMIFS('FCST data'!Y:Y,'FCST data'!$D:$D,$F165,'FCST data'!$K:$K,$G165,'FCST data'!$L:$L,$K165)</f>
        <v>0</v>
      </c>
      <c r="W165" s="181">
        <f>SUMIFS('FCST data'!Z:Z,'FCST data'!$D:$D,$F165,'FCST data'!$K:$K,$G165,'FCST data'!$L:$L,$K165)</f>
        <v>0</v>
      </c>
      <c r="X165" s="181">
        <f>SUMIFS('FCST data'!AA:AA,'FCST data'!$D:$D,$F165,'FCST data'!$K:$K,$G165,'FCST data'!$L:$L,$K165)</f>
        <v>0</v>
      </c>
      <c r="Y165" s="181">
        <f>SUMIFS('FCST data'!AB:AB,'FCST data'!$D:$D,$F165,'FCST data'!$K:$K,$G165,'FCST data'!$L:$L,$K165)</f>
        <v>0</v>
      </c>
      <c r="Z165" s="148"/>
      <c r="AA165" s="44"/>
      <c r="AC165" s="16">
        <f>E165-SUM(AA166:AB168)</f>
        <v>0</v>
      </c>
      <c r="AD165" s="175" t="s">
        <v>624</v>
      </c>
      <c r="AE165" s="16">
        <v>0</v>
      </c>
      <c r="AF165" s="16">
        <v>0</v>
      </c>
    </row>
    <row r="166" spans="2:32" s="1" customFormat="1" ht="30.6" hidden="1">
      <c r="B166" s="395"/>
      <c r="C166" s="18"/>
      <c r="D166" s="195"/>
      <c r="E166" s="197"/>
      <c r="F166" s="178" t="s">
        <v>624</v>
      </c>
      <c r="G166" s="178" t="s">
        <v>390</v>
      </c>
      <c r="H166" s="284" t="s">
        <v>715</v>
      </c>
      <c r="I166" s="287" t="s">
        <v>718</v>
      </c>
      <c r="J166" s="284" t="s">
        <v>28</v>
      </c>
      <c r="K166" s="287" t="s">
        <v>303</v>
      </c>
      <c r="L166" s="180">
        <v>8</v>
      </c>
      <c r="M166" s="359" t="s">
        <v>573</v>
      </c>
      <c r="N166" s="291"/>
      <c r="O166" s="291"/>
      <c r="P166" s="291"/>
      <c r="Q166" s="291"/>
      <c r="R166" s="291"/>
      <c r="S166" s="291"/>
      <c r="T166" s="291"/>
      <c r="U166" s="291"/>
      <c r="V166" s="291"/>
      <c r="W166" s="291"/>
      <c r="X166" s="291"/>
      <c r="Y166" s="291"/>
      <c r="Z166" s="177">
        <f t="shared" ref="Z166:Z167" si="89">SUM(N166:Y166)*L166</f>
        <v>0</v>
      </c>
      <c r="AA166" s="7">
        <f t="shared" ref="AA166:AA167" si="90">SUM(N166:Y166)</f>
        <v>0</v>
      </c>
      <c r="AD166" s="178" t="s">
        <v>624</v>
      </c>
      <c r="AE166" s="16">
        <v>0</v>
      </c>
      <c r="AF166" s="16">
        <v>0</v>
      </c>
    </row>
    <row r="167" spans="2:32" s="1" customFormat="1" ht="15.6" hidden="1">
      <c r="B167" s="395"/>
      <c r="C167" s="18"/>
      <c r="D167" s="195"/>
      <c r="E167" s="197"/>
      <c r="F167" s="178" t="s">
        <v>624</v>
      </c>
      <c r="G167" s="178" t="s">
        <v>390</v>
      </c>
      <c r="H167" s="284" t="s">
        <v>20</v>
      </c>
      <c r="I167" s="284" t="s">
        <v>133</v>
      </c>
      <c r="J167" s="284" t="s">
        <v>28</v>
      </c>
      <c r="K167" s="287" t="s">
        <v>303</v>
      </c>
      <c r="L167" s="180">
        <v>8</v>
      </c>
      <c r="M167" s="362"/>
      <c r="N167" s="291"/>
      <c r="O167" s="291"/>
      <c r="P167" s="291"/>
      <c r="Q167" s="291"/>
      <c r="R167" s="291"/>
      <c r="S167" s="291"/>
      <c r="T167" s="291"/>
      <c r="U167" s="291"/>
      <c r="V167" s="291"/>
      <c r="W167" s="291"/>
      <c r="X167" s="291"/>
      <c r="Y167" s="291"/>
      <c r="Z167" s="177">
        <f t="shared" si="89"/>
        <v>0</v>
      </c>
      <c r="AA167" s="7">
        <f t="shared" si="90"/>
        <v>0</v>
      </c>
      <c r="AD167" s="178" t="s">
        <v>624</v>
      </c>
      <c r="AE167" s="16">
        <v>0</v>
      </c>
      <c r="AF167" s="16">
        <v>0</v>
      </c>
    </row>
    <row r="168" spans="2:32" s="1" customFormat="1" ht="20.399999999999999" hidden="1">
      <c r="B168" s="395"/>
      <c r="C168" s="18"/>
      <c r="D168" s="195"/>
      <c r="E168" s="197"/>
      <c r="F168" s="286" t="s">
        <v>624</v>
      </c>
      <c r="G168" s="286" t="s">
        <v>390</v>
      </c>
      <c r="H168" s="284" t="s">
        <v>715</v>
      </c>
      <c r="I168" s="287" t="s">
        <v>718</v>
      </c>
      <c r="J168" s="126" t="s">
        <v>119</v>
      </c>
      <c r="K168" s="287" t="s">
        <v>304</v>
      </c>
      <c r="L168" s="299">
        <v>8</v>
      </c>
      <c r="M168" s="359" t="s">
        <v>556</v>
      </c>
      <c r="N168" s="291">
        <f t="shared" ref="N168:Y168" si="91">N165*$L168</f>
        <v>0</v>
      </c>
      <c r="O168" s="291">
        <f t="shared" si="91"/>
        <v>0</v>
      </c>
      <c r="P168" s="291">
        <f t="shared" si="91"/>
        <v>0</v>
      </c>
      <c r="Q168" s="291">
        <f t="shared" si="91"/>
        <v>0</v>
      </c>
      <c r="R168" s="291">
        <f t="shared" si="91"/>
        <v>0</v>
      </c>
      <c r="S168" s="291">
        <f t="shared" si="91"/>
        <v>0</v>
      </c>
      <c r="T168" s="291">
        <f t="shared" si="91"/>
        <v>0</v>
      </c>
      <c r="U168" s="291">
        <f t="shared" si="91"/>
        <v>0</v>
      </c>
      <c r="V168" s="291">
        <f t="shared" si="91"/>
        <v>0</v>
      </c>
      <c r="W168" s="291">
        <f t="shared" si="91"/>
        <v>0</v>
      </c>
      <c r="X168" s="291">
        <f t="shared" si="91"/>
        <v>0</v>
      </c>
      <c r="Y168" s="291">
        <f t="shared" si="91"/>
        <v>0</v>
      </c>
      <c r="Z168" s="177">
        <f>SUM(N168:Y168)</f>
        <v>0</v>
      </c>
      <c r="AA168" s="7" t="s">
        <v>396</v>
      </c>
      <c r="AB168" s="16"/>
      <c r="AD168" s="286" t="s">
        <v>624</v>
      </c>
      <c r="AE168" s="16"/>
      <c r="AF168" s="16">
        <v>0</v>
      </c>
    </row>
    <row r="169" spans="2:32" ht="15.6" hidden="1">
      <c r="B169" s="395"/>
      <c r="C169" s="315"/>
      <c r="D169" s="174" t="s">
        <v>22</v>
      </c>
      <c r="E169" s="181">
        <f>SUM(N169:Y169)</f>
        <v>0</v>
      </c>
      <c r="F169" s="175" t="s">
        <v>295</v>
      </c>
      <c r="G169" s="183" t="s">
        <v>297</v>
      </c>
      <c r="H169" s="181"/>
      <c r="I169" s="182"/>
      <c r="J169" s="182"/>
      <c r="K169" s="176" t="s">
        <v>108</v>
      </c>
      <c r="L169" s="306"/>
      <c r="M169" s="358"/>
      <c r="N169" s="181">
        <f>SUMIFS('FCST data'!Q:Q,'FCST data'!$D:$D,$F169,'FCST data'!$K:$K,$G169,'FCST data'!$L:$L,$K169)</f>
        <v>0</v>
      </c>
      <c r="O169" s="181">
        <f>SUMIFS('FCST data'!R:R,'FCST data'!$D:$D,$F169,'FCST data'!$K:$K,$G169,'FCST data'!$L:$L,$K169)</f>
        <v>0</v>
      </c>
      <c r="P169" s="181">
        <f>SUMIFS('FCST data'!S:S,'FCST data'!$D:$D,$F169,'FCST data'!$K:$K,$G169,'FCST data'!$L:$L,$K169)</f>
        <v>0</v>
      </c>
      <c r="Q169" s="181">
        <f>SUMIFS('FCST data'!T:T,'FCST data'!$D:$D,$F169,'FCST data'!$K:$K,$G169,'FCST data'!$L:$L,$K169)</f>
        <v>0</v>
      </c>
      <c r="R169" s="181">
        <f>SUMIFS('FCST data'!U:U,'FCST data'!$D:$D,$F169,'FCST data'!$K:$K,$G169,'FCST data'!$L:$L,$K169)</f>
        <v>0</v>
      </c>
      <c r="S169" s="181">
        <f>SUMIFS('FCST data'!V:V,'FCST data'!$D:$D,$F169,'FCST data'!$K:$K,$G169,'FCST data'!$L:$L,$K169)</f>
        <v>0</v>
      </c>
      <c r="T169" s="181">
        <f>SUMIFS('FCST data'!W:W,'FCST data'!$D:$D,$F169,'FCST data'!$K:$K,$G169,'FCST data'!$L:$L,$K169)</f>
        <v>0</v>
      </c>
      <c r="U169" s="181">
        <f>SUMIFS('FCST data'!X:X,'FCST data'!$D:$D,$F169,'FCST data'!$K:$K,$G169,'FCST data'!$L:$L,$K169)</f>
        <v>0</v>
      </c>
      <c r="V169" s="181">
        <f>SUMIFS('FCST data'!Y:Y,'FCST data'!$D:$D,$F169,'FCST data'!$K:$K,$G169,'FCST data'!$L:$L,$K169)</f>
        <v>0</v>
      </c>
      <c r="W169" s="181">
        <f>SUMIFS('FCST data'!Z:Z,'FCST data'!$D:$D,$F169,'FCST data'!$K:$K,$G169,'FCST data'!$L:$L,$K169)</f>
        <v>0</v>
      </c>
      <c r="X169" s="181">
        <f>SUMIFS('FCST data'!AA:AA,'FCST data'!$D:$D,$F169,'FCST data'!$K:$K,$G169,'FCST data'!$L:$L,$K169)</f>
        <v>0</v>
      </c>
      <c r="Y169" s="181">
        <f>SUMIFS('FCST data'!AB:AB,'FCST data'!$D:$D,$F169,'FCST data'!$K:$K,$G169,'FCST data'!$L:$L,$K169)</f>
        <v>0</v>
      </c>
      <c r="Z169" s="148"/>
      <c r="AA169" s="44"/>
      <c r="AC169" s="16">
        <f>E169-SUM(AA170:AB171)</f>
        <v>0</v>
      </c>
      <c r="AD169" s="175" t="s">
        <v>295</v>
      </c>
      <c r="AE169" s="16">
        <v>0</v>
      </c>
      <c r="AF169" s="16">
        <v>0</v>
      </c>
    </row>
    <row r="170" spans="2:32" ht="20.399999999999999" hidden="1">
      <c r="B170" s="395"/>
      <c r="C170" s="20"/>
      <c r="D170" s="284"/>
      <c r="E170" s="285"/>
      <c r="F170" s="286" t="s">
        <v>295</v>
      </c>
      <c r="G170" s="286" t="s">
        <v>297</v>
      </c>
      <c r="H170" s="284" t="s">
        <v>715</v>
      </c>
      <c r="I170" s="287" t="s">
        <v>718</v>
      </c>
      <c r="J170" s="126" t="s">
        <v>119</v>
      </c>
      <c r="K170" s="287" t="s">
        <v>320</v>
      </c>
      <c r="L170" s="180">
        <v>4</v>
      </c>
      <c r="M170" s="359" t="s">
        <v>557</v>
      </c>
      <c r="N170" s="291">
        <f t="shared" ref="N170:Y170" si="92">N169*$L170</f>
        <v>0</v>
      </c>
      <c r="O170" s="291">
        <f t="shared" si="92"/>
        <v>0</v>
      </c>
      <c r="P170" s="291">
        <f t="shared" si="92"/>
        <v>0</v>
      </c>
      <c r="Q170" s="291">
        <f t="shared" si="92"/>
        <v>0</v>
      </c>
      <c r="R170" s="291">
        <f t="shared" si="92"/>
        <v>0</v>
      </c>
      <c r="S170" s="291">
        <f t="shared" si="92"/>
        <v>0</v>
      </c>
      <c r="T170" s="291">
        <f t="shared" si="92"/>
        <v>0</v>
      </c>
      <c r="U170" s="291">
        <f t="shared" si="92"/>
        <v>0</v>
      </c>
      <c r="V170" s="291">
        <f t="shared" si="92"/>
        <v>0</v>
      </c>
      <c r="W170" s="291">
        <f t="shared" si="92"/>
        <v>0</v>
      </c>
      <c r="X170" s="291">
        <f t="shared" si="92"/>
        <v>0</v>
      </c>
      <c r="Y170" s="291">
        <f t="shared" si="92"/>
        <v>0</v>
      </c>
      <c r="Z170" s="177">
        <f t="shared" ref="Z170:Z171" si="93">SUM(N170:Y170)</f>
        <v>0</v>
      </c>
      <c r="AA170" s="7" t="s">
        <v>396</v>
      </c>
      <c r="AB170" s="16">
        <f>Z170/L170</f>
        <v>0</v>
      </c>
      <c r="AD170" s="286" t="s">
        <v>295</v>
      </c>
      <c r="AF170" s="16">
        <v>0</v>
      </c>
    </row>
    <row r="171" spans="2:32" hidden="1">
      <c r="B171" s="395"/>
      <c r="C171" s="20"/>
      <c r="D171" s="284"/>
      <c r="E171" s="285"/>
      <c r="F171" s="286" t="s">
        <v>295</v>
      </c>
      <c r="G171" s="286" t="s">
        <v>297</v>
      </c>
      <c r="H171" s="284" t="s">
        <v>20</v>
      </c>
      <c r="I171" s="284" t="s">
        <v>133</v>
      </c>
      <c r="J171" s="126" t="s">
        <v>119</v>
      </c>
      <c r="K171" s="287" t="s">
        <v>108</v>
      </c>
      <c r="L171" s="180">
        <v>4</v>
      </c>
      <c r="M171" s="362"/>
      <c r="N171" s="291"/>
      <c r="O171" s="291"/>
      <c r="P171" s="291"/>
      <c r="Q171" s="291"/>
      <c r="R171" s="291"/>
      <c r="S171" s="291"/>
      <c r="T171" s="291"/>
      <c r="U171" s="291"/>
      <c r="V171" s="291"/>
      <c r="W171" s="291"/>
      <c r="X171" s="291"/>
      <c r="Y171" s="291"/>
      <c r="Z171" s="177">
        <f t="shared" si="93"/>
        <v>0</v>
      </c>
      <c r="AA171" s="7" t="s">
        <v>396</v>
      </c>
      <c r="AB171" s="16">
        <f>Z171/L171</f>
        <v>0</v>
      </c>
      <c r="AD171" s="286" t="s">
        <v>295</v>
      </c>
      <c r="AF171" s="16">
        <v>0</v>
      </c>
    </row>
    <row r="172" spans="2:32" ht="15.6" hidden="1">
      <c r="B172" s="395"/>
      <c r="C172" s="315"/>
      <c r="D172" s="174" t="s">
        <v>22</v>
      </c>
      <c r="E172" s="181">
        <f>SUM(N172:Y172)</f>
        <v>0</v>
      </c>
      <c r="F172" s="175" t="s">
        <v>625</v>
      </c>
      <c r="G172" s="183" t="s">
        <v>373</v>
      </c>
      <c r="H172" s="181"/>
      <c r="I172" s="182"/>
      <c r="J172" s="182"/>
      <c r="K172" s="176" t="s">
        <v>108</v>
      </c>
      <c r="L172" s="306"/>
      <c r="M172" s="358"/>
      <c r="N172" s="181">
        <f>SUMIFS('FCST data'!Q:Q,'FCST data'!$D:$D,$F172,'FCST data'!$K:$K,$G172,'FCST data'!$L:$L,$K172)</f>
        <v>0</v>
      </c>
      <c r="O172" s="181">
        <f>SUMIFS('FCST data'!R:R,'FCST data'!$D:$D,$F172,'FCST data'!$K:$K,$G172,'FCST data'!$L:$L,$K172)</f>
        <v>0</v>
      </c>
      <c r="P172" s="181">
        <f>SUMIFS('FCST data'!S:S,'FCST data'!$D:$D,$F172,'FCST data'!$K:$K,$G172,'FCST data'!$L:$L,$K172)</f>
        <v>0</v>
      </c>
      <c r="Q172" s="181">
        <f>SUMIFS('FCST data'!T:T,'FCST data'!$D:$D,$F172,'FCST data'!$K:$K,$G172,'FCST data'!$L:$L,$K172)</f>
        <v>0</v>
      </c>
      <c r="R172" s="181">
        <f>SUMIFS('FCST data'!U:U,'FCST data'!$D:$D,$F172,'FCST data'!$K:$K,$G172,'FCST data'!$L:$L,$K172)</f>
        <v>0</v>
      </c>
      <c r="S172" s="181">
        <f>SUMIFS('FCST data'!V:V,'FCST data'!$D:$D,$F172,'FCST data'!$K:$K,$G172,'FCST data'!$L:$L,$K172)</f>
        <v>0</v>
      </c>
      <c r="T172" s="181">
        <f>SUMIFS('FCST data'!W:W,'FCST data'!$D:$D,$F172,'FCST data'!$K:$K,$G172,'FCST data'!$L:$L,$K172)</f>
        <v>0</v>
      </c>
      <c r="U172" s="181">
        <f>SUMIFS('FCST data'!X:X,'FCST data'!$D:$D,$F172,'FCST data'!$K:$K,$G172,'FCST data'!$L:$L,$K172)</f>
        <v>0</v>
      </c>
      <c r="V172" s="181">
        <f>SUMIFS('FCST data'!Y:Y,'FCST data'!$D:$D,$F172,'FCST data'!$K:$K,$G172,'FCST data'!$L:$L,$K172)</f>
        <v>0</v>
      </c>
      <c r="W172" s="181">
        <f>SUMIFS('FCST data'!Z:Z,'FCST data'!$D:$D,$F172,'FCST data'!$K:$K,$G172,'FCST data'!$L:$L,$K172)</f>
        <v>0</v>
      </c>
      <c r="X172" s="181">
        <f>SUMIFS('FCST data'!AA:AA,'FCST data'!$D:$D,$F172,'FCST data'!$K:$K,$G172,'FCST data'!$L:$L,$K172)</f>
        <v>0</v>
      </c>
      <c r="Y172" s="181">
        <f>SUMIFS('FCST data'!AB:AB,'FCST data'!$D:$D,$F172,'FCST data'!$K:$K,$G172,'FCST data'!$L:$L,$K172)</f>
        <v>0</v>
      </c>
      <c r="Z172" s="148"/>
      <c r="AA172" s="44"/>
      <c r="AC172" s="16">
        <f>E172-SUM(AA173:AB174)</f>
        <v>0</v>
      </c>
      <c r="AD172" s="175" t="s">
        <v>625</v>
      </c>
      <c r="AE172" s="16">
        <v>0</v>
      </c>
      <c r="AF172" s="16">
        <v>0</v>
      </c>
    </row>
    <row r="173" spans="2:32" ht="20.399999999999999" hidden="1">
      <c r="B173" s="395"/>
      <c r="C173" s="20"/>
      <c r="D173" s="284"/>
      <c r="E173" s="285"/>
      <c r="F173" s="286" t="s">
        <v>625</v>
      </c>
      <c r="G173" s="286" t="s">
        <v>373</v>
      </c>
      <c r="H173" s="284" t="s">
        <v>715</v>
      </c>
      <c r="I173" s="287" t="s">
        <v>718</v>
      </c>
      <c r="J173" s="126" t="s">
        <v>119</v>
      </c>
      <c r="K173" s="287" t="s">
        <v>320</v>
      </c>
      <c r="L173" s="180">
        <v>4</v>
      </c>
      <c r="M173" s="359" t="s">
        <v>557</v>
      </c>
      <c r="N173" s="291">
        <f t="shared" ref="N173:Y173" si="94">N172*$L173</f>
        <v>0</v>
      </c>
      <c r="O173" s="291">
        <f t="shared" si="94"/>
        <v>0</v>
      </c>
      <c r="P173" s="291">
        <f t="shared" si="94"/>
        <v>0</v>
      </c>
      <c r="Q173" s="291">
        <f t="shared" si="94"/>
        <v>0</v>
      </c>
      <c r="R173" s="291">
        <f t="shared" si="94"/>
        <v>0</v>
      </c>
      <c r="S173" s="291">
        <f t="shared" si="94"/>
        <v>0</v>
      </c>
      <c r="T173" s="291">
        <f t="shared" si="94"/>
        <v>0</v>
      </c>
      <c r="U173" s="291">
        <f t="shared" si="94"/>
        <v>0</v>
      </c>
      <c r="V173" s="291">
        <f t="shared" si="94"/>
        <v>0</v>
      </c>
      <c r="W173" s="291">
        <f t="shared" si="94"/>
        <v>0</v>
      </c>
      <c r="X173" s="291">
        <f t="shared" si="94"/>
        <v>0</v>
      </c>
      <c r="Y173" s="291">
        <f t="shared" si="94"/>
        <v>0</v>
      </c>
      <c r="Z173" s="177">
        <f t="shared" ref="Z173:Z174" si="95">SUM(N173:Y173)</f>
        <v>0</v>
      </c>
      <c r="AA173" s="7" t="s">
        <v>396</v>
      </c>
      <c r="AB173" s="16">
        <f>Z173/L173</f>
        <v>0</v>
      </c>
      <c r="AD173" s="286" t="s">
        <v>625</v>
      </c>
      <c r="AF173" s="16">
        <v>0</v>
      </c>
    </row>
    <row r="174" spans="2:32" hidden="1">
      <c r="B174" s="395"/>
      <c r="C174" s="20"/>
      <c r="D174" s="284"/>
      <c r="E174" s="285"/>
      <c r="F174" s="286" t="s">
        <v>625</v>
      </c>
      <c r="G174" s="286" t="s">
        <v>373</v>
      </c>
      <c r="H174" s="284" t="s">
        <v>20</v>
      </c>
      <c r="I174" s="284" t="s">
        <v>133</v>
      </c>
      <c r="J174" s="126" t="s">
        <v>119</v>
      </c>
      <c r="K174" s="287" t="s">
        <v>108</v>
      </c>
      <c r="L174" s="180">
        <v>4</v>
      </c>
      <c r="M174" s="362"/>
      <c r="N174" s="291"/>
      <c r="O174" s="291"/>
      <c r="P174" s="291"/>
      <c r="Q174" s="291"/>
      <c r="R174" s="291"/>
      <c r="S174" s="291"/>
      <c r="T174" s="291"/>
      <c r="U174" s="291"/>
      <c r="V174" s="291"/>
      <c r="W174" s="291"/>
      <c r="X174" s="291"/>
      <c r="Y174" s="291"/>
      <c r="Z174" s="177">
        <f t="shared" si="95"/>
        <v>0</v>
      </c>
      <c r="AA174" s="7" t="s">
        <v>396</v>
      </c>
      <c r="AB174" s="16">
        <f>Z174/L174</f>
        <v>0</v>
      </c>
      <c r="AD174" s="286" t="s">
        <v>625</v>
      </c>
      <c r="AF174" s="16">
        <v>0</v>
      </c>
    </row>
    <row r="175" spans="2:32" ht="15.6" hidden="1">
      <c r="B175" s="395"/>
      <c r="C175" s="315"/>
      <c r="D175" s="174" t="s">
        <v>22</v>
      </c>
      <c r="E175" s="181">
        <f>SUM(N175:Y175)</f>
        <v>0</v>
      </c>
      <c r="F175" s="183" t="s">
        <v>296</v>
      </c>
      <c r="G175" s="183" t="s">
        <v>529</v>
      </c>
      <c r="H175" s="181"/>
      <c r="I175" s="182"/>
      <c r="J175" s="182"/>
      <c r="K175" s="182" t="s">
        <v>108</v>
      </c>
      <c r="L175" s="306"/>
      <c r="M175" s="358"/>
      <c r="N175" s="181">
        <f>SUMIFS('FCST data'!Q:Q,'FCST data'!$D:$D,$F175,'FCST data'!$K:$K,$G175,'FCST data'!$L:$L,$K175)</f>
        <v>0</v>
      </c>
      <c r="O175" s="181">
        <f>SUMIFS('FCST data'!R:R,'FCST data'!$D:$D,$F175,'FCST data'!$K:$K,$G175,'FCST data'!$L:$L,$K175)</f>
        <v>0</v>
      </c>
      <c r="P175" s="181">
        <f>SUMIFS('FCST data'!S:S,'FCST data'!$D:$D,$F175,'FCST data'!$K:$K,$G175,'FCST data'!$L:$L,$K175)</f>
        <v>0</v>
      </c>
      <c r="Q175" s="181">
        <f>SUMIFS('FCST data'!T:T,'FCST data'!$D:$D,$F175,'FCST data'!$K:$K,$G175,'FCST data'!$L:$L,$K175)</f>
        <v>0</v>
      </c>
      <c r="R175" s="181">
        <f>SUMIFS('FCST data'!U:U,'FCST data'!$D:$D,$F175,'FCST data'!$K:$K,$G175,'FCST data'!$L:$L,$K175)</f>
        <v>0</v>
      </c>
      <c r="S175" s="181">
        <f>SUMIFS('FCST data'!V:V,'FCST data'!$D:$D,$F175,'FCST data'!$K:$K,$G175,'FCST data'!$L:$L,$K175)</f>
        <v>0</v>
      </c>
      <c r="T175" s="181">
        <f>SUMIFS('FCST data'!W:W,'FCST data'!$D:$D,$F175,'FCST data'!$K:$K,$G175,'FCST data'!$L:$L,$K175)</f>
        <v>0</v>
      </c>
      <c r="U175" s="181">
        <f>SUMIFS('FCST data'!X:X,'FCST data'!$D:$D,$F175,'FCST data'!$K:$K,$G175,'FCST data'!$L:$L,$K175)</f>
        <v>0</v>
      </c>
      <c r="V175" s="181">
        <f>SUMIFS('FCST data'!Y:Y,'FCST data'!$D:$D,$F175,'FCST data'!$K:$K,$G175,'FCST data'!$L:$L,$K175)</f>
        <v>0</v>
      </c>
      <c r="W175" s="181">
        <f>SUMIFS('FCST data'!Z:Z,'FCST data'!$D:$D,$F175,'FCST data'!$K:$K,$G175,'FCST data'!$L:$L,$K175)</f>
        <v>0</v>
      </c>
      <c r="X175" s="181">
        <f>SUMIFS('FCST data'!AA:AA,'FCST data'!$D:$D,$F175,'FCST data'!$K:$K,$G175,'FCST data'!$L:$L,$K175)</f>
        <v>0</v>
      </c>
      <c r="Y175" s="181">
        <f>SUMIFS('FCST data'!AB:AB,'FCST data'!$D:$D,$F175,'FCST data'!$K:$K,$G175,'FCST data'!$L:$L,$K175)</f>
        <v>0</v>
      </c>
      <c r="Z175" s="148"/>
      <c r="AA175" s="44"/>
      <c r="AC175" s="16">
        <f>E175-SUM(AA176:AB177)</f>
        <v>0</v>
      </c>
      <c r="AD175" s="183" t="s">
        <v>296</v>
      </c>
      <c r="AE175" s="16">
        <v>0</v>
      </c>
      <c r="AF175" s="16">
        <v>0</v>
      </c>
    </row>
    <row r="176" spans="2:32" ht="20.399999999999999" hidden="1">
      <c r="B176" s="395"/>
      <c r="C176" s="20"/>
      <c r="D176" s="284"/>
      <c r="E176" s="285"/>
      <c r="F176" s="286" t="s">
        <v>296</v>
      </c>
      <c r="G176" s="286" t="s">
        <v>529</v>
      </c>
      <c r="H176" s="284" t="s">
        <v>715</v>
      </c>
      <c r="I176" s="287" t="s">
        <v>718</v>
      </c>
      <c r="J176" s="126" t="s">
        <v>119</v>
      </c>
      <c r="K176" s="287" t="s">
        <v>320</v>
      </c>
      <c r="L176" s="180">
        <v>4</v>
      </c>
      <c r="M176" s="359" t="s">
        <v>558</v>
      </c>
      <c r="N176" s="291">
        <f t="shared" ref="N176:Y176" si="96">N175*$L176</f>
        <v>0</v>
      </c>
      <c r="O176" s="291">
        <f t="shared" si="96"/>
        <v>0</v>
      </c>
      <c r="P176" s="291">
        <f t="shared" si="96"/>
        <v>0</v>
      </c>
      <c r="Q176" s="291">
        <f t="shared" si="96"/>
        <v>0</v>
      </c>
      <c r="R176" s="291">
        <f t="shared" si="96"/>
        <v>0</v>
      </c>
      <c r="S176" s="291">
        <f t="shared" si="96"/>
        <v>0</v>
      </c>
      <c r="T176" s="291">
        <f t="shared" si="96"/>
        <v>0</v>
      </c>
      <c r="U176" s="291">
        <f t="shared" si="96"/>
        <v>0</v>
      </c>
      <c r="V176" s="291">
        <f t="shared" si="96"/>
        <v>0</v>
      </c>
      <c r="W176" s="291">
        <f t="shared" si="96"/>
        <v>0</v>
      </c>
      <c r="X176" s="291">
        <f t="shared" si="96"/>
        <v>0</v>
      </c>
      <c r="Y176" s="291">
        <f t="shared" si="96"/>
        <v>0</v>
      </c>
      <c r="Z176" s="177">
        <f t="shared" ref="Z176:Z177" si="97">SUM(N176:Y176)</f>
        <v>0</v>
      </c>
      <c r="AA176" s="7" t="s">
        <v>396</v>
      </c>
      <c r="AB176" s="16">
        <f>Z176/L176</f>
        <v>0</v>
      </c>
      <c r="AD176" s="286" t="s">
        <v>296</v>
      </c>
      <c r="AF176" s="16">
        <v>0</v>
      </c>
    </row>
    <row r="177" spans="2:32" hidden="1">
      <c r="B177" s="395"/>
      <c r="C177" s="20"/>
      <c r="D177" s="284"/>
      <c r="E177" s="285"/>
      <c r="F177" s="286" t="s">
        <v>296</v>
      </c>
      <c r="G177" s="286" t="s">
        <v>529</v>
      </c>
      <c r="H177" s="284" t="s">
        <v>20</v>
      </c>
      <c r="I177" s="284" t="s">
        <v>133</v>
      </c>
      <c r="J177" s="126" t="s">
        <v>119</v>
      </c>
      <c r="K177" s="287" t="s">
        <v>108</v>
      </c>
      <c r="L177" s="180">
        <v>4</v>
      </c>
      <c r="M177" s="362"/>
      <c r="N177" s="291"/>
      <c r="O177" s="291"/>
      <c r="P177" s="291"/>
      <c r="Q177" s="291"/>
      <c r="R177" s="291"/>
      <c r="S177" s="291"/>
      <c r="T177" s="291"/>
      <c r="U177" s="291"/>
      <c r="V177" s="291"/>
      <c r="W177" s="291"/>
      <c r="X177" s="291"/>
      <c r="Y177" s="291"/>
      <c r="Z177" s="177">
        <f t="shared" si="97"/>
        <v>0</v>
      </c>
      <c r="AA177" s="7" t="s">
        <v>396</v>
      </c>
      <c r="AB177" s="16">
        <f>Z177/L177</f>
        <v>0</v>
      </c>
      <c r="AD177" s="286" t="s">
        <v>296</v>
      </c>
      <c r="AF177" s="16">
        <v>0</v>
      </c>
    </row>
    <row r="178" spans="2:32" ht="15.6" hidden="1">
      <c r="B178" s="395"/>
      <c r="C178" s="315"/>
      <c r="D178" s="174" t="s">
        <v>22</v>
      </c>
      <c r="E178" s="181">
        <f>SUM(N178:Y178)</f>
        <v>0</v>
      </c>
      <c r="F178" s="183" t="s">
        <v>296</v>
      </c>
      <c r="G178" s="183" t="s">
        <v>529</v>
      </c>
      <c r="H178" s="181"/>
      <c r="I178" s="182"/>
      <c r="J178" s="182"/>
      <c r="K178" s="182" t="s">
        <v>276</v>
      </c>
      <c r="L178" s="306"/>
      <c r="M178" s="358"/>
      <c r="N178" s="181">
        <f>SUMIFS('FCST data'!Q:Q,'FCST data'!$D:$D,$F178,'FCST data'!$K:$K,$G178,'FCST data'!$L:$L,$K178)</f>
        <v>0</v>
      </c>
      <c r="O178" s="181">
        <f>SUMIFS('FCST data'!R:R,'FCST data'!$D:$D,$F178,'FCST data'!$K:$K,$G178,'FCST data'!$L:$L,$K178)</f>
        <v>0</v>
      </c>
      <c r="P178" s="181">
        <f>SUMIFS('FCST data'!S:S,'FCST data'!$D:$D,$F178,'FCST data'!$K:$K,$G178,'FCST data'!$L:$L,$K178)</f>
        <v>0</v>
      </c>
      <c r="Q178" s="181">
        <f>SUMIFS('FCST data'!T:T,'FCST data'!$D:$D,$F178,'FCST data'!$K:$K,$G178,'FCST data'!$L:$L,$K178)</f>
        <v>0</v>
      </c>
      <c r="R178" s="181">
        <f>SUMIFS('FCST data'!U:U,'FCST data'!$D:$D,$F178,'FCST data'!$K:$K,$G178,'FCST data'!$L:$L,$K178)</f>
        <v>0</v>
      </c>
      <c r="S178" s="181">
        <f>SUMIFS('FCST data'!V:V,'FCST data'!$D:$D,$F178,'FCST data'!$K:$K,$G178,'FCST data'!$L:$L,$K178)</f>
        <v>0</v>
      </c>
      <c r="T178" s="181">
        <f>SUMIFS('FCST data'!W:W,'FCST data'!$D:$D,$F178,'FCST data'!$K:$K,$G178,'FCST data'!$L:$L,$K178)</f>
        <v>0</v>
      </c>
      <c r="U178" s="181">
        <f>SUMIFS('FCST data'!X:X,'FCST data'!$D:$D,$F178,'FCST data'!$K:$K,$G178,'FCST data'!$L:$L,$K178)</f>
        <v>0</v>
      </c>
      <c r="V178" s="181">
        <f>SUMIFS('FCST data'!Y:Y,'FCST data'!$D:$D,$F178,'FCST data'!$K:$K,$G178,'FCST data'!$L:$L,$K178)</f>
        <v>0</v>
      </c>
      <c r="W178" s="181">
        <f>SUMIFS('FCST data'!Z:Z,'FCST data'!$D:$D,$F178,'FCST data'!$K:$K,$G178,'FCST data'!$L:$L,$K178)</f>
        <v>0</v>
      </c>
      <c r="X178" s="181">
        <f>SUMIFS('FCST data'!AA:AA,'FCST data'!$D:$D,$F178,'FCST data'!$K:$K,$G178,'FCST data'!$L:$L,$K178)</f>
        <v>0</v>
      </c>
      <c r="Y178" s="181">
        <f>SUMIFS('FCST data'!AB:AB,'FCST data'!$D:$D,$F178,'FCST data'!$K:$K,$G178,'FCST data'!$L:$L,$K178)</f>
        <v>0</v>
      </c>
      <c r="Z178" s="148"/>
      <c r="AA178" s="44"/>
      <c r="AC178" s="16">
        <f>E178-SUM(AA179:AB180)</f>
        <v>0</v>
      </c>
      <c r="AD178" s="183" t="s">
        <v>296</v>
      </c>
      <c r="AE178" s="16">
        <v>0</v>
      </c>
      <c r="AF178" s="16">
        <v>0</v>
      </c>
    </row>
    <row r="179" spans="2:32" ht="20.399999999999999" hidden="1">
      <c r="B179" s="395"/>
      <c r="C179" s="20"/>
      <c r="D179" s="284"/>
      <c r="E179" s="285"/>
      <c r="F179" s="286" t="s">
        <v>296</v>
      </c>
      <c r="G179" s="286" t="s">
        <v>529</v>
      </c>
      <c r="H179" s="284" t="s">
        <v>715</v>
      </c>
      <c r="I179" s="287" t="s">
        <v>718</v>
      </c>
      <c r="J179" s="126" t="s">
        <v>119</v>
      </c>
      <c r="K179" s="287" t="s">
        <v>321</v>
      </c>
      <c r="L179" s="180">
        <v>4</v>
      </c>
      <c r="M179" s="359" t="s">
        <v>559</v>
      </c>
      <c r="N179" s="291">
        <f t="shared" ref="N179:Y179" si="98">N178*$L179</f>
        <v>0</v>
      </c>
      <c r="O179" s="291">
        <f t="shared" si="98"/>
        <v>0</v>
      </c>
      <c r="P179" s="291">
        <f t="shared" si="98"/>
        <v>0</v>
      </c>
      <c r="Q179" s="291">
        <f t="shared" si="98"/>
        <v>0</v>
      </c>
      <c r="R179" s="291">
        <f t="shared" si="98"/>
        <v>0</v>
      </c>
      <c r="S179" s="291">
        <f t="shared" si="98"/>
        <v>0</v>
      </c>
      <c r="T179" s="291">
        <f t="shared" si="98"/>
        <v>0</v>
      </c>
      <c r="U179" s="291">
        <f t="shared" si="98"/>
        <v>0</v>
      </c>
      <c r="V179" s="291">
        <f t="shared" si="98"/>
        <v>0</v>
      </c>
      <c r="W179" s="291">
        <f t="shared" si="98"/>
        <v>0</v>
      </c>
      <c r="X179" s="291">
        <f t="shared" si="98"/>
        <v>0</v>
      </c>
      <c r="Y179" s="291">
        <f t="shared" si="98"/>
        <v>0</v>
      </c>
      <c r="Z179" s="177">
        <f t="shared" ref="Z179:Z180" si="99">SUM(N179:Y179)</f>
        <v>0</v>
      </c>
      <c r="AA179" s="7" t="s">
        <v>396</v>
      </c>
      <c r="AB179" s="16">
        <f>Z179/L179</f>
        <v>0</v>
      </c>
      <c r="AD179" s="286" t="s">
        <v>296</v>
      </c>
      <c r="AF179" s="16">
        <v>0</v>
      </c>
    </row>
    <row r="180" spans="2:32" hidden="1">
      <c r="B180" s="395"/>
      <c r="C180" s="20"/>
      <c r="D180" s="284"/>
      <c r="E180" s="285"/>
      <c r="F180" s="286" t="s">
        <v>296</v>
      </c>
      <c r="G180" s="286" t="s">
        <v>529</v>
      </c>
      <c r="H180" s="284" t="s">
        <v>20</v>
      </c>
      <c r="I180" s="284" t="s">
        <v>133</v>
      </c>
      <c r="J180" s="126" t="s">
        <v>119</v>
      </c>
      <c r="K180" s="287" t="s">
        <v>276</v>
      </c>
      <c r="L180" s="180">
        <v>4</v>
      </c>
      <c r="M180" s="362"/>
      <c r="N180" s="291"/>
      <c r="O180" s="291"/>
      <c r="P180" s="291"/>
      <c r="Q180" s="291"/>
      <c r="R180" s="291"/>
      <c r="S180" s="291"/>
      <c r="T180" s="291"/>
      <c r="U180" s="291"/>
      <c r="V180" s="291"/>
      <c r="W180" s="291"/>
      <c r="X180" s="291"/>
      <c r="Y180" s="291"/>
      <c r="Z180" s="177">
        <f t="shared" si="99"/>
        <v>0</v>
      </c>
      <c r="AA180" s="7" t="s">
        <v>396</v>
      </c>
      <c r="AB180" s="16">
        <f>Z180/L180</f>
        <v>0</v>
      </c>
      <c r="AD180" s="286" t="s">
        <v>296</v>
      </c>
      <c r="AF180" s="16">
        <v>0</v>
      </c>
    </row>
    <row r="181" spans="2:32" ht="15.6" hidden="1">
      <c r="B181" s="395"/>
      <c r="C181" s="315"/>
      <c r="D181" s="174" t="s">
        <v>22</v>
      </c>
      <c r="E181" s="181">
        <f>SUM(N181:Y181)</f>
        <v>450</v>
      </c>
      <c r="F181" s="175" t="s">
        <v>447</v>
      </c>
      <c r="G181" s="183" t="s">
        <v>710</v>
      </c>
      <c r="H181" s="181"/>
      <c r="I181" s="182"/>
      <c r="J181" s="182"/>
      <c r="K181" s="176" t="s">
        <v>276</v>
      </c>
      <c r="L181" s="306"/>
      <c r="M181" s="358"/>
      <c r="N181" s="181">
        <f>SUMIFS('FCST data'!Q:Q,'FCST data'!$D:$D,$F181,'FCST data'!$K:$K,$G181,'FCST data'!$L:$L,$K181)</f>
        <v>50</v>
      </c>
      <c r="O181" s="181">
        <f>SUMIFS('FCST data'!R:R,'FCST data'!$D:$D,$F181,'FCST data'!$K:$K,$G181,'FCST data'!$L:$L,$K181)</f>
        <v>100</v>
      </c>
      <c r="P181" s="181">
        <f>SUMIFS('FCST data'!S:S,'FCST data'!$D:$D,$F181,'FCST data'!$K:$K,$G181,'FCST data'!$L:$L,$K181)</f>
        <v>0</v>
      </c>
      <c r="Q181" s="181">
        <f>SUMIFS('FCST data'!T:T,'FCST data'!$D:$D,$F181,'FCST data'!$K:$K,$G181,'FCST data'!$L:$L,$K181)</f>
        <v>0</v>
      </c>
      <c r="R181" s="513">
        <f>SUMIFS('FCST data'!U:U,'FCST data'!$D:$D,$F181,'FCST data'!$K:$K,$G181,'FCST data'!$L:$L,$K181)</f>
        <v>150</v>
      </c>
      <c r="S181" s="513">
        <f>SUMIFS('FCST data'!V:V,'FCST data'!$D:$D,$F181,'FCST data'!$K:$K,$G181,'FCST data'!$L:$L,$K181)</f>
        <v>150</v>
      </c>
      <c r="T181" s="181">
        <f>SUMIFS('FCST data'!W:W,'FCST data'!$D:$D,$F181,'FCST data'!$K:$K,$G181,'FCST data'!$L:$L,$K181)</f>
        <v>0</v>
      </c>
      <c r="U181" s="181">
        <f>SUMIFS('FCST data'!X:X,'FCST data'!$D:$D,$F181,'FCST data'!$K:$K,$G181,'FCST data'!$L:$L,$K181)</f>
        <v>0</v>
      </c>
      <c r="V181" s="181">
        <f>SUMIFS('FCST data'!Y:Y,'FCST data'!$D:$D,$F181,'FCST data'!$K:$K,$G181,'FCST data'!$L:$L,$K181)</f>
        <v>0</v>
      </c>
      <c r="W181" s="181">
        <f>SUMIFS('FCST data'!Z:Z,'FCST data'!$D:$D,$F181,'FCST data'!$K:$K,$G181,'FCST data'!$L:$L,$K181)</f>
        <v>0</v>
      </c>
      <c r="X181" s="181">
        <f>SUMIFS('FCST data'!AA:AA,'FCST data'!$D:$D,$F181,'FCST data'!$K:$K,$G181,'FCST data'!$L:$L,$K181)</f>
        <v>0</v>
      </c>
      <c r="Y181" s="181">
        <f>SUMIFS('FCST data'!AB:AB,'FCST data'!$D:$D,$F181,'FCST data'!$K:$K,$G181,'FCST data'!$L:$L,$K181)</f>
        <v>0</v>
      </c>
      <c r="Z181" s="148"/>
      <c r="AA181" s="44"/>
      <c r="AC181" s="16">
        <f>E181-SUM(AA182:AB183)</f>
        <v>0</v>
      </c>
      <c r="AD181" s="175" t="s">
        <v>447</v>
      </c>
      <c r="AE181" s="16">
        <v>0</v>
      </c>
      <c r="AF181" s="16">
        <v>0</v>
      </c>
    </row>
    <row r="182" spans="2:32" hidden="1">
      <c r="B182" s="395"/>
      <c r="C182" s="20"/>
      <c r="D182" s="284"/>
      <c r="E182" s="285"/>
      <c r="F182" s="286" t="s">
        <v>447</v>
      </c>
      <c r="G182" s="286" t="s">
        <v>710</v>
      </c>
      <c r="H182" s="284" t="s">
        <v>715</v>
      </c>
      <c r="I182" s="287" t="s">
        <v>718</v>
      </c>
      <c r="J182" s="126" t="s">
        <v>119</v>
      </c>
      <c r="K182" s="287" t="s">
        <v>322</v>
      </c>
      <c r="L182" s="180">
        <v>4</v>
      </c>
      <c r="M182" s="359"/>
      <c r="N182" s="291">
        <f t="shared" ref="N182:Y182" si="100">N181*$L182</f>
        <v>200</v>
      </c>
      <c r="O182" s="291">
        <f t="shared" si="100"/>
        <v>400</v>
      </c>
      <c r="P182" s="291">
        <f t="shared" si="100"/>
        <v>0</v>
      </c>
      <c r="Q182" s="291">
        <f t="shared" si="100"/>
        <v>0</v>
      </c>
      <c r="R182" s="291">
        <f t="shared" si="100"/>
        <v>600</v>
      </c>
      <c r="S182" s="291">
        <f t="shared" si="100"/>
        <v>600</v>
      </c>
      <c r="T182" s="291">
        <f t="shared" si="100"/>
        <v>0</v>
      </c>
      <c r="U182" s="291">
        <f t="shared" si="100"/>
        <v>0</v>
      </c>
      <c r="V182" s="291">
        <f t="shared" si="100"/>
        <v>0</v>
      </c>
      <c r="W182" s="291">
        <f t="shared" si="100"/>
        <v>0</v>
      </c>
      <c r="X182" s="291">
        <f t="shared" si="100"/>
        <v>0</v>
      </c>
      <c r="Y182" s="291">
        <f t="shared" si="100"/>
        <v>0</v>
      </c>
      <c r="Z182" s="177">
        <f t="shared" ref="Z182:Z183" si="101">SUM(N182:Y182)</f>
        <v>1800</v>
      </c>
      <c r="AA182" s="7" t="s">
        <v>396</v>
      </c>
      <c r="AB182" s="16">
        <f>Z182/L182</f>
        <v>450</v>
      </c>
      <c r="AD182" s="286" t="s">
        <v>447</v>
      </c>
      <c r="AF182" s="16">
        <v>150</v>
      </c>
    </row>
    <row r="183" spans="2:32" hidden="1">
      <c r="B183" s="395"/>
      <c r="C183" s="20"/>
      <c r="D183" s="284"/>
      <c r="E183" s="285"/>
      <c r="F183" s="286" t="s">
        <v>447</v>
      </c>
      <c r="G183" s="286" t="s">
        <v>710</v>
      </c>
      <c r="H183" s="284" t="s">
        <v>20</v>
      </c>
      <c r="I183" s="284" t="s">
        <v>133</v>
      </c>
      <c r="J183" s="126" t="s">
        <v>119</v>
      </c>
      <c r="K183" s="287" t="s">
        <v>276</v>
      </c>
      <c r="L183" s="180">
        <v>4</v>
      </c>
      <c r="M183" s="362"/>
      <c r="N183" s="291"/>
      <c r="O183" s="291"/>
      <c r="P183" s="291"/>
      <c r="Q183" s="291"/>
      <c r="R183" s="291"/>
      <c r="S183" s="291"/>
      <c r="T183" s="291"/>
      <c r="U183" s="291"/>
      <c r="V183" s="291"/>
      <c r="W183" s="291"/>
      <c r="X183" s="291"/>
      <c r="Y183" s="291"/>
      <c r="Z183" s="177">
        <f t="shared" si="101"/>
        <v>0</v>
      </c>
      <c r="AA183" s="7" t="s">
        <v>396</v>
      </c>
      <c r="AB183" s="16">
        <f>Z183/L183</f>
        <v>0</v>
      </c>
      <c r="AD183" s="286" t="s">
        <v>447</v>
      </c>
      <c r="AF183" s="16">
        <v>0</v>
      </c>
    </row>
    <row r="184" spans="2:32" ht="15.6" hidden="1">
      <c r="B184" s="395"/>
      <c r="C184" s="315"/>
      <c r="D184" s="174" t="s">
        <v>22</v>
      </c>
      <c r="E184" s="181">
        <f>SUM(N184:Y184)</f>
        <v>0</v>
      </c>
      <c r="F184" s="175" t="s">
        <v>448</v>
      </c>
      <c r="G184" s="183" t="s">
        <v>530</v>
      </c>
      <c r="H184" s="181"/>
      <c r="I184" s="182"/>
      <c r="J184" s="182"/>
      <c r="K184" s="176" t="s">
        <v>276</v>
      </c>
      <c r="L184" s="306"/>
      <c r="M184" s="358"/>
      <c r="N184" s="181">
        <f>SUMIFS('FCST data'!Q:Q,'FCST data'!$D:$D,$F184,'FCST data'!$K:$K,$G184,'FCST data'!$L:$L,$K184)</f>
        <v>0</v>
      </c>
      <c r="O184" s="181">
        <f>SUMIFS('FCST data'!R:R,'FCST data'!$D:$D,$F184,'FCST data'!$K:$K,$G184,'FCST data'!$L:$L,$K184)</f>
        <v>0</v>
      </c>
      <c r="P184" s="181">
        <f>SUMIFS('FCST data'!S:S,'FCST data'!$D:$D,$F184,'FCST data'!$K:$K,$G184,'FCST data'!$L:$L,$K184)</f>
        <v>0</v>
      </c>
      <c r="Q184" s="181">
        <f>SUMIFS('FCST data'!T:T,'FCST data'!$D:$D,$F184,'FCST data'!$K:$K,$G184,'FCST data'!$L:$L,$K184)</f>
        <v>0</v>
      </c>
      <c r="R184" s="181">
        <f>SUMIFS('FCST data'!U:U,'FCST data'!$D:$D,$F184,'FCST data'!$K:$K,$G184,'FCST data'!$L:$L,$K184)</f>
        <v>0</v>
      </c>
      <c r="S184" s="181">
        <f>SUMIFS('FCST data'!V:V,'FCST data'!$D:$D,$F184,'FCST data'!$K:$K,$G184,'FCST data'!$L:$L,$K184)</f>
        <v>0</v>
      </c>
      <c r="T184" s="181">
        <f>SUMIFS('FCST data'!W:W,'FCST data'!$D:$D,$F184,'FCST data'!$K:$K,$G184,'FCST data'!$L:$L,$K184)</f>
        <v>0</v>
      </c>
      <c r="U184" s="181">
        <f>SUMIFS('FCST data'!X:X,'FCST data'!$D:$D,$F184,'FCST data'!$K:$K,$G184,'FCST data'!$L:$L,$K184)</f>
        <v>0</v>
      </c>
      <c r="V184" s="181">
        <f>SUMIFS('FCST data'!Y:Y,'FCST data'!$D:$D,$F184,'FCST data'!$K:$K,$G184,'FCST data'!$L:$L,$K184)</f>
        <v>0</v>
      </c>
      <c r="W184" s="181">
        <f>SUMIFS('FCST data'!Z:Z,'FCST data'!$D:$D,$F184,'FCST data'!$K:$K,$G184,'FCST data'!$L:$L,$K184)</f>
        <v>0</v>
      </c>
      <c r="X184" s="181">
        <f>SUMIFS('FCST data'!AA:AA,'FCST data'!$D:$D,$F184,'FCST data'!$K:$K,$G184,'FCST data'!$L:$L,$K184)</f>
        <v>0</v>
      </c>
      <c r="Y184" s="181">
        <f>SUMIFS('FCST data'!AB:AB,'FCST data'!$D:$D,$F184,'FCST data'!$K:$K,$G184,'FCST data'!$L:$L,$K184)</f>
        <v>0</v>
      </c>
      <c r="Z184" s="148"/>
      <c r="AA184" s="44"/>
      <c r="AC184" s="16">
        <f>E184-SUM(AA185:AB186)</f>
        <v>0</v>
      </c>
      <c r="AD184" s="175" t="s">
        <v>448</v>
      </c>
      <c r="AE184" s="16">
        <v>0</v>
      </c>
      <c r="AF184" s="16">
        <v>0</v>
      </c>
    </row>
    <row r="185" spans="2:32" ht="20.399999999999999" hidden="1">
      <c r="B185" s="395"/>
      <c r="C185" s="20"/>
      <c r="D185" s="284"/>
      <c r="E185" s="285"/>
      <c r="F185" s="286" t="s">
        <v>448</v>
      </c>
      <c r="G185" s="286" t="s">
        <v>530</v>
      </c>
      <c r="H185" s="284" t="s">
        <v>715</v>
      </c>
      <c r="I185" s="287" t="s">
        <v>718</v>
      </c>
      <c r="J185" s="126" t="s">
        <v>119</v>
      </c>
      <c r="K185" s="287" t="s">
        <v>322</v>
      </c>
      <c r="L185" s="180">
        <v>4</v>
      </c>
      <c r="M185" s="359" t="s">
        <v>560</v>
      </c>
      <c r="N185" s="291">
        <f t="shared" ref="N185:Y185" si="102">N184*$L185</f>
        <v>0</v>
      </c>
      <c r="O185" s="291">
        <f t="shared" si="102"/>
        <v>0</v>
      </c>
      <c r="P185" s="291">
        <f t="shared" si="102"/>
        <v>0</v>
      </c>
      <c r="Q185" s="291">
        <f t="shared" si="102"/>
        <v>0</v>
      </c>
      <c r="R185" s="291">
        <f t="shared" si="102"/>
        <v>0</v>
      </c>
      <c r="S185" s="291">
        <f t="shared" si="102"/>
        <v>0</v>
      </c>
      <c r="T185" s="291">
        <f t="shared" si="102"/>
        <v>0</v>
      </c>
      <c r="U185" s="291">
        <f t="shared" si="102"/>
        <v>0</v>
      </c>
      <c r="V185" s="291">
        <f t="shared" si="102"/>
        <v>0</v>
      </c>
      <c r="W185" s="291">
        <f t="shared" si="102"/>
        <v>0</v>
      </c>
      <c r="X185" s="291">
        <f t="shared" si="102"/>
        <v>0</v>
      </c>
      <c r="Y185" s="291">
        <f t="shared" si="102"/>
        <v>0</v>
      </c>
      <c r="Z185" s="177">
        <f t="shared" ref="Z185:Z186" si="103">SUM(N185:Y185)</f>
        <v>0</v>
      </c>
      <c r="AA185" s="7" t="s">
        <v>396</v>
      </c>
      <c r="AB185" s="16">
        <f>Z185/L185</f>
        <v>0</v>
      </c>
      <c r="AD185" s="286" t="s">
        <v>448</v>
      </c>
      <c r="AF185" s="16">
        <v>0</v>
      </c>
    </row>
    <row r="186" spans="2:32" hidden="1">
      <c r="B186" s="395"/>
      <c r="C186" s="20"/>
      <c r="D186" s="284"/>
      <c r="E186" s="285"/>
      <c r="F186" s="286" t="s">
        <v>448</v>
      </c>
      <c r="G186" s="286" t="s">
        <v>530</v>
      </c>
      <c r="H186" s="284" t="s">
        <v>20</v>
      </c>
      <c r="I186" s="284" t="s">
        <v>133</v>
      </c>
      <c r="J186" s="126" t="s">
        <v>119</v>
      </c>
      <c r="K186" s="287" t="s">
        <v>276</v>
      </c>
      <c r="L186" s="180">
        <v>4</v>
      </c>
      <c r="M186" s="362"/>
      <c r="N186" s="291"/>
      <c r="O186" s="291"/>
      <c r="P186" s="291"/>
      <c r="Q186" s="291"/>
      <c r="R186" s="291"/>
      <c r="S186" s="291"/>
      <c r="T186" s="291"/>
      <c r="U186" s="291"/>
      <c r="V186" s="291"/>
      <c r="W186" s="291"/>
      <c r="X186" s="291"/>
      <c r="Y186" s="291"/>
      <c r="Z186" s="177">
        <f t="shared" si="103"/>
        <v>0</v>
      </c>
      <c r="AA186" s="7" t="s">
        <v>396</v>
      </c>
      <c r="AB186" s="16">
        <f>Z186/L186</f>
        <v>0</v>
      </c>
      <c r="AD186" s="286" t="s">
        <v>448</v>
      </c>
      <c r="AF186" s="16">
        <v>0</v>
      </c>
    </row>
    <row r="187" spans="2:32" ht="15.6" hidden="1">
      <c r="B187" s="395"/>
      <c r="C187" s="315" t="s">
        <v>769</v>
      </c>
      <c r="D187" s="174" t="s">
        <v>22</v>
      </c>
      <c r="E187" s="181">
        <f>SUM(N187:Y187)</f>
        <v>4450</v>
      </c>
      <c r="F187" s="175" t="s">
        <v>767</v>
      </c>
      <c r="G187" s="183" t="s">
        <v>1063</v>
      </c>
      <c r="H187" s="181"/>
      <c r="I187" s="182"/>
      <c r="J187" s="182"/>
      <c r="K187" s="176" t="s">
        <v>276</v>
      </c>
      <c r="L187" s="306"/>
      <c r="M187" s="363"/>
      <c r="N187" s="181">
        <f>SUMIFS('FCST data'!Q:Q,'FCST data'!$D:$D,$F187,'FCST data'!$K:$K,$G187,'FCST data'!$L:$L,$K187)</f>
        <v>250</v>
      </c>
      <c r="O187" s="181">
        <f>SUMIFS('FCST data'!R:R,'FCST data'!$D:$D,$F187,'FCST data'!$K:$K,$G187,'FCST data'!$L:$L,$K187)</f>
        <v>350</v>
      </c>
      <c r="P187" s="181">
        <f>SUMIFS('FCST data'!S:S,'FCST data'!$D:$D,$F187,'FCST data'!$K:$K,$G187,'FCST data'!$L:$L,$K187)</f>
        <v>550</v>
      </c>
      <c r="Q187" s="181">
        <f>SUMIFS('FCST data'!T:T,'FCST data'!$D:$D,$F187,'FCST data'!$K:$K,$G187,'FCST data'!$L:$L,$K187)</f>
        <v>700</v>
      </c>
      <c r="R187" s="181">
        <f>SUMIFS('FCST data'!U:U,'FCST data'!$D:$D,$F187,'FCST data'!$K:$K,$G187,'FCST data'!$L:$L,$K187)</f>
        <v>450</v>
      </c>
      <c r="S187" s="181">
        <f>SUMIFS('FCST data'!V:V,'FCST data'!$D:$D,$F187,'FCST data'!$K:$K,$G187,'FCST data'!$L:$L,$K187)</f>
        <v>600</v>
      </c>
      <c r="T187" s="181">
        <f>SUMIFS('FCST data'!W:W,'FCST data'!$D:$D,$F187,'FCST data'!$K:$K,$G187,'FCST data'!$L:$L,$K187)</f>
        <v>450</v>
      </c>
      <c r="U187" s="181">
        <f>SUMIFS('FCST data'!X:X,'FCST data'!$D:$D,$F187,'FCST data'!$K:$K,$G187,'FCST data'!$L:$L,$K187)</f>
        <v>550</v>
      </c>
      <c r="V187" s="181">
        <f>SUMIFS('FCST data'!Y:Y,'FCST data'!$D:$D,$F187,'FCST data'!$K:$K,$G187,'FCST data'!$L:$L,$K187)</f>
        <v>550</v>
      </c>
      <c r="W187" s="181">
        <f>SUMIFS('FCST data'!Z:Z,'FCST data'!$D:$D,$F187,'FCST data'!$K:$K,$G187,'FCST data'!$L:$L,$K187)</f>
        <v>0</v>
      </c>
      <c r="X187" s="181">
        <f>SUMIFS('FCST data'!AA:AA,'FCST data'!$D:$D,$F187,'FCST data'!$K:$K,$G187,'FCST data'!$L:$L,$K187)</f>
        <v>0</v>
      </c>
      <c r="Y187" s="181">
        <f>SUMIFS('FCST data'!AB:AB,'FCST data'!$D:$D,$F187,'FCST data'!$K:$K,$G187,'FCST data'!$L:$L,$K187)</f>
        <v>0</v>
      </c>
      <c r="Z187" s="148"/>
      <c r="AA187" s="44"/>
      <c r="AC187" s="16">
        <f>E187-SUM(AA188:AB190)</f>
        <v>0</v>
      </c>
      <c r="AD187" s="183" t="s">
        <v>767</v>
      </c>
      <c r="AE187" s="16">
        <v>0</v>
      </c>
      <c r="AF187" s="16">
        <v>0</v>
      </c>
    </row>
    <row r="188" spans="2:32" ht="20.399999999999999" hidden="1">
      <c r="B188" s="395"/>
      <c r="C188" s="20"/>
      <c r="D188" s="284"/>
      <c r="E188" s="285"/>
      <c r="F188" s="286" t="s">
        <v>767</v>
      </c>
      <c r="G188" s="286" t="s">
        <v>1063</v>
      </c>
      <c r="H188" s="284" t="s">
        <v>715</v>
      </c>
      <c r="I188" s="287" t="s">
        <v>718</v>
      </c>
      <c r="J188" s="341" t="s">
        <v>454</v>
      </c>
      <c r="K188" s="287" t="s">
        <v>456</v>
      </c>
      <c r="L188" s="299">
        <v>4</v>
      </c>
      <c r="M188" s="405" t="s">
        <v>780</v>
      </c>
      <c r="N188" s="291">
        <f t="shared" ref="N188:Y188" si="104">N187*$L$188</f>
        <v>1000</v>
      </c>
      <c r="O188" s="291">
        <f t="shared" si="104"/>
        <v>1400</v>
      </c>
      <c r="P188" s="291">
        <f t="shared" si="104"/>
        <v>2200</v>
      </c>
      <c r="Q188" s="291">
        <f t="shared" si="104"/>
        <v>2800</v>
      </c>
      <c r="R188" s="291">
        <f t="shared" si="104"/>
        <v>1800</v>
      </c>
      <c r="S188" s="291">
        <f t="shared" si="104"/>
        <v>2400</v>
      </c>
      <c r="T188" s="291">
        <f t="shared" si="104"/>
        <v>1800</v>
      </c>
      <c r="U188" s="291">
        <f t="shared" si="104"/>
        <v>2200</v>
      </c>
      <c r="V188" s="291">
        <f t="shared" si="104"/>
        <v>2200</v>
      </c>
      <c r="W188" s="291">
        <f t="shared" si="104"/>
        <v>0</v>
      </c>
      <c r="X188" s="291">
        <f t="shared" si="104"/>
        <v>0</v>
      </c>
      <c r="Y188" s="291">
        <f t="shared" si="104"/>
        <v>0</v>
      </c>
      <c r="Z188" s="177">
        <f>SUM(N188:Y188)</f>
        <v>17800</v>
      </c>
      <c r="AA188" s="7" t="s">
        <v>396</v>
      </c>
      <c r="AD188" s="286" t="s">
        <v>767</v>
      </c>
      <c r="AF188" s="16">
        <v>0</v>
      </c>
    </row>
    <row r="189" spans="2:32" hidden="1">
      <c r="B189" s="395"/>
      <c r="C189" s="20"/>
      <c r="D189" s="284"/>
      <c r="E189" s="285"/>
      <c r="F189" s="286" t="s">
        <v>767</v>
      </c>
      <c r="G189" s="286" t="s">
        <v>1063</v>
      </c>
      <c r="H189" s="284" t="s">
        <v>715</v>
      </c>
      <c r="I189" s="287" t="s">
        <v>718</v>
      </c>
      <c r="J189" s="126" t="s">
        <v>119</v>
      </c>
      <c r="K189" s="287" t="s">
        <v>319</v>
      </c>
      <c r="L189" s="299">
        <v>8</v>
      </c>
      <c r="M189" s="359" t="s">
        <v>779</v>
      </c>
      <c r="N189" s="291">
        <f t="shared" ref="N189:Y189" si="105">N187*$L$189</f>
        <v>2000</v>
      </c>
      <c r="O189" s="291">
        <f t="shared" si="105"/>
        <v>2800</v>
      </c>
      <c r="P189" s="291">
        <f t="shared" si="105"/>
        <v>4400</v>
      </c>
      <c r="Q189" s="291">
        <f t="shared" si="105"/>
        <v>5600</v>
      </c>
      <c r="R189" s="291">
        <f t="shared" si="105"/>
        <v>3600</v>
      </c>
      <c r="S189" s="291">
        <f t="shared" si="105"/>
        <v>4800</v>
      </c>
      <c r="T189" s="291">
        <f t="shared" si="105"/>
        <v>3600</v>
      </c>
      <c r="U189" s="291">
        <f t="shared" si="105"/>
        <v>4400</v>
      </c>
      <c r="V189" s="291">
        <f t="shared" si="105"/>
        <v>4400</v>
      </c>
      <c r="W189" s="291">
        <f t="shared" si="105"/>
        <v>0</v>
      </c>
      <c r="X189" s="291">
        <f t="shared" si="105"/>
        <v>0</v>
      </c>
      <c r="Y189" s="291">
        <f t="shared" si="105"/>
        <v>0</v>
      </c>
      <c r="Z189" s="177">
        <f t="shared" ref="Z189:Z190" si="106">SUM(N189:Y189)</f>
        <v>35600</v>
      </c>
      <c r="AA189" s="7" t="s">
        <v>396</v>
      </c>
      <c r="AB189" s="16">
        <f>Z189/L189</f>
        <v>4450</v>
      </c>
      <c r="AD189" s="286" t="s">
        <v>767</v>
      </c>
      <c r="AF189" s="16">
        <v>0</v>
      </c>
    </row>
    <row r="190" spans="2:32" hidden="1">
      <c r="B190" s="395"/>
      <c r="C190" s="20"/>
      <c r="D190" s="284"/>
      <c r="E190" s="285"/>
      <c r="F190" s="286" t="s">
        <v>767</v>
      </c>
      <c r="G190" s="286" t="s">
        <v>782</v>
      </c>
      <c r="H190" s="284" t="s">
        <v>20</v>
      </c>
      <c r="I190" s="284" t="s">
        <v>133</v>
      </c>
      <c r="J190" s="126" t="s">
        <v>119</v>
      </c>
      <c r="K190" s="287" t="s">
        <v>248</v>
      </c>
      <c r="L190" s="299">
        <v>8</v>
      </c>
      <c r="M190" s="360"/>
      <c r="N190" s="291"/>
      <c r="O190" s="291"/>
      <c r="P190" s="291"/>
      <c r="Q190" s="291"/>
      <c r="R190" s="291"/>
      <c r="S190" s="291"/>
      <c r="T190" s="291"/>
      <c r="U190" s="291"/>
      <c r="V190" s="291"/>
      <c r="W190" s="291"/>
      <c r="X190" s="291"/>
      <c r="Y190" s="291"/>
      <c r="Z190" s="177">
        <f t="shared" si="106"/>
        <v>0</v>
      </c>
      <c r="AA190" s="7" t="s">
        <v>396</v>
      </c>
      <c r="AB190" s="16">
        <f>Z190/L190</f>
        <v>0</v>
      </c>
      <c r="AD190" s="286" t="s">
        <v>767</v>
      </c>
      <c r="AF190" s="16">
        <v>0</v>
      </c>
    </row>
    <row r="191" spans="2:32" ht="15.6" hidden="1">
      <c r="B191" s="395"/>
      <c r="C191" s="315" t="s">
        <v>769</v>
      </c>
      <c r="D191" s="174" t="s">
        <v>22</v>
      </c>
      <c r="E191" s="181">
        <f>SUM(N191:Y191)</f>
        <v>0</v>
      </c>
      <c r="F191" s="175" t="s">
        <v>767</v>
      </c>
      <c r="G191" s="183" t="s">
        <v>782</v>
      </c>
      <c r="H191" s="181"/>
      <c r="I191" s="182"/>
      <c r="J191" s="182"/>
      <c r="K191" s="176" t="s">
        <v>883</v>
      </c>
      <c r="L191" s="306"/>
      <c r="M191" s="363"/>
      <c r="N191" s="181">
        <f>SUMIFS('FCST data'!Q:Q,'FCST data'!$D:$D,$F191,'FCST data'!$K:$K,$G191,'FCST data'!$L:$L,$K191)</f>
        <v>0</v>
      </c>
      <c r="O191" s="181">
        <f>SUMIFS('FCST data'!R:R,'FCST data'!$D:$D,$F191,'FCST data'!$K:$K,$G191,'FCST data'!$L:$L,$K191)</f>
        <v>0</v>
      </c>
      <c r="P191" s="181">
        <f>SUMIFS('FCST data'!S:S,'FCST data'!$D:$D,$F191,'FCST data'!$K:$K,$G191,'FCST data'!$L:$L,$K191)</f>
        <v>0</v>
      </c>
      <c r="Q191" s="181">
        <f>SUMIFS('FCST data'!T:T,'FCST data'!$D:$D,$F191,'FCST data'!$K:$K,$G191,'FCST data'!$L:$L,$K191)</f>
        <v>0</v>
      </c>
      <c r="R191" s="181">
        <f>SUMIFS('FCST data'!U:U,'FCST data'!$D:$D,$F191,'FCST data'!$K:$K,$G191,'FCST data'!$L:$L,$K191)</f>
        <v>0</v>
      </c>
      <c r="S191" s="181">
        <f>SUMIFS('FCST data'!V:V,'FCST data'!$D:$D,$F191,'FCST data'!$K:$K,$G191,'FCST data'!$L:$L,$K191)</f>
        <v>0</v>
      </c>
      <c r="T191" s="181">
        <f>SUMIFS('FCST data'!W:W,'FCST data'!$D:$D,$F191,'FCST data'!$K:$K,$G191,'FCST data'!$L:$L,$K191)</f>
        <v>0</v>
      </c>
      <c r="U191" s="181">
        <f>SUMIFS('FCST data'!X:X,'FCST data'!$D:$D,$F191,'FCST data'!$K:$K,$G191,'FCST data'!$L:$L,$K191)</f>
        <v>0</v>
      </c>
      <c r="V191" s="181">
        <f>SUMIFS('FCST data'!Y:Y,'FCST data'!$D:$D,$F191,'FCST data'!$K:$K,$G191,'FCST data'!$L:$L,$K191)</f>
        <v>0</v>
      </c>
      <c r="W191" s="181">
        <f>SUMIFS('FCST data'!Z:Z,'FCST data'!$D:$D,$F191,'FCST data'!$K:$K,$G191,'FCST data'!$L:$L,$K191)</f>
        <v>0</v>
      </c>
      <c r="X191" s="181">
        <f>SUMIFS('FCST data'!AA:AA,'FCST data'!$D:$D,$F191,'FCST data'!$K:$K,$G191,'FCST data'!$L:$L,$K191)</f>
        <v>0</v>
      </c>
      <c r="Y191" s="181">
        <f>SUMIFS('FCST data'!AB:AB,'FCST data'!$D:$D,$F191,'FCST data'!$K:$K,$G191,'FCST data'!$L:$L,$K191)</f>
        <v>0</v>
      </c>
      <c r="Z191" s="148"/>
      <c r="AA191" s="44"/>
      <c r="AC191" s="16">
        <f>E191-SUM(AA192:AB194)</f>
        <v>0</v>
      </c>
      <c r="AD191" s="183" t="s">
        <v>767</v>
      </c>
      <c r="AE191" s="16">
        <v>0</v>
      </c>
      <c r="AF191" s="16">
        <v>0</v>
      </c>
    </row>
    <row r="192" spans="2:32" hidden="1">
      <c r="B192" s="395"/>
      <c r="C192" s="20"/>
      <c r="D192" s="284"/>
      <c r="E192" s="285"/>
      <c r="F192" s="286" t="s">
        <v>767</v>
      </c>
      <c r="G192" s="286" t="s">
        <v>782</v>
      </c>
      <c r="H192" s="284" t="s">
        <v>715</v>
      </c>
      <c r="I192" s="287" t="s">
        <v>718</v>
      </c>
      <c r="J192" s="341" t="s">
        <v>454</v>
      </c>
      <c r="K192" s="287" t="s">
        <v>456</v>
      </c>
      <c r="L192" s="299">
        <v>4</v>
      </c>
      <c r="M192" s="405"/>
      <c r="N192" s="291">
        <f t="shared" ref="N192:Y192" si="107">N191*$L$188</f>
        <v>0</v>
      </c>
      <c r="O192" s="291">
        <f t="shared" si="107"/>
        <v>0</v>
      </c>
      <c r="P192" s="291">
        <f t="shared" si="107"/>
        <v>0</v>
      </c>
      <c r="Q192" s="291">
        <f t="shared" si="107"/>
        <v>0</v>
      </c>
      <c r="R192" s="291">
        <f t="shared" si="107"/>
        <v>0</v>
      </c>
      <c r="S192" s="291">
        <f t="shared" si="107"/>
        <v>0</v>
      </c>
      <c r="T192" s="291">
        <f t="shared" si="107"/>
        <v>0</v>
      </c>
      <c r="U192" s="291">
        <f t="shared" si="107"/>
        <v>0</v>
      </c>
      <c r="V192" s="291">
        <f t="shared" si="107"/>
        <v>0</v>
      </c>
      <c r="W192" s="291">
        <f t="shared" si="107"/>
        <v>0</v>
      </c>
      <c r="X192" s="291">
        <f t="shared" si="107"/>
        <v>0</v>
      </c>
      <c r="Y192" s="291">
        <f t="shared" si="107"/>
        <v>0</v>
      </c>
      <c r="Z192" s="177">
        <f>SUM(N192:Y192)</f>
        <v>0</v>
      </c>
      <c r="AA192" s="7" t="s">
        <v>396</v>
      </c>
      <c r="AD192" s="286" t="s">
        <v>767</v>
      </c>
      <c r="AF192" s="16">
        <v>0</v>
      </c>
    </row>
    <row r="193" spans="2:32" hidden="1">
      <c r="B193" s="395"/>
      <c r="C193" s="20"/>
      <c r="D193" s="284"/>
      <c r="E193" s="285"/>
      <c r="F193" s="286" t="s">
        <v>767</v>
      </c>
      <c r="G193" s="286" t="s">
        <v>782</v>
      </c>
      <c r="H193" s="284" t="s">
        <v>715</v>
      </c>
      <c r="I193" s="287" t="s">
        <v>718</v>
      </c>
      <c r="J193" s="126" t="s">
        <v>119</v>
      </c>
      <c r="K193" s="287" t="s">
        <v>884</v>
      </c>
      <c r="L193" s="299">
        <v>8</v>
      </c>
      <c r="M193" s="359"/>
      <c r="N193" s="291">
        <f t="shared" ref="N193:Y193" si="108">N191*$L$189</f>
        <v>0</v>
      </c>
      <c r="O193" s="291">
        <f t="shared" si="108"/>
        <v>0</v>
      </c>
      <c r="P193" s="291">
        <f t="shared" si="108"/>
        <v>0</v>
      </c>
      <c r="Q193" s="291">
        <f t="shared" si="108"/>
        <v>0</v>
      </c>
      <c r="R193" s="291">
        <f t="shared" si="108"/>
        <v>0</v>
      </c>
      <c r="S193" s="291">
        <f t="shared" si="108"/>
        <v>0</v>
      </c>
      <c r="T193" s="291">
        <f t="shared" si="108"/>
        <v>0</v>
      </c>
      <c r="U193" s="291">
        <f t="shared" si="108"/>
        <v>0</v>
      </c>
      <c r="V193" s="291">
        <f t="shared" si="108"/>
        <v>0</v>
      </c>
      <c r="W193" s="291">
        <f t="shared" si="108"/>
        <v>0</v>
      </c>
      <c r="X193" s="291">
        <f t="shared" si="108"/>
        <v>0</v>
      </c>
      <c r="Y193" s="291">
        <f t="shared" si="108"/>
        <v>0</v>
      </c>
      <c r="Z193" s="177">
        <f t="shared" ref="Z193:Z194" si="109">SUM(N193:Y193)</f>
        <v>0</v>
      </c>
      <c r="AA193" s="7" t="s">
        <v>396</v>
      </c>
      <c r="AB193" s="16">
        <f>Z193/L193</f>
        <v>0</v>
      </c>
      <c r="AD193" s="286" t="s">
        <v>767</v>
      </c>
      <c r="AF193" s="16">
        <v>0</v>
      </c>
    </row>
    <row r="194" spans="2:32" hidden="1">
      <c r="B194" s="395"/>
      <c r="C194" s="20"/>
      <c r="D194" s="284"/>
      <c r="E194" s="285"/>
      <c r="F194" s="286" t="s">
        <v>767</v>
      </c>
      <c r="G194" s="286" t="s">
        <v>782</v>
      </c>
      <c r="H194" s="284" t="s">
        <v>20</v>
      </c>
      <c r="I194" s="284" t="s">
        <v>133</v>
      </c>
      <c r="J194" s="126" t="s">
        <v>119</v>
      </c>
      <c r="K194" s="287" t="s">
        <v>873</v>
      </c>
      <c r="L194" s="299">
        <v>8</v>
      </c>
      <c r="M194" s="360"/>
      <c r="N194" s="291"/>
      <c r="O194" s="291"/>
      <c r="P194" s="291"/>
      <c r="Q194" s="291"/>
      <c r="R194" s="291"/>
      <c r="S194" s="291"/>
      <c r="T194" s="291"/>
      <c r="U194" s="291"/>
      <c r="V194" s="291"/>
      <c r="W194" s="291"/>
      <c r="X194" s="291"/>
      <c r="Y194" s="291"/>
      <c r="Z194" s="177">
        <f t="shared" si="109"/>
        <v>0</v>
      </c>
      <c r="AA194" s="7" t="s">
        <v>396</v>
      </c>
      <c r="AB194" s="16">
        <f>Z194/L194</f>
        <v>0</v>
      </c>
      <c r="AD194" s="286" t="s">
        <v>767</v>
      </c>
      <c r="AF194" s="16">
        <v>0</v>
      </c>
    </row>
    <row r="195" spans="2:32" ht="15.6" hidden="1">
      <c r="B195" s="395"/>
      <c r="C195" s="315" t="s">
        <v>769</v>
      </c>
      <c r="D195" s="174" t="s">
        <v>22</v>
      </c>
      <c r="E195" s="181">
        <f>SUM(N195:Y195)</f>
        <v>300</v>
      </c>
      <c r="F195" s="175" t="s">
        <v>775</v>
      </c>
      <c r="G195" s="183" t="s">
        <v>783</v>
      </c>
      <c r="H195" s="181"/>
      <c r="I195" s="182"/>
      <c r="J195" s="182"/>
      <c r="K195" s="176" t="s">
        <v>276</v>
      </c>
      <c r="L195" s="306"/>
      <c r="M195" s="363"/>
      <c r="N195" s="181">
        <f>SUMIFS('FCST data'!Q:Q,'FCST data'!$D:$D,$F195,'FCST data'!$K:$K,$G195,'FCST data'!$L:$L,$K195)</f>
        <v>0</v>
      </c>
      <c r="O195" s="181">
        <f>SUMIFS('FCST data'!R:R,'FCST data'!$D:$D,$F195,'FCST data'!$K:$K,$G195,'FCST data'!$L:$L,$K195)</f>
        <v>200</v>
      </c>
      <c r="P195" s="181">
        <f>SUMIFS('FCST data'!S:S,'FCST data'!$D:$D,$F195,'FCST data'!$K:$K,$G195,'FCST data'!$L:$L,$K195)</f>
        <v>0</v>
      </c>
      <c r="Q195" s="181">
        <f>SUMIFS('FCST data'!T:T,'FCST data'!$D:$D,$F195,'FCST data'!$K:$K,$G195,'FCST data'!$L:$L,$K195)</f>
        <v>100</v>
      </c>
      <c r="R195" s="181">
        <f>SUMIFS('FCST data'!U:U,'FCST data'!$D:$D,$F195,'FCST data'!$K:$K,$G195,'FCST data'!$L:$L,$K195)</f>
        <v>0</v>
      </c>
      <c r="S195" s="181">
        <f>SUMIFS('FCST data'!V:V,'FCST data'!$D:$D,$F195,'FCST data'!$K:$K,$G195,'FCST data'!$L:$L,$K195)</f>
        <v>0</v>
      </c>
      <c r="T195" s="181">
        <f>SUMIFS('FCST data'!W:W,'FCST data'!$D:$D,$F195,'FCST data'!$K:$K,$G195,'FCST data'!$L:$L,$K195)</f>
        <v>0</v>
      </c>
      <c r="U195" s="181">
        <f>SUMIFS('FCST data'!X:X,'FCST data'!$D:$D,$F195,'FCST data'!$K:$K,$G195,'FCST data'!$L:$L,$K195)</f>
        <v>0</v>
      </c>
      <c r="V195" s="181">
        <f>SUMIFS('FCST data'!Y:Y,'FCST data'!$D:$D,$F195,'FCST data'!$K:$K,$G195,'FCST data'!$L:$L,$K195)</f>
        <v>0</v>
      </c>
      <c r="W195" s="181">
        <f>SUMIFS('FCST data'!Z:Z,'FCST data'!$D:$D,$F195,'FCST data'!$K:$K,$G195,'FCST data'!$L:$L,$K195)</f>
        <v>0</v>
      </c>
      <c r="X195" s="181">
        <f>SUMIFS('FCST data'!AA:AA,'FCST data'!$D:$D,$F195,'FCST data'!$K:$K,$G195,'FCST data'!$L:$L,$K195)</f>
        <v>0</v>
      </c>
      <c r="Y195" s="181">
        <f>SUMIFS('FCST data'!AB:AB,'FCST data'!$D:$D,$F195,'FCST data'!$K:$K,$G195,'FCST data'!$L:$L,$K195)</f>
        <v>0</v>
      </c>
      <c r="Z195" s="148"/>
      <c r="AA195" s="44"/>
      <c r="AC195" s="16">
        <f>E195-SUM(AA196:AB198)</f>
        <v>0</v>
      </c>
      <c r="AD195" s="183" t="s">
        <v>775</v>
      </c>
      <c r="AE195" s="16">
        <v>0</v>
      </c>
      <c r="AF195" s="16">
        <v>0</v>
      </c>
    </row>
    <row r="196" spans="2:32" ht="20.399999999999999" hidden="1">
      <c r="B196" s="395"/>
      <c r="C196" s="20"/>
      <c r="D196" s="284"/>
      <c r="E196" s="285"/>
      <c r="F196" s="286" t="s">
        <v>775</v>
      </c>
      <c r="G196" s="286" t="s">
        <v>783</v>
      </c>
      <c r="H196" s="284" t="s">
        <v>715</v>
      </c>
      <c r="I196" s="287" t="s">
        <v>718</v>
      </c>
      <c r="J196" s="341" t="s">
        <v>454</v>
      </c>
      <c r="K196" s="287" t="s">
        <v>456</v>
      </c>
      <c r="L196" s="299">
        <v>4</v>
      </c>
      <c r="M196" s="405" t="s">
        <v>780</v>
      </c>
      <c r="N196" s="291">
        <f t="shared" ref="N196:Y196" si="110">N195*$L$196</f>
        <v>0</v>
      </c>
      <c r="O196" s="291">
        <f t="shared" si="110"/>
        <v>800</v>
      </c>
      <c r="P196" s="291">
        <f t="shared" si="110"/>
        <v>0</v>
      </c>
      <c r="Q196" s="291">
        <f t="shared" si="110"/>
        <v>400</v>
      </c>
      <c r="R196" s="291">
        <f t="shared" si="110"/>
        <v>0</v>
      </c>
      <c r="S196" s="291">
        <f t="shared" si="110"/>
        <v>0</v>
      </c>
      <c r="T196" s="291">
        <f t="shared" si="110"/>
        <v>0</v>
      </c>
      <c r="U196" s="291">
        <f t="shared" si="110"/>
        <v>0</v>
      </c>
      <c r="V196" s="291">
        <f t="shared" si="110"/>
        <v>0</v>
      </c>
      <c r="W196" s="291">
        <f t="shared" si="110"/>
        <v>0</v>
      </c>
      <c r="X196" s="291">
        <f t="shared" si="110"/>
        <v>0</v>
      </c>
      <c r="Y196" s="291">
        <f t="shared" si="110"/>
        <v>0</v>
      </c>
      <c r="Z196" s="177">
        <f>SUM(N196:Y196)</f>
        <v>1200</v>
      </c>
      <c r="AA196" s="7" t="s">
        <v>396</v>
      </c>
      <c r="AD196" s="286" t="s">
        <v>767</v>
      </c>
      <c r="AF196" s="16">
        <v>0</v>
      </c>
    </row>
    <row r="197" spans="2:32" ht="27.6" hidden="1">
      <c r="B197" s="395"/>
      <c r="C197" s="20"/>
      <c r="D197" s="284"/>
      <c r="E197" s="285"/>
      <c r="F197" s="286" t="s">
        <v>775</v>
      </c>
      <c r="G197" s="286" t="s">
        <v>783</v>
      </c>
      <c r="H197" s="284" t="s">
        <v>715</v>
      </c>
      <c r="I197" s="287" t="s">
        <v>718</v>
      </c>
      <c r="J197" s="126" t="s">
        <v>119</v>
      </c>
      <c r="K197" s="410" t="s">
        <v>851</v>
      </c>
      <c r="L197" s="299">
        <v>4</v>
      </c>
      <c r="M197" s="359" t="s">
        <v>850</v>
      </c>
      <c r="N197" s="291">
        <f t="shared" ref="N197:Y197" si="111">N195*$L$197</f>
        <v>0</v>
      </c>
      <c r="O197" s="291">
        <f t="shared" si="111"/>
        <v>800</v>
      </c>
      <c r="P197" s="291">
        <f t="shared" si="111"/>
        <v>0</v>
      </c>
      <c r="Q197" s="291">
        <f t="shared" si="111"/>
        <v>400</v>
      </c>
      <c r="R197" s="291">
        <f t="shared" si="111"/>
        <v>0</v>
      </c>
      <c r="S197" s="291">
        <f t="shared" si="111"/>
        <v>0</v>
      </c>
      <c r="T197" s="291">
        <f t="shared" si="111"/>
        <v>0</v>
      </c>
      <c r="U197" s="291">
        <f t="shared" si="111"/>
        <v>0</v>
      </c>
      <c r="V197" s="291">
        <f t="shared" si="111"/>
        <v>0</v>
      </c>
      <c r="W197" s="291">
        <f t="shared" si="111"/>
        <v>0</v>
      </c>
      <c r="X197" s="291">
        <f t="shared" si="111"/>
        <v>0</v>
      </c>
      <c r="Y197" s="291">
        <f t="shared" si="111"/>
        <v>0</v>
      </c>
      <c r="Z197" s="177">
        <f t="shared" ref="Z197:Z198" si="112">SUM(N197:Y197)</f>
        <v>1200</v>
      </c>
      <c r="AA197" s="7" t="s">
        <v>396</v>
      </c>
      <c r="AB197" s="16">
        <f>Z197/L197</f>
        <v>300</v>
      </c>
      <c r="AD197" s="286" t="s">
        <v>767</v>
      </c>
      <c r="AF197" s="16">
        <v>0</v>
      </c>
    </row>
    <row r="198" spans="2:32" hidden="1">
      <c r="B198" s="395"/>
      <c r="C198" s="20"/>
      <c r="D198" s="284"/>
      <c r="E198" s="285"/>
      <c r="F198" s="286" t="s">
        <v>775</v>
      </c>
      <c r="G198" s="286" t="s">
        <v>783</v>
      </c>
      <c r="H198" s="284" t="s">
        <v>20</v>
      </c>
      <c r="I198" s="284" t="s">
        <v>133</v>
      </c>
      <c r="J198" s="126" t="s">
        <v>119</v>
      </c>
      <c r="K198" s="287" t="s">
        <v>248</v>
      </c>
      <c r="L198" s="299">
        <v>8</v>
      </c>
      <c r="M198" s="360"/>
      <c r="N198" s="291"/>
      <c r="O198" s="291"/>
      <c r="P198" s="291"/>
      <c r="Q198" s="291"/>
      <c r="R198" s="291"/>
      <c r="S198" s="291"/>
      <c r="T198" s="291"/>
      <c r="U198" s="291"/>
      <c r="V198" s="291"/>
      <c r="W198" s="291"/>
      <c r="X198" s="291"/>
      <c r="Y198" s="291"/>
      <c r="Z198" s="177">
        <f t="shared" si="112"/>
        <v>0</v>
      </c>
      <c r="AA198" s="7" t="s">
        <v>396</v>
      </c>
      <c r="AB198" s="16">
        <f>Z198/L198</f>
        <v>0</v>
      </c>
      <c r="AD198" s="286" t="s">
        <v>767</v>
      </c>
      <c r="AF198" s="16">
        <v>0</v>
      </c>
    </row>
    <row r="199" spans="2:32" ht="15.6" hidden="1">
      <c r="B199" s="395"/>
      <c r="C199" s="315" t="s">
        <v>769</v>
      </c>
      <c r="D199" s="174" t="s">
        <v>22</v>
      </c>
      <c r="E199" s="181">
        <f>SUM(N199:Y199)</f>
        <v>300</v>
      </c>
      <c r="F199" s="175" t="s">
        <v>766</v>
      </c>
      <c r="G199" s="183" t="s">
        <v>1064</v>
      </c>
      <c r="H199" s="181"/>
      <c r="I199" s="182"/>
      <c r="J199" s="182"/>
      <c r="K199" s="176" t="s">
        <v>276</v>
      </c>
      <c r="L199" s="306"/>
      <c r="M199" s="363"/>
      <c r="N199" s="181">
        <f>SUMIFS('FCST data'!Q:Q,'FCST data'!$D:$D,$F199,'FCST data'!$K:$K,$G199,'FCST data'!$L:$L,$K199)</f>
        <v>0</v>
      </c>
      <c r="O199" s="181">
        <f>SUMIFS('FCST data'!R:R,'FCST data'!$D:$D,$F199,'FCST data'!$K:$K,$G199,'FCST data'!$L:$L,$K199)</f>
        <v>200</v>
      </c>
      <c r="P199" s="181">
        <f>SUMIFS('FCST data'!S:S,'FCST data'!$D:$D,$F199,'FCST data'!$K:$K,$G199,'FCST data'!$L:$L,$K199)</f>
        <v>0</v>
      </c>
      <c r="Q199" s="181">
        <f>SUMIFS('FCST data'!T:T,'FCST data'!$D:$D,$F199,'FCST data'!$K:$K,$G199,'FCST data'!$L:$L,$K199)</f>
        <v>100</v>
      </c>
      <c r="R199" s="181">
        <f>SUMIFS('FCST data'!U:U,'FCST data'!$D:$D,$F199,'FCST data'!$K:$K,$G199,'FCST data'!$L:$L,$K199)</f>
        <v>0</v>
      </c>
      <c r="S199" s="181">
        <f>SUMIFS('FCST data'!V:V,'FCST data'!$D:$D,$F199,'FCST data'!$K:$K,$G199,'FCST data'!$L:$L,$K199)</f>
        <v>0</v>
      </c>
      <c r="T199" s="181">
        <f>SUMIFS('FCST data'!W:W,'FCST data'!$D:$D,$F199,'FCST data'!$K:$K,$G199,'FCST data'!$L:$L,$K199)</f>
        <v>0</v>
      </c>
      <c r="U199" s="181">
        <f>SUMIFS('FCST data'!X:X,'FCST data'!$D:$D,$F199,'FCST data'!$K:$K,$G199,'FCST data'!$L:$L,$K199)</f>
        <v>0</v>
      </c>
      <c r="V199" s="181">
        <f>SUMIFS('FCST data'!Y:Y,'FCST data'!$D:$D,$F199,'FCST data'!$K:$K,$G199,'FCST data'!$L:$L,$K199)</f>
        <v>0</v>
      </c>
      <c r="W199" s="181">
        <f>SUMIFS('FCST data'!Z:Z,'FCST data'!$D:$D,$F199,'FCST data'!$K:$K,$G199,'FCST data'!$L:$L,$K199)</f>
        <v>0</v>
      </c>
      <c r="X199" s="181">
        <f>SUMIFS('FCST data'!AA:AA,'FCST data'!$D:$D,$F199,'FCST data'!$K:$K,$G199,'FCST data'!$L:$L,$K199)</f>
        <v>0</v>
      </c>
      <c r="Y199" s="181">
        <f>SUMIFS('FCST data'!AB:AB,'FCST data'!$D:$D,$F199,'FCST data'!$K:$K,$G199,'FCST data'!$L:$L,$K199)</f>
        <v>0</v>
      </c>
      <c r="Z199" s="148"/>
      <c r="AA199" s="44"/>
      <c r="AC199" s="16">
        <f>E199-SUM(AA200:AB202)</f>
        <v>0</v>
      </c>
      <c r="AD199" s="183" t="s">
        <v>766</v>
      </c>
      <c r="AE199" s="16">
        <v>0</v>
      </c>
      <c r="AF199" s="16">
        <v>0</v>
      </c>
    </row>
    <row r="200" spans="2:32" ht="20.399999999999999" hidden="1">
      <c r="B200" s="395"/>
      <c r="C200" s="20"/>
      <c r="D200" s="284"/>
      <c r="E200" s="285"/>
      <c r="F200" s="286" t="s">
        <v>766</v>
      </c>
      <c r="G200" s="286" t="s">
        <v>1064</v>
      </c>
      <c r="H200" s="284" t="s">
        <v>715</v>
      </c>
      <c r="I200" s="287" t="s">
        <v>718</v>
      </c>
      <c r="J200" s="341" t="s">
        <v>454</v>
      </c>
      <c r="K200" s="287" t="s">
        <v>456</v>
      </c>
      <c r="L200" s="299">
        <v>4</v>
      </c>
      <c r="M200" s="405" t="s">
        <v>780</v>
      </c>
      <c r="N200" s="291">
        <f t="shared" ref="N200:Y200" si="113">N199*$L$200</f>
        <v>0</v>
      </c>
      <c r="O200" s="291">
        <f t="shared" si="113"/>
        <v>800</v>
      </c>
      <c r="P200" s="291">
        <f t="shared" si="113"/>
        <v>0</v>
      </c>
      <c r="Q200" s="291">
        <f t="shared" si="113"/>
        <v>400</v>
      </c>
      <c r="R200" s="291">
        <f t="shared" si="113"/>
        <v>0</v>
      </c>
      <c r="S200" s="291">
        <f t="shared" si="113"/>
        <v>0</v>
      </c>
      <c r="T200" s="291">
        <f t="shared" si="113"/>
        <v>0</v>
      </c>
      <c r="U200" s="291">
        <f t="shared" si="113"/>
        <v>0</v>
      </c>
      <c r="V200" s="291">
        <f t="shared" si="113"/>
        <v>0</v>
      </c>
      <c r="W200" s="291">
        <f t="shared" si="113"/>
        <v>0</v>
      </c>
      <c r="X200" s="291">
        <f t="shared" si="113"/>
        <v>0</v>
      </c>
      <c r="Y200" s="291">
        <f t="shared" si="113"/>
        <v>0</v>
      </c>
      <c r="Z200" s="177">
        <f>SUM(N200:Y200)</f>
        <v>1200</v>
      </c>
      <c r="AA200" s="7" t="s">
        <v>396</v>
      </c>
      <c r="AD200" s="286" t="s">
        <v>766</v>
      </c>
      <c r="AF200" s="16">
        <v>0</v>
      </c>
    </row>
    <row r="201" spans="2:32" ht="20.399999999999999" hidden="1">
      <c r="B201" s="395"/>
      <c r="C201" s="20"/>
      <c r="D201" s="284"/>
      <c r="E201" s="285"/>
      <c r="F201" s="286" t="s">
        <v>766</v>
      </c>
      <c r="G201" s="286" t="s">
        <v>1064</v>
      </c>
      <c r="H201" s="284" t="s">
        <v>715</v>
      </c>
      <c r="I201" s="287" t="s">
        <v>718</v>
      </c>
      <c r="J201" s="126" t="s">
        <v>119</v>
      </c>
      <c r="K201" s="287" t="s">
        <v>319</v>
      </c>
      <c r="L201" s="299">
        <v>8</v>
      </c>
      <c r="M201" s="359" t="s">
        <v>852</v>
      </c>
      <c r="N201" s="291">
        <f t="shared" ref="N201:Y201" si="114">N199*$L$201</f>
        <v>0</v>
      </c>
      <c r="O201" s="291">
        <f t="shared" si="114"/>
        <v>1600</v>
      </c>
      <c r="P201" s="291">
        <f t="shared" si="114"/>
        <v>0</v>
      </c>
      <c r="Q201" s="291">
        <f t="shared" si="114"/>
        <v>800</v>
      </c>
      <c r="R201" s="291">
        <f t="shared" si="114"/>
        <v>0</v>
      </c>
      <c r="S201" s="291">
        <f t="shared" si="114"/>
        <v>0</v>
      </c>
      <c r="T201" s="291">
        <f t="shared" si="114"/>
        <v>0</v>
      </c>
      <c r="U201" s="291">
        <f t="shared" si="114"/>
        <v>0</v>
      </c>
      <c r="V201" s="291">
        <f t="shared" si="114"/>
        <v>0</v>
      </c>
      <c r="W201" s="291">
        <f t="shared" si="114"/>
        <v>0</v>
      </c>
      <c r="X201" s="291">
        <f t="shared" si="114"/>
        <v>0</v>
      </c>
      <c r="Y201" s="291">
        <f t="shared" si="114"/>
        <v>0</v>
      </c>
      <c r="Z201" s="177">
        <f t="shared" ref="Z201:Z202" si="115">SUM(N201:Y201)</f>
        <v>2400</v>
      </c>
      <c r="AA201" s="7" t="s">
        <v>396</v>
      </c>
      <c r="AB201" s="16">
        <f>Z201/L201</f>
        <v>300</v>
      </c>
      <c r="AD201" s="286" t="s">
        <v>766</v>
      </c>
      <c r="AF201" s="16">
        <v>0</v>
      </c>
    </row>
    <row r="202" spans="2:32" hidden="1">
      <c r="B202" s="395"/>
      <c r="C202" s="20"/>
      <c r="D202" s="284"/>
      <c r="E202" s="285"/>
      <c r="F202" s="286" t="s">
        <v>766</v>
      </c>
      <c r="G202" s="286" t="s">
        <v>1064</v>
      </c>
      <c r="H202" s="284" t="s">
        <v>20</v>
      </c>
      <c r="I202" s="284" t="s">
        <v>133</v>
      </c>
      <c r="J202" s="126" t="s">
        <v>119</v>
      </c>
      <c r="K202" s="287" t="s">
        <v>248</v>
      </c>
      <c r="L202" s="299">
        <v>8</v>
      </c>
      <c r="M202" s="360"/>
      <c r="N202" s="291"/>
      <c r="O202" s="291"/>
      <c r="P202" s="291"/>
      <c r="Q202" s="291"/>
      <c r="R202" s="291"/>
      <c r="S202" s="291"/>
      <c r="T202" s="291"/>
      <c r="U202" s="291"/>
      <c r="V202" s="291"/>
      <c r="W202" s="291"/>
      <c r="X202" s="291"/>
      <c r="Y202" s="291"/>
      <c r="Z202" s="177">
        <f t="shared" si="115"/>
        <v>0</v>
      </c>
      <c r="AA202" s="7" t="s">
        <v>396</v>
      </c>
      <c r="AB202" s="16">
        <f>Z202/L202</f>
        <v>0</v>
      </c>
      <c r="AD202" s="286" t="s">
        <v>766</v>
      </c>
      <c r="AF202" s="16">
        <v>0</v>
      </c>
    </row>
    <row r="203" spans="2:32" ht="15.6" hidden="1">
      <c r="B203" s="395"/>
      <c r="C203" s="315" t="s">
        <v>769</v>
      </c>
      <c r="D203" s="174" t="s">
        <v>22</v>
      </c>
      <c r="E203" s="181">
        <f>SUM(N203:Y203)</f>
        <v>31700</v>
      </c>
      <c r="F203" s="183" t="s">
        <v>875</v>
      </c>
      <c r="G203" s="183" t="s">
        <v>365</v>
      </c>
      <c r="H203" s="181"/>
      <c r="I203" s="182"/>
      <c r="J203" s="182"/>
      <c r="K203" s="182" t="s">
        <v>279</v>
      </c>
      <c r="L203" s="306"/>
      <c r="M203" s="358"/>
      <c r="N203" s="181">
        <f>SUMIFS('FCST data'!Q:Q,'FCST data'!$D:$D,$F203,'FCST data'!$K:$K,$G203,'FCST data'!$L:$L,$K203)</f>
        <v>0</v>
      </c>
      <c r="O203" s="181">
        <f>SUMIFS('FCST data'!R:R,'FCST data'!$D:$D,$F203,'FCST data'!$K:$K,$G203,'FCST data'!$L:$L,$K203)</f>
        <v>0</v>
      </c>
      <c r="P203" s="181">
        <f>SUMIFS('FCST data'!S:S,'FCST data'!$D:$D,$F203,'FCST data'!$K:$K,$G203,'FCST data'!$L:$L,$K203)</f>
        <v>0</v>
      </c>
      <c r="Q203" s="181">
        <f>SUMIFS('FCST data'!T:T,'FCST data'!$D:$D,$F203,'FCST data'!$K:$K,$G203,'FCST data'!$L:$L,$K203)</f>
        <v>7100</v>
      </c>
      <c r="R203" s="181">
        <f>SUMIFS('FCST data'!U:U,'FCST data'!$D:$D,$F203,'FCST data'!$K:$K,$G203,'FCST data'!$L:$L,$K203)</f>
        <v>7000</v>
      </c>
      <c r="S203" s="181">
        <f>SUMIFS('FCST data'!V:V,'FCST data'!$D:$D,$F203,'FCST data'!$K:$K,$G203,'FCST data'!$L:$L,$K203)</f>
        <v>7100</v>
      </c>
      <c r="T203" s="181">
        <f>SUMIFS('FCST data'!W:W,'FCST data'!$D:$D,$F203,'FCST data'!$K:$K,$G203,'FCST data'!$L:$L,$K203)</f>
        <v>5500</v>
      </c>
      <c r="U203" s="181">
        <f>SUMIFS('FCST data'!X:X,'FCST data'!$D:$D,$F203,'FCST data'!$K:$K,$G203,'FCST data'!$L:$L,$K203)</f>
        <v>2500</v>
      </c>
      <c r="V203" s="181">
        <f>SUMIFS('FCST data'!Y:Y,'FCST data'!$D:$D,$F203,'FCST data'!$K:$K,$G203,'FCST data'!$L:$L,$K203)</f>
        <v>2500</v>
      </c>
      <c r="W203" s="181">
        <f>SUMIFS('FCST data'!Z:Z,'FCST data'!$D:$D,$F203,'FCST data'!$K:$K,$G203,'FCST data'!$L:$L,$K203)</f>
        <v>0</v>
      </c>
      <c r="X203" s="181">
        <f>SUMIFS('FCST data'!AA:AA,'FCST data'!$D:$D,$F203,'FCST data'!$K:$K,$G203,'FCST data'!$L:$L,$K203)</f>
        <v>0</v>
      </c>
      <c r="Y203" s="181">
        <f>SUMIFS('FCST data'!AB:AB,'FCST data'!$D:$D,$F203,'FCST data'!$K:$K,$G203,'FCST data'!$L:$L,$K203)</f>
        <v>0</v>
      </c>
      <c r="Z203" s="148"/>
      <c r="AA203" s="44"/>
      <c r="AC203" s="16">
        <f>E203-SUM(AA204:AB207)</f>
        <v>0</v>
      </c>
      <c r="AD203" s="183"/>
    </row>
    <row r="204" spans="2:32" s="1" customFormat="1" ht="30.6" hidden="1">
      <c r="B204" s="395"/>
      <c r="C204" s="18"/>
      <c r="D204" s="195"/>
      <c r="E204" s="197"/>
      <c r="F204" s="286" t="s">
        <v>875</v>
      </c>
      <c r="G204" s="286" t="s">
        <v>365</v>
      </c>
      <c r="H204" s="284" t="s">
        <v>715</v>
      </c>
      <c r="I204" s="287" t="s">
        <v>718</v>
      </c>
      <c r="J204" s="126" t="s">
        <v>119</v>
      </c>
      <c r="K204" s="287" t="s">
        <v>301</v>
      </c>
      <c r="L204" s="299">
        <v>4</v>
      </c>
      <c r="M204" s="364" t="s">
        <v>548</v>
      </c>
      <c r="N204" s="303"/>
      <c r="O204" s="303"/>
      <c r="P204" s="303"/>
      <c r="Q204" s="303">
        <f>1100*L204</f>
        <v>4400</v>
      </c>
      <c r="R204" s="303"/>
      <c r="S204" s="303"/>
      <c r="T204" s="303"/>
      <c r="U204" s="303"/>
      <c r="V204" s="303"/>
      <c r="W204" s="303"/>
      <c r="X204" s="303"/>
      <c r="Y204" s="303"/>
      <c r="Z204" s="177">
        <f>SUM(N204:Y204)</f>
        <v>4400</v>
      </c>
      <c r="AA204" s="7" t="s">
        <v>396</v>
      </c>
      <c r="AB204" s="16">
        <f>Z204/L204</f>
        <v>1100</v>
      </c>
      <c r="AD204" s="286"/>
      <c r="AE204" s="16"/>
      <c r="AF204" s="16"/>
    </row>
    <row r="205" spans="2:32" s="1" customFormat="1" ht="30.6" hidden="1">
      <c r="B205" s="395"/>
      <c r="C205" s="18"/>
      <c r="D205" s="195"/>
      <c r="E205" s="197"/>
      <c r="F205" s="286" t="s">
        <v>875</v>
      </c>
      <c r="G205" s="286" t="s">
        <v>365</v>
      </c>
      <c r="H205" s="284" t="s">
        <v>715</v>
      </c>
      <c r="I205" s="287" t="s">
        <v>718</v>
      </c>
      <c r="J205" s="284" t="s">
        <v>28</v>
      </c>
      <c r="K205" s="287" t="s">
        <v>302</v>
      </c>
      <c r="L205" s="299">
        <v>4</v>
      </c>
      <c r="M205" s="359" t="s">
        <v>549</v>
      </c>
      <c r="N205" s="303"/>
      <c r="O205" s="303"/>
      <c r="P205" s="303"/>
      <c r="Q205" s="303"/>
      <c r="R205" s="303"/>
      <c r="S205" s="303"/>
      <c r="T205" s="303"/>
      <c r="U205" s="303"/>
      <c r="V205" s="303"/>
      <c r="W205" s="303"/>
      <c r="X205" s="303"/>
      <c r="Y205" s="303"/>
      <c r="Z205" s="177">
        <f t="shared" ref="Z205:Z207" si="116">SUM(N205:Y205)*L205</f>
        <v>0</v>
      </c>
      <c r="AA205" s="7">
        <f t="shared" ref="AA205:AA207" si="117">SUM(N205:Y205)</f>
        <v>0</v>
      </c>
      <c r="AD205" s="286"/>
      <c r="AE205" s="16"/>
      <c r="AF205" s="16"/>
    </row>
    <row r="206" spans="2:32" s="1" customFormat="1" ht="15.6" hidden="1">
      <c r="B206" s="395"/>
      <c r="C206" s="18"/>
      <c r="D206" s="195"/>
      <c r="E206" s="197"/>
      <c r="F206" s="286" t="s">
        <v>875</v>
      </c>
      <c r="G206" s="286" t="s">
        <v>365</v>
      </c>
      <c r="H206" s="284" t="s">
        <v>20</v>
      </c>
      <c r="I206" s="287" t="s">
        <v>760</v>
      </c>
      <c r="J206" s="284" t="s">
        <v>28</v>
      </c>
      <c r="K206" s="287" t="s">
        <v>277</v>
      </c>
      <c r="L206" s="299">
        <v>4</v>
      </c>
      <c r="M206" s="365" t="s">
        <v>759</v>
      </c>
      <c r="N206" s="303"/>
      <c r="O206" s="303"/>
      <c r="P206" s="303"/>
      <c r="Q206" s="303">
        <v>6000</v>
      </c>
      <c r="R206" s="303">
        <v>7000</v>
      </c>
      <c r="S206" s="303">
        <v>7100</v>
      </c>
      <c r="T206" s="303">
        <v>5500</v>
      </c>
      <c r="U206" s="303">
        <v>2500</v>
      </c>
      <c r="V206" s="303">
        <v>2500</v>
      </c>
      <c r="W206" s="303"/>
      <c r="X206" s="303"/>
      <c r="Y206" s="303"/>
      <c r="Z206" s="177">
        <f t="shared" si="116"/>
        <v>122400</v>
      </c>
      <c r="AA206" s="7">
        <f t="shared" si="117"/>
        <v>30600</v>
      </c>
      <c r="AD206" s="286"/>
      <c r="AE206" s="16"/>
      <c r="AF206" s="16"/>
    </row>
    <row r="207" spans="2:32" s="1" customFormat="1" ht="15.6" hidden="1">
      <c r="B207" s="395"/>
      <c r="C207" s="18"/>
      <c r="D207" s="195"/>
      <c r="E207" s="197"/>
      <c r="F207" s="286" t="s">
        <v>875</v>
      </c>
      <c r="G207" s="286" t="s">
        <v>365</v>
      </c>
      <c r="H207" s="284" t="s">
        <v>20</v>
      </c>
      <c r="I207" s="284" t="s">
        <v>133</v>
      </c>
      <c r="J207" s="284" t="s">
        <v>28</v>
      </c>
      <c r="K207" s="287" t="s">
        <v>891</v>
      </c>
      <c r="L207" s="299">
        <v>4</v>
      </c>
      <c r="M207" s="365"/>
      <c r="N207" s="303"/>
      <c r="O207" s="303"/>
      <c r="P207" s="303"/>
      <c r="Q207" s="303"/>
      <c r="R207" s="303"/>
      <c r="S207" s="303"/>
      <c r="T207" s="303"/>
      <c r="U207" s="303"/>
      <c r="V207" s="303"/>
      <c r="W207" s="303"/>
      <c r="X207" s="303"/>
      <c r="Y207" s="303"/>
      <c r="Z207" s="177">
        <f t="shared" si="116"/>
        <v>0</v>
      </c>
      <c r="AA207" s="7">
        <f t="shared" si="117"/>
        <v>0</v>
      </c>
      <c r="AD207" s="286"/>
      <c r="AE207" s="16"/>
      <c r="AF207" s="16"/>
    </row>
    <row r="208" spans="2:32" ht="15.6" hidden="1">
      <c r="B208" s="395"/>
      <c r="C208" s="315" t="s">
        <v>769</v>
      </c>
      <c r="D208" s="174" t="s">
        <v>22</v>
      </c>
      <c r="E208" s="181">
        <f>SUM(N208:Y208)</f>
        <v>9000</v>
      </c>
      <c r="F208" s="183" t="s">
        <v>875</v>
      </c>
      <c r="G208" s="183" t="s">
        <v>365</v>
      </c>
      <c r="H208" s="181"/>
      <c r="I208" s="182"/>
      <c r="J208" s="182"/>
      <c r="K208" s="182" t="s">
        <v>283</v>
      </c>
      <c r="L208" s="311"/>
      <c r="M208" s="358"/>
      <c r="N208" s="181">
        <f>SUMIFS('FCST data'!Q:Q,'FCST data'!$D:$D,$F208,'FCST data'!$K:$K,$G208,'FCST data'!$L:$L,$K208)</f>
        <v>0</v>
      </c>
      <c r="O208" s="181">
        <f>SUMIFS('FCST data'!R:R,'FCST data'!$D:$D,$F208,'FCST data'!$K:$K,$G208,'FCST data'!$L:$L,$K208)</f>
        <v>0</v>
      </c>
      <c r="P208" s="181">
        <f>SUMIFS('FCST data'!S:S,'FCST data'!$D:$D,$F208,'FCST data'!$K:$K,$G208,'FCST data'!$L:$L,$K208)</f>
        <v>0</v>
      </c>
      <c r="Q208" s="181">
        <f>SUMIFS('FCST data'!T:T,'FCST data'!$D:$D,$F208,'FCST data'!$K:$K,$G208,'FCST data'!$L:$L,$K208)</f>
        <v>1400</v>
      </c>
      <c r="R208" s="181">
        <f>SUMIFS('FCST data'!U:U,'FCST data'!$D:$D,$F208,'FCST data'!$K:$K,$G208,'FCST data'!$L:$L,$K208)</f>
        <v>1400</v>
      </c>
      <c r="S208" s="181">
        <f>SUMIFS('FCST data'!V:V,'FCST data'!$D:$D,$F208,'FCST data'!$K:$K,$G208,'FCST data'!$L:$L,$K208)</f>
        <v>1400</v>
      </c>
      <c r="T208" s="181">
        <f>SUMIFS('FCST data'!W:W,'FCST data'!$D:$D,$F208,'FCST data'!$K:$K,$G208,'FCST data'!$L:$L,$K208)</f>
        <v>1600</v>
      </c>
      <c r="U208" s="181">
        <f>SUMIFS('FCST data'!X:X,'FCST data'!$D:$D,$F208,'FCST data'!$K:$K,$G208,'FCST data'!$L:$L,$K208)</f>
        <v>1600</v>
      </c>
      <c r="V208" s="181">
        <f>SUMIFS('FCST data'!Y:Y,'FCST data'!$D:$D,$F208,'FCST data'!$K:$K,$G208,'FCST data'!$L:$L,$K208)</f>
        <v>1600</v>
      </c>
      <c r="W208" s="181">
        <f>SUMIFS('FCST data'!Z:Z,'FCST data'!$D:$D,$F208,'FCST data'!$K:$K,$G208,'FCST data'!$L:$L,$K208)</f>
        <v>0</v>
      </c>
      <c r="X208" s="181">
        <f>SUMIFS('FCST data'!AA:AA,'FCST data'!$D:$D,$F208,'FCST data'!$K:$K,$G208,'FCST data'!$L:$L,$K208)</f>
        <v>0</v>
      </c>
      <c r="Y208" s="181">
        <f>SUMIFS('FCST data'!AB:AB,'FCST data'!$D:$D,$F208,'FCST data'!$K:$K,$G208,'FCST data'!$L:$L,$K208)</f>
        <v>0</v>
      </c>
      <c r="Z208" s="148"/>
      <c r="AA208" s="44"/>
      <c r="AC208" s="16">
        <f>E208-SUM(AA209:AB210)</f>
        <v>0</v>
      </c>
      <c r="AD208" s="183"/>
    </row>
    <row r="209" spans="2:32" ht="30.6" hidden="1">
      <c r="B209" s="395"/>
      <c r="C209" s="20"/>
      <c r="D209" s="284"/>
      <c r="E209" s="285"/>
      <c r="F209" s="286" t="s">
        <v>875</v>
      </c>
      <c r="G209" s="286" t="s">
        <v>365</v>
      </c>
      <c r="H209" s="284" t="s">
        <v>715</v>
      </c>
      <c r="I209" s="287" t="s">
        <v>718</v>
      </c>
      <c r="J209" s="126" t="s">
        <v>119</v>
      </c>
      <c r="K209" s="287" t="s">
        <v>283</v>
      </c>
      <c r="L209" s="299">
        <v>4</v>
      </c>
      <c r="M209" s="359" t="s">
        <v>570</v>
      </c>
      <c r="N209" s="291"/>
      <c r="O209" s="291"/>
      <c r="P209" s="291"/>
      <c r="Q209" s="291"/>
      <c r="R209" s="291"/>
      <c r="S209" s="291"/>
      <c r="T209" s="291"/>
      <c r="U209" s="291"/>
      <c r="V209" s="291"/>
      <c r="W209" s="291"/>
      <c r="X209" s="291"/>
      <c r="Y209" s="291"/>
      <c r="Z209" s="177">
        <f>SUM(N209:Y209)</f>
        <v>0</v>
      </c>
      <c r="AA209" s="7" t="s">
        <v>396</v>
      </c>
      <c r="AB209" s="16">
        <f>Z209/L209</f>
        <v>0</v>
      </c>
      <c r="AD209" s="286"/>
    </row>
    <row r="210" spans="2:32">
      <c r="B210" s="395"/>
      <c r="C210" s="20"/>
      <c r="D210" s="284"/>
      <c r="E210" s="285"/>
      <c r="F210" s="286" t="s">
        <v>875</v>
      </c>
      <c r="G210" s="286" t="s">
        <v>365</v>
      </c>
      <c r="H210" s="338" t="s">
        <v>20</v>
      </c>
      <c r="I210" s="287" t="s">
        <v>760</v>
      </c>
      <c r="J210" s="284" t="s">
        <v>28</v>
      </c>
      <c r="K210" s="287" t="s">
        <v>108</v>
      </c>
      <c r="L210" s="299">
        <v>8</v>
      </c>
      <c r="M210" s="365" t="s">
        <v>915</v>
      </c>
      <c r="N210" s="291"/>
      <c r="O210" s="291"/>
      <c r="P210" s="291"/>
      <c r="Q210" s="291">
        <v>1400</v>
      </c>
      <c r="R210" s="291">
        <v>1400</v>
      </c>
      <c r="S210" s="291">
        <v>1400</v>
      </c>
      <c r="T210" s="291">
        <v>1600</v>
      </c>
      <c r="U210" s="291">
        <v>1600</v>
      </c>
      <c r="V210" s="291">
        <v>1600</v>
      </c>
      <c r="W210" s="291"/>
      <c r="X210" s="291"/>
      <c r="Y210" s="291"/>
      <c r="Z210" s="177">
        <f>SUM(N210:Y210)*L210</f>
        <v>72000</v>
      </c>
      <c r="AA210" s="7">
        <f>SUM(N210:Y210)</f>
        <v>9000</v>
      </c>
      <c r="AD210" s="286"/>
    </row>
    <row r="211" spans="2:32" ht="15.6" hidden="1">
      <c r="B211" s="395"/>
      <c r="C211" s="315" t="s">
        <v>769</v>
      </c>
      <c r="D211" s="174" t="s">
        <v>22</v>
      </c>
      <c r="E211" s="181">
        <f>SUM(N211:Y211)</f>
        <v>2700</v>
      </c>
      <c r="F211" s="183" t="s">
        <v>875</v>
      </c>
      <c r="G211" s="183" t="s">
        <v>373</v>
      </c>
      <c r="H211" s="181"/>
      <c r="I211" s="182"/>
      <c r="J211" s="182"/>
      <c r="K211" s="182" t="s">
        <v>279</v>
      </c>
      <c r="L211" s="306"/>
      <c r="M211" s="358"/>
      <c r="N211" s="181">
        <f>SUMIFS('FCST data'!Q:Q,'FCST data'!$D:$D,$F211,'FCST data'!$K:$K,$G211,'FCST data'!$L:$L,$K211)</f>
        <v>0</v>
      </c>
      <c r="O211" s="181">
        <f>SUMIFS('FCST data'!R:R,'FCST data'!$D:$D,$F211,'FCST data'!$K:$K,$G211,'FCST data'!$L:$L,$K211)</f>
        <v>0</v>
      </c>
      <c r="P211" s="181">
        <f>SUMIFS('FCST data'!S:S,'FCST data'!$D:$D,$F211,'FCST data'!$K:$K,$G211,'FCST data'!$L:$L,$K211)</f>
        <v>0</v>
      </c>
      <c r="Q211" s="181">
        <f>SUMIFS('FCST data'!T:T,'FCST data'!$D:$D,$F211,'FCST data'!$K:$K,$G211,'FCST data'!$L:$L,$K211)</f>
        <v>200</v>
      </c>
      <c r="R211" s="181">
        <f>SUMIFS('FCST data'!U:U,'FCST data'!$D:$D,$F211,'FCST data'!$K:$K,$G211,'FCST data'!$L:$L,$K211)</f>
        <v>500</v>
      </c>
      <c r="S211" s="181">
        <f>SUMIFS('FCST data'!V:V,'FCST data'!$D:$D,$F211,'FCST data'!$K:$K,$G211,'FCST data'!$L:$L,$K211)</f>
        <v>500</v>
      </c>
      <c r="T211" s="181">
        <f>SUMIFS('FCST data'!W:W,'FCST data'!$D:$D,$F211,'FCST data'!$K:$K,$G211,'FCST data'!$L:$L,$K211)</f>
        <v>500</v>
      </c>
      <c r="U211" s="181">
        <f>SUMIFS('FCST data'!X:X,'FCST data'!$D:$D,$F211,'FCST data'!$K:$K,$G211,'FCST data'!$L:$L,$K211)</f>
        <v>500</v>
      </c>
      <c r="V211" s="181">
        <f>SUMIFS('FCST data'!Y:Y,'FCST data'!$D:$D,$F211,'FCST data'!$K:$K,$G211,'FCST data'!$L:$L,$K211)</f>
        <v>500</v>
      </c>
      <c r="W211" s="181">
        <f>SUMIFS('FCST data'!Z:Z,'FCST data'!$D:$D,$F211,'FCST data'!$K:$K,$G211,'FCST data'!$L:$L,$K211)</f>
        <v>0</v>
      </c>
      <c r="X211" s="181">
        <f>SUMIFS('FCST data'!AA:AA,'FCST data'!$D:$D,$F211,'FCST data'!$K:$K,$G211,'FCST data'!$L:$L,$K211)</f>
        <v>0</v>
      </c>
      <c r="Y211" s="181">
        <f>SUMIFS('FCST data'!AB:AB,'FCST data'!$D:$D,$F211,'FCST data'!$K:$K,$G211,'FCST data'!$L:$L,$K211)</f>
        <v>0</v>
      </c>
      <c r="Z211" s="148"/>
      <c r="AA211" s="44"/>
      <c r="AC211" s="16">
        <f>E211-SUM(AA212:AB215)</f>
        <v>0</v>
      </c>
      <c r="AD211" s="183"/>
    </row>
    <row r="212" spans="2:32" s="1" customFormat="1" ht="30.6" hidden="1">
      <c r="B212" s="395"/>
      <c r="C212" s="18"/>
      <c r="D212" s="195"/>
      <c r="E212" s="197"/>
      <c r="F212" s="286" t="s">
        <v>875</v>
      </c>
      <c r="G212" s="286" t="s">
        <v>373</v>
      </c>
      <c r="H212" s="284" t="s">
        <v>715</v>
      </c>
      <c r="I212" s="287" t="s">
        <v>718</v>
      </c>
      <c r="J212" s="126" t="s">
        <v>119</v>
      </c>
      <c r="K212" s="287" t="s">
        <v>301</v>
      </c>
      <c r="L212" s="299">
        <v>4</v>
      </c>
      <c r="M212" s="364" t="s">
        <v>548</v>
      </c>
      <c r="N212" s="303"/>
      <c r="O212" s="303"/>
      <c r="P212" s="303"/>
      <c r="Q212" s="303"/>
      <c r="R212" s="303"/>
      <c r="S212" s="303"/>
      <c r="T212" s="303"/>
      <c r="U212" s="303"/>
      <c r="V212" s="303"/>
      <c r="W212" s="303"/>
      <c r="X212" s="303"/>
      <c r="Y212" s="303"/>
      <c r="Z212" s="177">
        <f>SUM(N212:Y212)</f>
        <v>0</v>
      </c>
      <c r="AA212" s="7" t="s">
        <v>396</v>
      </c>
      <c r="AB212" s="16">
        <f>Z212/L212</f>
        <v>0</v>
      </c>
      <c r="AD212" s="286"/>
      <c r="AE212" s="16"/>
      <c r="AF212" s="16"/>
    </row>
    <row r="213" spans="2:32" s="1" customFormat="1" ht="30.6" hidden="1">
      <c r="B213" s="395"/>
      <c r="C213" s="18"/>
      <c r="D213" s="195"/>
      <c r="E213" s="197"/>
      <c r="F213" s="286" t="s">
        <v>875</v>
      </c>
      <c r="G213" s="286" t="s">
        <v>373</v>
      </c>
      <c r="H213" s="284" t="s">
        <v>715</v>
      </c>
      <c r="I213" s="287" t="s">
        <v>718</v>
      </c>
      <c r="J213" s="284" t="s">
        <v>28</v>
      </c>
      <c r="K213" s="287" t="s">
        <v>302</v>
      </c>
      <c r="L213" s="299">
        <v>4</v>
      </c>
      <c r="M213" s="359" t="s">
        <v>549</v>
      </c>
      <c r="N213" s="303"/>
      <c r="O213" s="303"/>
      <c r="P213" s="303"/>
      <c r="Q213" s="446"/>
      <c r="R213" s="446"/>
      <c r="S213" s="446"/>
      <c r="T213" s="303"/>
      <c r="U213" s="303"/>
      <c r="V213" s="303"/>
      <c r="W213" s="303"/>
      <c r="X213" s="303"/>
      <c r="Y213" s="303"/>
      <c r="Z213" s="177">
        <f t="shared" ref="Z213:Z215" si="118">SUM(N213:Y213)*L213</f>
        <v>0</v>
      </c>
      <c r="AA213" s="7">
        <f t="shared" ref="AA213:AA215" si="119">SUM(N213:Y213)</f>
        <v>0</v>
      </c>
      <c r="AD213" s="286"/>
      <c r="AE213" s="16"/>
      <c r="AF213" s="16"/>
    </row>
    <row r="214" spans="2:32" s="1" customFormat="1" ht="15.6" hidden="1">
      <c r="B214" s="395"/>
      <c r="C214" s="18"/>
      <c r="D214" s="195"/>
      <c r="E214" s="197"/>
      <c r="F214" s="286" t="s">
        <v>875</v>
      </c>
      <c r="G214" s="286" t="s">
        <v>373</v>
      </c>
      <c r="H214" s="284" t="s">
        <v>20</v>
      </c>
      <c r="I214" s="287" t="s">
        <v>760</v>
      </c>
      <c r="J214" s="284" t="s">
        <v>28</v>
      </c>
      <c r="K214" s="287" t="s">
        <v>277</v>
      </c>
      <c r="L214" s="299">
        <v>4</v>
      </c>
      <c r="M214" s="365" t="s">
        <v>759</v>
      </c>
      <c r="N214" s="303"/>
      <c r="O214" s="303"/>
      <c r="P214" s="303"/>
      <c r="Q214" s="303">
        <v>200</v>
      </c>
      <c r="R214" s="303">
        <v>500</v>
      </c>
      <c r="S214" s="303">
        <v>500</v>
      </c>
      <c r="T214" s="303">
        <v>500</v>
      </c>
      <c r="U214" s="303">
        <v>500</v>
      </c>
      <c r="V214" s="303">
        <v>500</v>
      </c>
      <c r="W214" s="303"/>
      <c r="X214" s="303"/>
      <c r="Y214" s="303"/>
      <c r="Z214" s="177">
        <f t="shared" si="118"/>
        <v>10800</v>
      </c>
      <c r="AA214" s="7">
        <f t="shared" si="119"/>
        <v>2700</v>
      </c>
      <c r="AD214" s="286"/>
      <c r="AE214" s="16"/>
      <c r="AF214" s="16"/>
    </row>
    <row r="215" spans="2:32" s="1" customFormat="1" ht="15.6" hidden="1">
      <c r="B215" s="395"/>
      <c r="C215" s="18"/>
      <c r="D215" s="195"/>
      <c r="E215" s="197"/>
      <c r="F215" s="286" t="s">
        <v>875</v>
      </c>
      <c r="G215" s="286" t="s">
        <v>373</v>
      </c>
      <c r="H215" s="284" t="s">
        <v>20</v>
      </c>
      <c r="I215" s="284" t="s">
        <v>133</v>
      </c>
      <c r="J215" s="284" t="s">
        <v>28</v>
      </c>
      <c r="K215" s="287" t="s">
        <v>277</v>
      </c>
      <c r="L215" s="299">
        <v>4</v>
      </c>
      <c r="M215" s="365"/>
      <c r="N215" s="303"/>
      <c r="O215" s="303"/>
      <c r="P215" s="303"/>
      <c r="Q215" s="303"/>
      <c r="R215" s="303"/>
      <c r="S215" s="303"/>
      <c r="T215" s="303"/>
      <c r="U215" s="303"/>
      <c r="V215" s="303"/>
      <c r="W215" s="303"/>
      <c r="X215" s="303"/>
      <c r="Y215" s="303"/>
      <c r="Z215" s="177">
        <f t="shared" si="118"/>
        <v>0</v>
      </c>
      <c r="AA215" s="7">
        <f t="shared" si="119"/>
        <v>0</v>
      </c>
      <c r="AD215" s="286"/>
      <c r="AE215" s="16"/>
      <c r="AF215" s="16"/>
    </row>
    <row r="216" spans="2:32" ht="15.6" hidden="1">
      <c r="B216" s="395"/>
      <c r="C216" s="315" t="s">
        <v>769</v>
      </c>
      <c r="D216" s="174" t="s">
        <v>22</v>
      </c>
      <c r="E216" s="181">
        <f>SUM(N216:Y216)</f>
        <v>44700</v>
      </c>
      <c r="F216" s="183" t="s">
        <v>875</v>
      </c>
      <c r="G216" s="183" t="s">
        <v>373</v>
      </c>
      <c r="H216" s="181"/>
      <c r="I216" s="182"/>
      <c r="J216" s="182"/>
      <c r="K216" s="182" t="s">
        <v>283</v>
      </c>
      <c r="L216" s="311"/>
      <c r="M216" s="358"/>
      <c r="N216" s="181">
        <f>SUMIFS('FCST data'!Q:Q,'FCST data'!$D:$D,$F216,'FCST data'!$K:$K,$G216,'FCST data'!$L:$L,$K216)</f>
        <v>0</v>
      </c>
      <c r="O216" s="181">
        <f>SUMIFS('FCST data'!R:R,'FCST data'!$D:$D,$F216,'FCST data'!$K:$K,$G216,'FCST data'!$L:$L,$K216)</f>
        <v>0</v>
      </c>
      <c r="P216" s="181">
        <f>SUMIFS('FCST data'!S:S,'FCST data'!$D:$D,$F216,'FCST data'!$K:$K,$G216,'FCST data'!$L:$L,$K216)</f>
        <v>0</v>
      </c>
      <c r="Q216" s="181">
        <f>SUMIFS('FCST data'!T:T,'FCST data'!$D:$D,$F216,'FCST data'!$K:$K,$G216,'FCST data'!$L:$L,$K216)</f>
        <v>1800</v>
      </c>
      <c r="R216" s="181">
        <f>SUMIFS('FCST data'!U:U,'FCST data'!$D:$D,$F216,'FCST data'!$K:$K,$G216,'FCST data'!$L:$L,$K216)</f>
        <v>7200</v>
      </c>
      <c r="S216" s="181">
        <f>SUMIFS('FCST data'!V:V,'FCST data'!$D:$D,$F216,'FCST data'!$K:$K,$G216,'FCST data'!$L:$L,$K216)</f>
        <v>7200</v>
      </c>
      <c r="T216" s="181">
        <f>SUMIFS('FCST data'!W:W,'FCST data'!$D:$D,$F216,'FCST data'!$K:$K,$G216,'FCST data'!$L:$L,$K216)</f>
        <v>9500</v>
      </c>
      <c r="U216" s="181">
        <f>SUMIFS('FCST data'!X:X,'FCST data'!$D:$D,$F216,'FCST data'!$K:$K,$G216,'FCST data'!$L:$L,$K216)</f>
        <v>9500</v>
      </c>
      <c r="V216" s="181">
        <f>SUMIFS('FCST data'!Y:Y,'FCST data'!$D:$D,$F216,'FCST data'!$K:$K,$G216,'FCST data'!$L:$L,$K216)</f>
        <v>9500</v>
      </c>
      <c r="W216" s="181">
        <f>SUMIFS('FCST data'!Z:Z,'FCST data'!$D:$D,$F216,'FCST data'!$K:$K,$G216,'FCST data'!$L:$L,$K216)</f>
        <v>0</v>
      </c>
      <c r="X216" s="181">
        <f>SUMIFS('FCST data'!AA:AA,'FCST data'!$D:$D,$F216,'FCST data'!$K:$K,$G216,'FCST data'!$L:$L,$K216)</f>
        <v>0</v>
      </c>
      <c r="Y216" s="181">
        <f>SUMIFS('FCST data'!AB:AB,'FCST data'!$D:$D,$F216,'FCST data'!$K:$K,$G216,'FCST data'!$L:$L,$K216)</f>
        <v>0</v>
      </c>
      <c r="Z216" s="148"/>
      <c r="AA216" s="44"/>
      <c r="AC216" s="16">
        <f>E216-SUM(AA217:AB218)</f>
        <v>0</v>
      </c>
      <c r="AD216" s="183"/>
    </row>
    <row r="217" spans="2:32" ht="30.6" hidden="1">
      <c r="B217" s="395"/>
      <c r="C217" s="20"/>
      <c r="D217" s="284"/>
      <c r="E217" s="285"/>
      <c r="F217" s="286" t="s">
        <v>875</v>
      </c>
      <c r="G217" s="286" t="s">
        <v>373</v>
      </c>
      <c r="H217" s="284" t="s">
        <v>715</v>
      </c>
      <c r="I217" s="287" t="s">
        <v>718</v>
      </c>
      <c r="J217" s="126" t="s">
        <v>119</v>
      </c>
      <c r="K217" s="287" t="s">
        <v>283</v>
      </c>
      <c r="L217" s="299">
        <v>4</v>
      </c>
      <c r="M217" s="359" t="s">
        <v>880</v>
      </c>
      <c r="N217" s="291"/>
      <c r="O217" s="291"/>
      <c r="P217" s="291"/>
      <c r="Q217" s="291"/>
      <c r="R217" s="291"/>
      <c r="S217" s="291"/>
      <c r="T217" s="291"/>
      <c r="U217" s="291"/>
      <c r="V217" s="291"/>
      <c r="W217" s="291"/>
      <c r="X217" s="291"/>
      <c r="Y217" s="291"/>
      <c r="Z217" s="177">
        <f>SUM(N217:Y217)</f>
        <v>0</v>
      </c>
      <c r="AA217" s="7" t="s">
        <v>396</v>
      </c>
      <c r="AB217" s="16">
        <f>Z217/L217</f>
        <v>0</v>
      </c>
      <c r="AD217" s="286"/>
    </row>
    <row r="218" spans="2:32">
      <c r="B218" s="395"/>
      <c r="C218" s="20"/>
      <c r="D218" s="284"/>
      <c r="E218" s="285"/>
      <c r="F218" s="286" t="s">
        <v>875</v>
      </c>
      <c r="G218" s="286" t="s">
        <v>373</v>
      </c>
      <c r="H218" s="338" t="s">
        <v>20</v>
      </c>
      <c r="I218" s="287" t="s">
        <v>760</v>
      </c>
      <c r="J218" s="284" t="s">
        <v>28</v>
      </c>
      <c r="K218" s="287" t="s">
        <v>108</v>
      </c>
      <c r="L218" s="299">
        <v>8</v>
      </c>
      <c r="M218" s="365" t="s">
        <v>915</v>
      </c>
      <c r="N218" s="291"/>
      <c r="O218" s="291"/>
      <c r="P218" s="291"/>
      <c r="Q218" s="291">
        <v>1800</v>
      </c>
      <c r="R218" s="291">
        <v>7200</v>
      </c>
      <c r="S218" s="291">
        <v>7200</v>
      </c>
      <c r="T218" s="291">
        <v>9500</v>
      </c>
      <c r="U218" s="291">
        <v>9500</v>
      </c>
      <c r="V218" s="291">
        <v>9500</v>
      </c>
      <c r="W218" s="291"/>
      <c r="X218" s="291"/>
      <c r="Y218" s="291"/>
      <c r="Z218" s="177">
        <f>SUM(N218:Y218)*L218</f>
        <v>357600</v>
      </c>
      <c r="AA218" s="7">
        <f>SUM(N218:Y218)</f>
        <v>44700</v>
      </c>
      <c r="AD218" s="286"/>
    </row>
    <row r="219" spans="2:32" ht="15.6" hidden="1">
      <c r="B219" s="395"/>
      <c r="C219" s="315" t="s">
        <v>769</v>
      </c>
      <c r="D219" s="174" t="s">
        <v>22</v>
      </c>
      <c r="E219" s="181">
        <f>SUM(N219:Y219)</f>
        <v>750</v>
      </c>
      <c r="F219" s="183" t="s">
        <v>875</v>
      </c>
      <c r="G219" s="183" t="s">
        <v>373</v>
      </c>
      <c r="H219" s="181"/>
      <c r="I219" s="182"/>
      <c r="J219" s="182"/>
      <c r="K219" s="182" t="s">
        <v>276</v>
      </c>
      <c r="L219" s="311"/>
      <c r="M219" s="358"/>
      <c r="N219" s="181">
        <f>SUMIFS('FCST data'!Q:Q,'FCST data'!$D:$D,$F219,'FCST data'!$K:$K,$G219,'FCST data'!$L:$L,$K219)</f>
        <v>0</v>
      </c>
      <c r="O219" s="181">
        <f>SUMIFS('FCST data'!R:R,'FCST data'!$D:$D,$F219,'FCST data'!$K:$K,$G219,'FCST data'!$L:$L,$K219)</f>
        <v>0</v>
      </c>
      <c r="P219" s="181">
        <f>SUMIFS('FCST data'!S:S,'FCST data'!$D:$D,$F219,'FCST data'!$K:$K,$G219,'FCST data'!$L:$L,$K219)</f>
        <v>0</v>
      </c>
      <c r="Q219" s="181">
        <f>SUMIFS('FCST data'!T:T,'FCST data'!$D:$D,$F219,'FCST data'!$K:$K,$G219,'FCST data'!$L:$L,$K219)</f>
        <v>100</v>
      </c>
      <c r="R219" s="181">
        <f>SUMIFS('FCST data'!U:U,'FCST data'!$D:$D,$F219,'FCST data'!$K:$K,$G219,'FCST data'!$L:$L,$K219)</f>
        <v>100</v>
      </c>
      <c r="S219" s="181">
        <f>SUMIFS('FCST data'!V:V,'FCST data'!$D:$D,$F219,'FCST data'!$K:$K,$G219,'FCST data'!$L:$L,$K219)</f>
        <v>100</v>
      </c>
      <c r="T219" s="181">
        <f>SUMIFS('FCST data'!W:W,'FCST data'!$D:$D,$F219,'FCST data'!$K:$K,$G219,'FCST data'!$L:$L,$K219)</f>
        <v>150</v>
      </c>
      <c r="U219" s="181">
        <f>SUMIFS('FCST data'!X:X,'FCST data'!$D:$D,$F219,'FCST data'!$K:$K,$G219,'FCST data'!$L:$L,$K219)</f>
        <v>150</v>
      </c>
      <c r="V219" s="181">
        <f>SUMIFS('FCST data'!Y:Y,'FCST data'!$D:$D,$F219,'FCST data'!$K:$K,$G219,'FCST data'!$L:$L,$K219)</f>
        <v>150</v>
      </c>
      <c r="W219" s="181">
        <f>SUMIFS('FCST data'!Z:Z,'FCST data'!$D:$D,$F219,'FCST data'!$K:$K,$G219,'FCST data'!$L:$L,$K219)</f>
        <v>0</v>
      </c>
      <c r="X219" s="181">
        <f>SUMIFS('FCST data'!AA:AA,'FCST data'!$D:$D,$F219,'FCST data'!$K:$K,$G219,'FCST data'!$L:$L,$K219)</f>
        <v>0</v>
      </c>
      <c r="Y219" s="181">
        <f>SUMIFS('FCST data'!AB:AB,'FCST data'!$D:$D,$F219,'FCST data'!$K:$K,$G219,'FCST data'!$L:$L,$K219)</f>
        <v>0</v>
      </c>
      <c r="Z219" s="148"/>
      <c r="AA219" s="44"/>
      <c r="AC219" s="16">
        <f>E219-SUM(AA220:AB222)</f>
        <v>0</v>
      </c>
      <c r="AD219" s="183"/>
    </row>
    <row r="220" spans="2:32" ht="20.399999999999999" hidden="1">
      <c r="B220" s="395"/>
      <c r="C220" s="20"/>
      <c r="D220" s="284"/>
      <c r="E220" s="285"/>
      <c r="F220" s="286" t="s">
        <v>875</v>
      </c>
      <c r="G220" s="286" t="s">
        <v>373</v>
      </c>
      <c r="H220" s="284" t="s">
        <v>715</v>
      </c>
      <c r="I220" s="287" t="s">
        <v>718</v>
      </c>
      <c r="J220" s="284" t="s">
        <v>28</v>
      </c>
      <c r="K220" s="287" t="s">
        <v>246</v>
      </c>
      <c r="L220" s="299">
        <v>4</v>
      </c>
      <c r="M220" s="359" t="s">
        <v>881</v>
      </c>
      <c r="N220" s="291">
        <f>N219*$L$220</f>
        <v>0</v>
      </c>
      <c r="O220" s="291">
        <f t="shared" ref="O220:P220" si="120">O219*$L$220</f>
        <v>0</v>
      </c>
      <c r="P220" s="291">
        <f t="shared" si="120"/>
        <v>0</v>
      </c>
      <c r="Q220" s="291">
        <v>100</v>
      </c>
      <c r="R220" s="291">
        <v>100</v>
      </c>
      <c r="S220" s="291">
        <v>100</v>
      </c>
      <c r="T220" s="291">
        <v>150</v>
      </c>
      <c r="U220" s="291">
        <v>150</v>
      </c>
      <c r="V220" s="291">
        <v>150</v>
      </c>
      <c r="W220" s="291"/>
      <c r="X220" s="291"/>
      <c r="Y220" s="291"/>
      <c r="Z220" s="177">
        <f t="shared" ref="Z220:Z221" si="121">SUM(N220:Y220)*L220</f>
        <v>3000</v>
      </c>
      <c r="AA220" s="7">
        <f t="shared" ref="AA220:AA221" si="122">SUM(N220:Y220)</f>
        <v>750</v>
      </c>
      <c r="AD220" s="286"/>
    </row>
    <row r="221" spans="2:32" hidden="1">
      <c r="B221" s="395"/>
      <c r="C221" s="20"/>
      <c r="D221" s="284"/>
      <c r="E221" s="285"/>
      <c r="F221" s="286" t="s">
        <v>875</v>
      </c>
      <c r="G221" s="286" t="s">
        <v>373</v>
      </c>
      <c r="H221" s="338" t="s">
        <v>20</v>
      </c>
      <c r="I221" s="284" t="s">
        <v>133</v>
      </c>
      <c r="J221" s="284" t="s">
        <v>28</v>
      </c>
      <c r="K221" s="287" t="s">
        <v>246</v>
      </c>
      <c r="L221" s="299">
        <v>4</v>
      </c>
      <c r="M221" s="362"/>
      <c r="N221" s="291"/>
      <c r="O221" s="291"/>
      <c r="P221" s="291"/>
      <c r="Q221" s="291"/>
      <c r="R221" s="291"/>
      <c r="S221" s="291"/>
      <c r="T221" s="291"/>
      <c r="U221" s="291"/>
      <c r="V221" s="291"/>
      <c r="W221" s="291"/>
      <c r="X221" s="291"/>
      <c r="Y221" s="291"/>
      <c r="Z221" s="177">
        <f t="shared" si="121"/>
        <v>0</v>
      </c>
      <c r="AA221" s="7">
        <f t="shared" si="122"/>
        <v>0</v>
      </c>
      <c r="AD221" s="286"/>
    </row>
    <row r="222" spans="2:32" ht="20.399999999999999" hidden="1">
      <c r="B222" s="395"/>
      <c r="C222" s="20"/>
      <c r="D222" s="284"/>
      <c r="E222" s="285"/>
      <c r="F222" s="286" t="s">
        <v>875</v>
      </c>
      <c r="G222" s="286" t="s">
        <v>373</v>
      </c>
      <c r="H222" s="284" t="s">
        <v>715</v>
      </c>
      <c r="I222" s="287" t="s">
        <v>718</v>
      </c>
      <c r="J222" s="126" t="s">
        <v>119</v>
      </c>
      <c r="K222" s="287" t="s">
        <v>304</v>
      </c>
      <c r="L222" s="299">
        <v>8</v>
      </c>
      <c r="M222" s="364" t="s">
        <v>882</v>
      </c>
      <c r="N222" s="291">
        <f>N219*$L$222</f>
        <v>0</v>
      </c>
      <c r="O222" s="291">
        <f t="shared" ref="O222:Y222" si="123">O219*$L$222</f>
        <v>0</v>
      </c>
      <c r="P222" s="291">
        <f t="shared" si="123"/>
        <v>0</v>
      </c>
      <c r="Q222" s="291">
        <f t="shared" si="123"/>
        <v>800</v>
      </c>
      <c r="R222" s="291">
        <f t="shared" si="123"/>
        <v>800</v>
      </c>
      <c r="S222" s="291">
        <f t="shared" si="123"/>
        <v>800</v>
      </c>
      <c r="T222" s="291">
        <f t="shared" si="123"/>
        <v>1200</v>
      </c>
      <c r="U222" s="291">
        <f t="shared" si="123"/>
        <v>1200</v>
      </c>
      <c r="V222" s="291">
        <f t="shared" si="123"/>
        <v>1200</v>
      </c>
      <c r="W222" s="291">
        <f t="shared" si="123"/>
        <v>0</v>
      </c>
      <c r="X222" s="291">
        <f t="shared" si="123"/>
        <v>0</v>
      </c>
      <c r="Y222" s="291">
        <f t="shared" si="123"/>
        <v>0</v>
      </c>
      <c r="Z222" s="177">
        <f>SUM(N222:Y222)</f>
        <v>6000</v>
      </c>
      <c r="AA222" s="7" t="s">
        <v>396</v>
      </c>
      <c r="AD222" s="286"/>
    </row>
    <row r="223" spans="2:32" ht="15.6" hidden="1">
      <c r="B223" s="395"/>
      <c r="C223" s="315" t="s">
        <v>769</v>
      </c>
      <c r="D223" s="174" t="s">
        <v>22</v>
      </c>
      <c r="E223" s="181">
        <f>SUM(N223:Y223)</f>
        <v>1700</v>
      </c>
      <c r="F223" s="175" t="s">
        <v>876</v>
      </c>
      <c r="G223" s="183" t="s">
        <v>373</v>
      </c>
      <c r="H223" s="181"/>
      <c r="I223" s="182"/>
      <c r="J223" s="182"/>
      <c r="K223" s="176" t="s">
        <v>108</v>
      </c>
      <c r="L223" s="306"/>
      <c r="M223" s="363"/>
      <c r="N223" s="181">
        <f>SUMIFS('FCST data'!Q:Q,'FCST data'!$D:$D,$F223,'FCST data'!$K:$K,$G223,'FCST data'!$L:$L,$K223)</f>
        <v>0</v>
      </c>
      <c r="O223" s="181">
        <f>SUMIFS('FCST data'!R:R,'FCST data'!$D:$D,$F223,'FCST data'!$K:$K,$G223,'FCST data'!$L:$L,$K223)</f>
        <v>0</v>
      </c>
      <c r="P223" s="181">
        <f>SUMIFS('FCST data'!S:S,'FCST data'!$D:$D,$F223,'FCST data'!$K:$K,$G223,'FCST data'!$L:$L,$K223)</f>
        <v>0</v>
      </c>
      <c r="Q223" s="181">
        <f>SUMIFS('FCST data'!T:T,'FCST data'!$D:$D,$F223,'FCST data'!$K:$K,$G223,'FCST data'!$L:$L,$K223)</f>
        <v>300</v>
      </c>
      <c r="R223" s="181">
        <f>SUMIFS('FCST data'!U:U,'FCST data'!$D:$D,$F223,'FCST data'!$K:$K,$G223,'FCST data'!$L:$L,$K223)</f>
        <v>300</v>
      </c>
      <c r="S223" s="181">
        <f>SUMIFS('FCST data'!V:V,'FCST data'!$D:$D,$F223,'FCST data'!$K:$K,$G223,'FCST data'!$L:$L,$K223)</f>
        <v>300</v>
      </c>
      <c r="T223" s="181">
        <f>SUMIFS('FCST data'!W:W,'FCST data'!$D:$D,$F223,'FCST data'!$K:$K,$G223,'FCST data'!$L:$L,$K223)</f>
        <v>200</v>
      </c>
      <c r="U223" s="181">
        <f>SUMIFS('FCST data'!X:X,'FCST data'!$D:$D,$F223,'FCST data'!$K:$K,$G223,'FCST data'!$L:$L,$K223)</f>
        <v>300</v>
      </c>
      <c r="V223" s="181">
        <f>SUMIFS('FCST data'!Y:Y,'FCST data'!$D:$D,$F223,'FCST data'!$K:$K,$G223,'FCST data'!$L:$L,$K223)</f>
        <v>300</v>
      </c>
      <c r="W223" s="181">
        <f>SUMIFS('FCST data'!Z:Z,'FCST data'!$D:$D,$F223,'FCST data'!$K:$K,$G223,'FCST data'!$L:$L,$K223)</f>
        <v>0</v>
      </c>
      <c r="X223" s="181">
        <f>SUMIFS('FCST data'!AA:AA,'FCST data'!$D:$D,$F223,'FCST data'!$K:$K,$G223,'FCST data'!$L:$L,$K223)</f>
        <v>0</v>
      </c>
      <c r="Y223" s="181">
        <f>SUMIFS('FCST data'!AB:AB,'FCST data'!$D:$D,$F223,'FCST data'!$K:$K,$G223,'FCST data'!$L:$L,$K223)</f>
        <v>0</v>
      </c>
      <c r="Z223" s="148"/>
      <c r="AA223" s="44"/>
      <c r="AC223" s="16">
        <f>E223-SUM(AA224:AB226)</f>
        <v>0</v>
      </c>
      <c r="AD223" s="183"/>
    </row>
    <row r="224" spans="2:32" ht="20.399999999999999" hidden="1">
      <c r="B224" s="395"/>
      <c r="C224" s="20"/>
      <c r="D224" s="284"/>
      <c r="E224" s="285"/>
      <c r="F224" s="286" t="s">
        <v>876</v>
      </c>
      <c r="G224" s="286" t="s">
        <v>373</v>
      </c>
      <c r="H224" s="284" t="s">
        <v>715</v>
      </c>
      <c r="I224" s="287" t="s">
        <v>718</v>
      </c>
      <c r="J224" s="341" t="s">
        <v>454</v>
      </c>
      <c r="K224" s="287" t="s">
        <v>877</v>
      </c>
      <c r="L224" s="299">
        <v>2</v>
      </c>
      <c r="M224" s="405" t="s">
        <v>878</v>
      </c>
      <c r="N224" s="291">
        <f>N223*$L$224</f>
        <v>0</v>
      </c>
      <c r="O224" s="291">
        <f t="shared" ref="O224:Y224" si="124">O223*$L$224</f>
        <v>0</v>
      </c>
      <c r="P224" s="291">
        <f t="shared" si="124"/>
        <v>0</v>
      </c>
      <c r="Q224" s="291">
        <f t="shared" si="124"/>
        <v>600</v>
      </c>
      <c r="R224" s="291">
        <f t="shared" si="124"/>
        <v>600</v>
      </c>
      <c r="S224" s="291">
        <f t="shared" si="124"/>
        <v>600</v>
      </c>
      <c r="T224" s="291">
        <f t="shared" si="124"/>
        <v>400</v>
      </c>
      <c r="U224" s="291">
        <f t="shared" si="124"/>
        <v>600</v>
      </c>
      <c r="V224" s="291">
        <f t="shared" si="124"/>
        <v>600</v>
      </c>
      <c r="W224" s="291">
        <f t="shared" si="124"/>
        <v>0</v>
      </c>
      <c r="X224" s="291">
        <f t="shared" si="124"/>
        <v>0</v>
      </c>
      <c r="Y224" s="291">
        <f t="shared" si="124"/>
        <v>0</v>
      </c>
      <c r="Z224" s="177">
        <f>SUM(N224:Y224)</f>
        <v>3400</v>
      </c>
      <c r="AA224" s="7" t="s">
        <v>396</v>
      </c>
      <c r="AD224" s="286"/>
    </row>
    <row r="225" spans="2:30" ht="30.6" hidden="1">
      <c r="B225" s="395"/>
      <c r="C225" s="20"/>
      <c r="D225" s="284"/>
      <c r="E225" s="285"/>
      <c r="F225" s="286" t="s">
        <v>876</v>
      </c>
      <c r="G225" s="286" t="s">
        <v>373</v>
      </c>
      <c r="H225" s="284" t="s">
        <v>715</v>
      </c>
      <c r="I225" s="287" t="s">
        <v>718</v>
      </c>
      <c r="J225" s="126" t="s">
        <v>119</v>
      </c>
      <c r="K225" s="287" t="s">
        <v>283</v>
      </c>
      <c r="L225" s="299">
        <v>4</v>
      </c>
      <c r="M225" s="359" t="s">
        <v>879</v>
      </c>
      <c r="N225" s="291"/>
      <c r="O225" s="291"/>
      <c r="P225" s="291"/>
      <c r="Q225" s="291">
        <f>Q223*$L$225</f>
        <v>1200</v>
      </c>
      <c r="R225" s="291">
        <f t="shared" ref="R225:Y225" si="125">R223*$L$225</f>
        <v>1200</v>
      </c>
      <c r="S225" s="291">
        <f t="shared" si="125"/>
        <v>1200</v>
      </c>
      <c r="T225" s="291">
        <f t="shared" si="125"/>
        <v>800</v>
      </c>
      <c r="U225" s="291">
        <f t="shared" si="125"/>
        <v>1200</v>
      </c>
      <c r="V225" s="291">
        <f t="shared" si="125"/>
        <v>1200</v>
      </c>
      <c r="W225" s="291">
        <f t="shared" si="125"/>
        <v>0</v>
      </c>
      <c r="X225" s="291">
        <f t="shared" si="125"/>
        <v>0</v>
      </c>
      <c r="Y225" s="291">
        <f t="shared" si="125"/>
        <v>0</v>
      </c>
      <c r="Z225" s="177">
        <f>SUM(N225:Y225)</f>
        <v>6800</v>
      </c>
      <c r="AA225" s="7" t="s">
        <v>396</v>
      </c>
      <c r="AB225" s="16">
        <f>Z225/L225</f>
        <v>1700</v>
      </c>
      <c r="AD225" s="286"/>
    </row>
    <row r="226" spans="2:30" hidden="1">
      <c r="B226" s="395"/>
      <c r="C226" s="20"/>
      <c r="D226" s="284"/>
      <c r="E226" s="285"/>
      <c r="F226" s="286" t="s">
        <v>876</v>
      </c>
      <c r="G226" s="286" t="s">
        <v>373</v>
      </c>
      <c r="H226" s="338" t="s">
        <v>20</v>
      </c>
      <c r="I226" s="284" t="s">
        <v>133</v>
      </c>
      <c r="J226" s="284" t="s">
        <v>28</v>
      </c>
      <c r="K226" s="287" t="s">
        <v>761</v>
      </c>
      <c r="L226" s="299">
        <v>4</v>
      </c>
      <c r="M226" s="362"/>
      <c r="N226" s="291"/>
      <c r="O226" s="291"/>
      <c r="P226" s="291"/>
      <c r="Q226" s="291"/>
      <c r="R226" s="291"/>
      <c r="S226" s="291"/>
      <c r="T226" s="291"/>
      <c r="U226" s="291"/>
      <c r="V226" s="291"/>
      <c r="W226" s="291"/>
      <c r="X226" s="291"/>
      <c r="Y226" s="291"/>
      <c r="Z226" s="177">
        <f>SUM(N226:Y226)*L226</f>
        <v>0</v>
      </c>
      <c r="AA226" s="7">
        <f>SUM(N226:Y226)</f>
        <v>0</v>
      </c>
      <c r="AD226" s="286"/>
    </row>
    <row r="227" spans="2:30" ht="30.6" hidden="1">
      <c r="B227" s="395"/>
      <c r="C227" s="20"/>
      <c r="D227" s="284"/>
      <c r="E227" s="285"/>
      <c r="F227" s="286" t="s">
        <v>876</v>
      </c>
      <c r="G227" s="286" t="s">
        <v>373</v>
      </c>
      <c r="H227" s="284" t="s">
        <v>715</v>
      </c>
      <c r="I227" s="287" t="s">
        <v>718</v>
      </c>
      <c r="J227" s="126" t="s">
        <v>119</v>
      </c>
      <c r="K227" s="287" t="s">
        <v>301</v>
      </c>
      <c r="L227" s="299">
        <v>4</v>
      </c>
      <c r="M227" s="364" t="s">
        <v>548</v>
      </c>
      <c r="N227" s="291"/>
      <c r="O227" s="291"/>
      <c r="P227" s="291"/>
      <c r="Q227" s="291"/>
      <c r="R227" s="291"/>
      <c r="S227" s="291"/>
      <c r="T227" s="291"/>
      <c r="U227" s="291"/>
      <c r="V227" s="291"/>
      <c r="W227" s="291"/>
      <c r="X227" s="291"/>
      <c r="Y227" s="291"/>
      <c r="Z227" s="177">
        <f>SUM(N227:Y227)</f>
        <v>0</v>
      </c>
      <c r="AA227" s="7" t="s">
        <v>396</v>
      </c>
      <c r="AD227" s="286"/>
    </row>
    <row r="228" spans="2:30" ht="15.6" hidden="1">
      <c r="B228" s="395"/>
      <c r="C228" s="315" t="s">
        <v>769</v>
      </c>
      <c r="D228" s="174" t="s">
        <v>22</v>
      </c>
      <c r="E228" s="181">
        <f>SUM(N228:Y228)</f>
        <v>4600</v>
      </c>
      <c r="F228" s="175" t="s">
        <v>910</v>
      </c>
      <c r="G228" s="175" t="s">
        <v>622</v>
      </c>
      <c r="H228" s="181"/>
      <c r="I228" s="182"/>
      <c r="J228" s="182"/>
      <c r="K228" s="182" t="s">
        <v>108</v>
      </c>
      <c r="L228" s="311"/>
      <c r="M228" s="358"/>
      <c r="N228" s="181">
        <f>SUMIFS('FCST data'!Q:Q,'FCST data'!$D:$D,$F228,'FCST data'!$K:$K,$G228,'FCST data'!$L:$L,$K228)</f>
        <v>0</v>
      </c>
      <c r="O228" s="181">
        <f>SUMIFS('FCST data'!R:R,'FCST data'!$D:$D,$F228,'FCST data'!$K:$K,$G228,'FCST data'!$L:$L,$K228)</f>
        <v>0</v>
      </c>
      <c r="P228" s="181">
        <f>SUMIFS('FCST data'!S:S,'FCST data'!$D:$D,$F228,'FCST data'!$K:$K,$G228,'FCST data'!$L:$L,$K228)</f>
        <v>0</v>
      </c>
      <c r="Q228" s="181">
        <f>SUMIFS('FCST data'!T:T,'FCST data'!$D:$D,$F228,'FCST data'!$K:$K,$G228,'FCST data'!$L:$L,$K228)</f>
        <v>700</v>
      </c>
      <c r="R228" s="181">
        <f>SUMIFS('FCST data'!U:U,'FCST data'!$D:$D,$F228,'FCST data'!$K:$K,$G228,'FCST data'!$L:$L,$K228)</f>
        <v>700</v>
      </c>
      <c r="S228" s="181">
        <f>SUMIFS('FCST data'!V:V,'FCST data'!$D:$D,$F228,'FCST data'!$K:$K,$G228,'FCST data'!$L:$L,$K228)</f>
        <v>700</v>
      </c>
      <c r="T228" s="181">
        <f>SUMIFS('FCST data'!W:W,'FCST data'!$D:$D,$F228,'FCST data'!$K:$K,$G228,'FCST data'!$L:$L,$K228)</f>
        <v>700</v>
      </c>
      <c r="U228" s="181">
        <f>SUMIFS('FCST data'!X:X,'FCST data'!$D:$D,$F228,'FCST data'!$K:$K,$G228,'FCST data'!$L:$L,$K228)</f>
        <v>900</v>
      </c>
      <c r="V228" s="181">
        <f>SUMIFS('FCST data'!Y:Y,'FCST data'!$D:$D,$F228,'FCST data'!$K:$K,$G228,'FCST data'!$L:$L,$K228)</f>
        <v>900</v>
      </c>
      <c r="W228" s="181">
        <f>SUMIFS('FCST data'!Z:Z,'FCST data'!$D:$D,$F228,'FCST data'!$K:$K,$G228,'FCST data'!$L:$L,$K228)</f>
        <v>0</v>
      </c>
      <c r="X228" s="181">
        <f>SUMIFS('FCST data'!AA:AA,'FCST data'!$D:$D,$F228,'FCST data'!$K:$K,$G228,'FCST data'!$L:$L,$K228)</f>
        <v>0</v>
      </c>
      <c r="Y228" s="181">
        <f>SUMIFS('FCST data'!AB:AB,'FCST data'!$D:$D,$F228,'FCST data'!$K:$K,$G228,'FCST data'!$L:$L,$K228)</f>
        <v>0</v>
      </c>
      <c r="Z228" s="148"/>
      <c r="AA228" s="44"/>
      <c r="AC228" s="16">
        <f>E228-SUM(AA229:AB230)</f>
        <v>0</v>
      </c>
      <c r="AD228" s="183"/>
    </row>
    <row r="229" spans="2:30" ht="20.399999999999999" hidden="1">
      <c r="B229" s="395"/>
      <c r="C229" s="20"/>
      <c r="D229" s="284"/>
      <c r="E229" s="285"/>
      <c r="F229" s="286" t="s">
        <v>910</v>
      </c>
      <c r="G229" s="286" t="s">
        <v>622</v>
      </c>
      <c r="H229" s="284" t="s">
        <v>715</v>
      </c>
      <c r="I229" s="287" t="s">
        <v>718</v>
      </c>
      <c r="J229" s="126" t="s">
        <v>119</v>
      </c>
      <c r="K229" s="287" t="s">
        <v>283</v>
      </c>
      <c r="L229" s="299">
        <v>4</v>
      </c>
      <c r="M229" s="359" t="s">
        <v>911</v>
      </c>
      <c r="N229" s="291"/>
      <c r="O229" s="291"/>
      <c r="P229" s="291"/>
      <c r="Q229" s="291">
        <f>Q228*$L$229</f>
        <v>2800</v>
      </c>
      <c r="R229" s="291">
        <f t="shared" ref="R229:Y229" si="126">R228*$L$229</f>
        <v>2800</v>
      </c>
      <c r="S229" s="291">
        <f t="shared" si="126"/>
        <v>2800</v>
      </c>
      <c r="T229" s="291">
        <f t="shared" si="126"/>
        <v>2800</v>
      </c>
      <c r="U229" s="291">
        <f t="shared" si="126"/>
        <v>3600</v>
      </c>
      <c r="V229" s="291">
        <f t="shared" si="126"/>
        <v>3600</v>
      </c>
      <c r="W229" s="291">
        <f t="shared" si="126"/>
        <v>0</v>
      </c>
      <c r="X229" s="291">
        <f t="shared" si="126"/>
        <v>0</v>
      </c>
      <c r="Y229" s="291">
        <f t="shared" si="126"/>
        <v>0</v>
      </c>
      <c r="Z229" s="177">
        <f t="shared" ref="Z229:Z230" si="127">SUM(N229:Y229)</f>
        <v>18400</v>
      </c>
      <c r="AA229" s="7" t="s">
        <v>396</v>
      </c>
      <c r="AB229" s="16">
        <f>Z229/L229</f>
        <v>4600</v>
      </c>
      <c r="AD229" s="286"/>
    </row>
    <row r="230" spans="2:30" hidden="1">
      <c r="B230" s="395"/>
      <c r="C230" s="20"/>
      <c r="D230" s="284"/>
      <c r="E230" s="285"/>
      <c r="F230" s="286" t="s">
        <v>910</v>
      </c>
      <c r="G230" s="286" t="s">
        <v>622</v>
      </c>
      <c r="H230" s="284" t="s">
        <v>715</v>
      </c>
      <c r="I230" s="287" t="s">
        <v>718</v>
      </c>
      <c r="J230" s="126" t="s">
        <v>119</v>
      </c>
      <c r="K230" s="287" t="s">
        <v>283</v>
      </c>
      <c r="L230" s="299">
        <v>4</v>
      </c>
      <c r="M230" s="364"/>
      <c r="N230" s="291"/>
      <c r="O230" s="291"/>
      <c r="P230" s="291"/>
      <c r="Q230" s="291"/>
      <c r="R230" s="291"/>
      <c r="S230" s="291"/>
      <c r="T230" s="291"/>
      <c r="U230" s="291"/>
      <c r="V230" s="291"/>
      <c r="W230" s="291"/>
      <c r="X230" s="291"/>
      <c r="Y230" s="291"/>
      <c r="Z230" s="177">
        <f t="shared" si="127"/>
        <v>0</v>
      </c>
      <c r="AA230" s="7" t="s">
        <v>396</v>
      </c>
      <c r="AB230" s="16">
        <f>Z230/L230</f>
        <v>0</v>
      </c>
      <c r="AD230" s="286"/>
    </row>
    <row r="231" spans="2:30" ht="15.6" hidden="1">
      <c r="B231" s="395"/>
      <c r="C231" s="315" t="s">
        <v>769</v>
      </c>
      <c r="D231" s="174" t="s">
        <v>22</v>
      </c>
      <c r="E231" s="181">
        <f>SUM(N231:Y231)</f>
        <v>3600</v>
      </c>
      <c r="F231" s="175" t="s">
        <v>910</v>
      </c>
      <c r="G231" s="175" t="s">
        <v>622</v>
      </c>
      <c r="H231" s="181"/>
      <c r="I231" s="182"/>
      <c r="J231" s="182"/>
      <c r="K231" s="182" t="s">
        <v>276</v>
      </c>
      <c r="L231" s="311"/>
      <c r="M231" s="358"/>
      <c r="N231" s="181">
        <f>SUMIFS('FCST data'!Q:Q,'FCST data'!$D:$D,$F231,'FCST data'!$K:$K,$G231,'FCST data'!$L:$L,$K231)</f>
        <v>0</v>
      </c>
      <c r="O231" s="181">
        <f>SUMIFS('FCST data'!R:R,'FCST data'!$D:$D,$F231,'FCST data'!$K:$K,$G231,'FCST data'!$L:$L,$K231)</f>
        <v>0</v>
      </c>
      <c r="P231" s="181">
        <f>SUMIFS('FCST data'!S:S,'FCST data'!$D:$D,$F231,'FCST data'!$K:$K,$G231,'FCST data'!$L:$L,$K231)</f>
        <v>0</v>
      </c>
      <c r="Q231" s="181">
        <f>SUMIFS('FCST data'!T:T,'FCST data'!$D:$D,$F231,'FCST data'!$K:$K,$G231,'FCST data'!$L:$L,$K231)</f>
        <v>500</v>
      </c>
      <c r="R231" s="181">
        <f>SUMIFS('FCST data'!U:U,'FCST data'!$D:$D,$F231,'FCST data'!$K:$K,$G231,'FCST data'!$L:$L,$K231)</f>
        <v>500</v>
      </c>
      <c r="S231" s="181">
        <f>SUMIFS('FCST data'!V:V,'FCST data'!$D:$D,$F231,'FCST data'!$K:$K,$G231,'FCST data'!$L:$L,$K231)</f>
        <v>500</v>
      </c>
      <c r="T231" s="181">
        <f>SUMIFS('FCST data'!W:W,'FCST data'!$D:$D,$F231,'FCST data'!$K:$K,$G231,'FCST data'!$L:$L,$K231)</f>
        <v>700</v>
      </c>
      <c r="U231" s="181">
        <f>SUMIFS('FCST data'!X:X,'FCST data'!$D:$D,$F231,'FCST data'!$K:$K,$G231,'FCST data'!$L:$L,$K231)</f>
        <v>700</v>
      </c>
      <c r="V231" s="181">
        <f>SUMIFS('FCST data'!Y:Y,'FCST data'!$D:$D,$F231,'FCST data'!$K:$K,$G231,'FCST data'!$L:$L,$K231)</f>
        <v>700</v>
      </c>
      <c r="W231" s="181">
        <f>SUMIFS('FCST data'!Z:Z,'FCST data'!$D:$D,$F231,'FCST data'!$K:$K,$G231,'FCST data'!$L:$L,$K231)</f>
        <v>0</v>
      </c>
      <c r="X231" s="181">
        <f>SUMIFS('FCST data'!AA:AA,'FCST data'!$D:$D,$F231,'FCST data'!$K:$K,$G231,'FCST data'!$L:$L,$K231)</f>
        <v>0</v>
      </c>
      <c r="Y231" s="181">
        <f>SUMIFS('FCST data'!AB:AB,'FCST data'!$D:$D,$F231,'FCST data'!$K:$K,$G231,'FCST data'!$L:$L,$K231)</f>
        <v>0</v>
      </c>
      <c r="Z231" s="148"/>
      <c r="AA231" s="44"/>
      <c r="AC231" s="16">
        <f>E231-SUM(AA232:AB234)</f>
        <v>0</v>
      </c>
      <c r="AD231" s="183"/>
    </row>
    <row r="232" spans="2:30" ht="20.399999999999999" hidden="1">
      <c r="B232" s="395"/>
      <c r="C232" s="20"/>
      <c r="D232" s="284"/>
      <c r="E232" s="285"/>
      <c r="F232" s="286" t="s">
        <v>910</v>
      </c>
      <c r="G232" s="286" t="s">
        <v>622</v>
      </c>
      <c r="H232" s="284" t="s">
        <v>715</v>
      </c>
      <c r="I232" s="287" t="s">
        <v>718</v>
      </c>
      <c r="J232" s="284" t="s">
        <v>28</v>
      </c>
      <c r="K232" s="287" t="s">
        <v>246</v>
      </c>
      <c r="L232" s="299">
        <v>8</v>
      </c>
      <c r="M232" s="359" t="s">
        <v>912</v>
      </c>
      <c r="N232" s="291"/>
      <c r="O232" s="291"/>
      <c r="P232" s="291"/>
      <c r="Q232" s="291">
        <v>500</v>
      </c>
      <c r="R232" s="291">
        <v>500</v>
      </c>
      <c r="S232" s="291">
        <v>500</v>
      </c>
      <c r="T232" s="291">
        <v>700</v>
      </c>
      <c r="U232" s="291">
        <v>700</v>
      </c>
      <c r="V232" s="291">
        <v>700</v>
      </c>
      <c r="W232" s="291"/>
      <c r="X232" s="291"/>
      <c r="Y232" s="291"/>
      <c r="Z232" s="177">
        <f t="shared" ref="Z232:Z233" si="128">SUM(N232:Y232)*L232</f>
        <v>28800</v>
      </c>
      <c r="AA232" s="7">
        <f t="shared" ref="AA232:AA233" si="129">SUM(N232:Y232)</f>
        <v>3600</v>
      </c>
      <c r="AD232" s="286"/>
    </row>
    <row r="233" spans="2:30" hidden="1">
      <c r="B233" s="395"/>
      <c r="C233" s="20"/>
      <c r="D233" s="284"/>
      <c r="E233" s="285"/>
      <c r="F233" s="286" t="s">
        <v>910</v>
      </c>
      <c r="G233" s="286" t="s">
        <v>622</v>
      </c>
      <c r="H233" s="338" t="s">
        <v>20</v>
      </c>
      <c r="I233" s="284" t="s">
        <v>133</v>
      </c>
      <c r="J233" s="284" t="s">
        <v>28</v>
      </c>
      <c r="K233" s="287" t="s">
        <v>246</v>
      </c>
      <c r="L233" s="299">
        <v>4</v>
      </c>
      <c r="M233" s="362"/>
      <c r="N233" s="291"/>
      <c r="O233" s="291"/>
      <c r="P233" s="291"/>
      <c r="Q233" s="291"/>
      <c r="R233" s="291"/>
      <c r="S233" s="291"/>
      <c r="T233" s="291"/>
      <c r="U233" s="291"/>
      <c r="V233" s="291"/>
      <c r="W233" s="291"/>
      <c r="X233" s="291"/>
      <c r="Y233" s="291"/>
      <c r="Z233" s="177">
        <f t="shared" si="128"/>
        <v>0</v>
      </c>
      <c r="AA233" s="7">
        <f t="shared" si="129"/>
        <v>0</v>
      </c>
      <c r="AD233" s="286"/>
    </row>
    <row r="234" spans="2:30" ht="20.399999999999999" hidden="1">
      <c r="B234" s="395"/>
      <c r="C234" s="20"/>
      <c r="D234" s="284"/>
      <c r="E234" s="285"/>
      <c r="F234" s="286" t="s">
        <v>910</v>
      </c>
      <c r="G234" s="286" t="s">
        <v>622</v>
      </c>
      <c r="H234" s="284" t="s">
        <v>715</v>
      </c>
      <c r="I234" s="287" t="s">
        <v>718</v>
      </c>
      <c r="J234" s="126" t="s">
        <v>119</v>
      </c>
      <c r="K234" s="287" t="s">
        <v>304</v>
      </c>
      <c r="L234" s="299">
        <v>4</v>
      </c>
      <c r="M234" s="359" t="s">
        <v>911</v>
      </c>
      <c r="N234" s="291"/>
      <c r="O234" s="291"/>
      <c r="P234" s="291"/>
      <c r="Q234" s="291">
        <f>Q231*$L$234</f>
        <v>2000</v>
      </c>
      <c r="R234" s="291">
        <f t="shared" ref="R234:Y234" si="130">R231*$L$234</f>
        <v>2000</v>
      </c>
      <c r="S234" s="291">
        <f t="shared" si="130"/>
        <v>2000</v>
      </c>
      <c r="T234" s="291">
        <f t="shared" si="130"/>
        <v>2800</v>
      </c>
      <c r="U234" s="291">
        <f t="shared" si="130"/>
        <v>2800</v>
      </c>
      <c r="V234" s="291">
        <f t="shared" si="130"/>
        <v>2800</v>
      </c>
      <c r="W234" s="291">
        <f t="shared" si="130"/>
        <v>0</v>
      </c>
      <c r="X234" s="291">
        <f t="shared" si="130"/>
        <v>0</v>
      </c>
      <c r="Y234" s="291">
        <f t="shared" si="130"/>
        <v>0</v>
      </c>
      <c r="Z234" s="177">
        <f>SUM(N234:Y234)</f>
        <v>14400</v>
      </c>
      <c r="AA234" s="7" t="s">
        <v>396</v>
      </c>
      <c r="AD234" s="286"/>
    </row>
    <row r="235" spans="2:30" ht="15.6" hidden="1">
      <c r="B235" s="395"/>
      <c r="C235" s="315" t="s">
        <v>769</v>
      </c>
      <c r="D235" s="174" t="s">
        <v>22</v>
      </c>
      <c r="E235" s="181">
        <f>SUM(N235:Y235)</f>
        <v>1200</v>
      </c>
      <c r="F235" s="175" t="s">
        <v>1016</v>
      </c>
      <c r="G235" s="175" t="s">
        <v>530</v>
      </c>
      <c r="H235" s="181"/>
      <c r="I235" s="182"/>
      <c r="J235" s="182"/>
      <c r="K235" s="182" t="s">
        <v>108</v>
      </c>
      <c r="L235" s="311"/>
      <c r="M235" s="358"/>
      <c r="N235" s="181">
        <f>SUMIFS('FCST data'!Q:Q,'FCST data'!$D:$D,$F235,'FCST data'!$K:$K,$G235,'FCST data'!$L:$L,$K235)</f>
        <v>0</v>
      </c>
      <c r="O235" s="181">
        <f>SUMIFS('FCST data'!R:R,'FCST data'!$D:$D,$F235,'FCST data'!$K:$K,$G235,'FCST data'!$L:$L,$K235)</f>
        <v>0</v>
      </c>
      <c r="P235" s="181">
        <f>SUMIFS('FCST data'!S:S,'FCST data'!$D:$D,$F235,'FCST data'!$K:$K,$G235,'FCST data'!$L:$L,$K235)</f>
        <v>0</v>
      </c>
      <c r="Q235" s="181">
        <f>SUMIFS('FCST data'!T:T,'FCST data'!$D:$D,$F235,'FCST data'!$K:$K,$G235,'FCST data'!$L:$L,$K235)</f>
        <v>0</v>
      </c>
      <c r="R235" s="181">
        <f>SUMIFS('FCST data'!U:U,'FCST data'!$D:$D,$F235,'FCST data'!$K:$K,$G235,'FCST data'!$L:$L,$K235)</f>
        <v>200</v>
      </c>
      <c r="S235" s="181">
        <f>SUMIFS('FCST data'!V:V,'FCST data'!$D:$D,$F235,'FCST data'!$K:$K,$G235,'FCST data'!$L:$L,$K235)</f>
        <v>200</v>
      </c>
      <c r="T235" s="181">
        <f>SUMIFS('FCST data'!W:W,'FCST data'!$D:$D,$F235,'FCST data'!$K:$K,$G235,'FCST data'!$L:$L,$K235)</f>
        <v>200</v>
      </c>
      <c r="U235" s="181">
        <f>SUMIFS('FCST data'!X:X,'FCST data'!$D:$D,$F235,'FCST data'!$K:$K,$G235,'FCST data'!$L:$L,$K235)</f>
        <v>300</v>
      </c>
      <c r="V235" s="181">
        <f>SUMIFS('FCST data'!Y:Y,'FCST data'!$D:$D,$F235,'FCST data'!$K:$K,$G235,'FCST data'!$L:$L,$K235)</f>
        <v>300</v>
      </c>
      <c r="W235" s="181">
        <f>SUMIFS('FCST data'!Z:Z,'FCST data'!$D:$D,$F235,'FCST data'!$K:$K,$G235,'FCST data'!$L:$L,$K235)</f>
        <v>0</v>
      </c>
      <c r="X235" s="181">
        <f>SUMIFS('FCST data'!AA:AA,'FCST data'!$D:$D,$F235,'FCST data'!$K:$K,$G235,'FCST data'!$L:$L,$K235)</f>
        <v>0</v>
      </c>
      <c r="Y235" s="181">
        <f>SUMIFS('FCST data'!AB:AB,'FCST data'!$D:$D,$F235,'FCST data'!$K:$K,$G235,'FCST data'!$L:$L,$K235)</f>
        <v>0</v>
      </c>
      <c r="Z235" s="148"/>
      <c r="AA235" s="44"/>
      <c r="AC235" s="16">
        <f>E235-SUM(AA237:AB238)</f>
        <v>0</v>
      </c>
      <c r="AD235" s="183"/>
    </row>
    <row r="236" spans="2:30" ht="20.399999999999999" hidden="1">
      <c r="B236" s="395"/>
      <c r="C236" s="20"/>
      <c r="D236" s="284"/>
      <c r="E236" s="285"/>
      <c r="F236" s="286" t="s">
        <v>1016</v>
      </c>
      <c r="G236" s="286" t="s">
        <v>530</v>
      </c>
      <c r="H236" s="284" t="s">
        <v>715</v>
      </c>
      <c r="I236" s="287" t="s">
        <v>718</v>
      </c>
      <c r="J236" s="341" t="s">
        <v>454</v>
      </c>
      <c r="K236" s="287" t="s">
        <v>456</v>
      </c>
      <c r="L236" s="299">
        <v>4</v>
      </c>
      <c r="M236" s="405" t="s">
        <v>1041</v>
      </c>
      <c r="N236" s="291"/>
      <c r="O236" s="291"/>
      <c r="P236" s="291"/>
      <c r="Q236" s="291">
        <f>Q235*$L$236</f>
        <v>0</v>
      </c>
      <c r="R236" s="291">
        <f t="shared" ref="R236:Y236" si="131">R235*$L$236</f>
        <v>800</v>
      </c>
      <c r="S236" s="291">
        <f t="shared" si="131"/>
        <v>800</v>
      </c>
      <c r="T236" s="291">
        <f t="shared" si="131"/>
        <v>800</v>
      </c>
      <c r="U236" s="291">
        <f t="shared" si="131"/>
        <v>1200</v>
      </c>
      <c r="V236" s="291">
        <f t="shared" si="131"/>
        <v>1200</v>
      </c>
      <c r="W236" s="291">
        <f t="shared" si="131"/>
        <v>0</v>
      </c>
      <c r="X236" s="291">
        <f t="shared" si="131"/>
        <v>0</v>
      </c>
      <c r="Y236" s="291">
        <f t="shared" si="131"/>
        <v>0</v>
      </c>
      <c r="Z236" s="177">
        <f>SUM(N236:Y236)</f>
        <v>4800</v>
      </c>
      <c r="AA236" s="7" t="s">
        <v>396</v>
      </c>
      <c r="AD236" s="183"/>
    </row>
    <row r="237" spans="2:30" ht="20.399999999999999" hidden="1">
      <c r="B237" s="395"/>
      <c r="C237" s="20"/>
      <c r="D237" s="284"/>
      <c r="E237" s="285"/>
      <c r="F237" s="286" t="s">
        <v>1016</v>
      </c>
      <c r="G237" s="286" t="s">
        <v>530</v>
      </c>
      <c r="H237" s="284" t="s">
        <v>715</v>
      </c>
      <c r="I237" s="287" t="s">
        <v>718</v>
      </c>
      <c r="J237" s="284" t="s">
        <v>28</v>
      </c>
      <c r="K237" s="287" t="s">
        <v>108</v>
      </c>
      <c r="L237" s="299">
        <v>8</v>
      </c>
      <c r="M237" s="359" t="s">
        <v>977</v>
      </c>
      <c r="N237" s="291"/>
      <c r="O237" s="291"/>
      <c r="P237" s="291"/>
      <c r="Q237" s="291"/>
      <c r="R237" s="291">
        <v>200</v>
      </c>
      <c r="S237" s="291">
        <v>200</v>
      </c>
      <c r="T237" s="291">
        <v>200</v>
      </c>
      <c r="U237" s="291">
        <v>300</v>
      </c>
      <c r="V237" s="291">
        <v>300</v>
      </c>
      <c r="W237" s="291"/>
      <c r="X237" s="291"/>
      <c r="Y237" s="291"/>
      <c r="Z237" s="177">
        <f t="shared" ref="Z237:Z238" si="132">SUM(N237:Y237)*L237</f>
        <v>9600</v>
      </c>
      <c r="AA237" s="7">
        <f t="shared" ref="AA237:AA238" si="133">SUM(N237:Y237)</f>
        <v>1200</v>
      </c>
      <c r="AD237" s="286"/>
    </row>
    <row r="238" spans="2:30" hidden="1">
      <c r="B238" s="395"/>
      <c r="C238" s="20"/>
      <c r="D238" s="284"/>
      <c r="E238" s="285"/>
      <c r="F238" s="286" t="s">
        <v>1016</v>
      </c>
      <c r="G238" s="286" t="s">
        <v>530</v>
      </c>
      <c r="H238" s="338" t="s">
        <v>20</v>
      </c>
      <c r="I238" s="287" t="s">
        <v>718</v>
      </c>
      <c r="J238" s="284" t="s">
        <v>28</v>
      </c>
      <c r="K238" s="287" t="s">
        <v>108</v>
      </c>
      <c r="L238" s="299">
        <v>8</v>
      </c>
      <c r="M238" s="364"/>
      <c r="N238" s="291"/>
      <c r="O238" s="291"/>
      <c r="P238" s="291"/>
      <c r="Q238" s="291"/>
      <c r="R238" s="291"/>
      <c r="S238" s="291"/>
      <c r="T238" s="291"/>
      <c r="U238" s="291"/>
      <c r="V238" s="291"/>
      <c r="W238" s="291"/>
      <c r="X238" s="291"/>
      <c r="Y238" s="291"/>
      <c r="Z238" s="177">
        <f t="shared" si="132"/>
        <v>0</v>
      </c>
      <c r="AA238" s="7">
        <f t="shared" si="133"/>
        <v>0</v>
      </c>
      <c r="AD238" s="286"/>
    </row>
    <row r="239" spans="2:30" ht="15.6" hidden="1">
      <c r="B239" s="395"/>
      <c r="C239" s="315" t="s">
        <v>769</v>
      </c>
      <c r="D239" s="174" t="s">
        <v>22</v>
      </c>
      <c r="E239" s="181">
        <f>SUM(N239:Y239)</f>
        <v>500</v>
      </c>
      <c r="F239" s="175" t="s">
        <v>1016</v>
      </c>
      <c r="G239" s="175" t="s">
        <v>530</v>
      </c>
      <c r="H239" s="181"/>
      <c r="I239" s="182"/>
      <c r="J239" s="182"/>
      <c r="K239" s="182" t="s">
        <v>276</v>
      </c>
      <c r="L239" s="311"/>
      <c r="M239" s="358"/>
      <c r="N239" s="181">
        <f>SUMIFS('FCST data'!Q:Q,'FCST data'!$D:$D,$F239,'FCST data'!$K:$K,$G239,'FCST data'!$L:$L,$K239)</f>
        <v>0</v>
      </c>
      <c r="O239" s="181">
        <f>SUMIFS('FCST data'!R:R,'FCST data'!$D:$D,$F239,'FCST data'!$K:$K,$G239,'FCST data'!$L:$L,$K239)</f>
        <v>0</v>
      </c>
      <c r="P239" s="181">
        <f>SUMIFS('FCST data'!S:S,'FCST data'!$D:$D,$F239,'FCST data'!$K:$K,$G239,'FCST data'!$L:$L,$K239)</f>
        <v>0</v>
      </c>
      <c r="Q239" s="181">
        <f>SUMIFS('FCST data'!T:T,'FCST data'!$D:$D,$F239,'FCST data'!$K:$K,$G239,'FCST data'!$L:$L,$K239)</f>
        <v>0</v>
      </c>
      <c r="R239" s="181">
        <f>SUMIFS('FCST data'!U:U,'FCST data'!$D:$D,$F239,'FCST data'!$K:$K,$G239,'FCST data'!$L:$L,$K239)</f>
        <v>100</v>
      </c>
      <c r="S239" s="181">
        <f>SUMIFS('FCST data'!V:V,'FCST data'!$D:$D,$F239,'FCST data'!$K:$K,$G239,'FCST data'!$L:$L,$K239)</f>
        <v>100</v>
      </c>
      <c r="T239" s="181">
        <f>SUMIFS('FCST data'!W:W,'FCST data'!$D:$D,$F239,'FCST data'!$K:$K,$G239,'FCST data'!$L:$L,$K239)</f>
        <v>100</v>
      </c>
      <c r="U239" s="181">
        <f>SUMIFS('FCST data'!X:X,'FCST data'!$D:$D,$F239,'FCST data'!$K:$K,$G239,'FCST data'!$L:$L,$K239)</f>
        <v>100</v>
      </c>
      <c r="V239" s="181">
        <f>SUMIFS('FCST data'!Y:Y,'FCST data'!$D:$D,$F239,'FCST data'!$K:$K,$G239,'FCST data'!$L:$L,$K239)</f>
        <v>100</v>
      </c>
      <c r="W239" s="181">
        <f>SUMIFS('FCST data'!Z:Z,'FCST data'!$D:$D,$F239,'FCST data'!$K:$K,$G239,'FCST data'!$L:$L,$K239)</f>
        <v>0</v>
      </c>
      <c r="X239" s="181">
        <f>SUMIFS('FCST data'!AA:AA,'FCST data'!$D:$D,$F239,'FCST data'!$K:$K,$G239,'FCST data'!$L:$L,$K239)</f>
        <v>0</v>
      </c>
      <c r="Y239" s="181">
        <f>SUMIFS('FCST data'!AB:AB,'FCST data'!$D:$D,$F239,'FCST data'!$K:$K,$G239,'FCST data'!$L:$L,$K239)</f>
        <v>0</v>
      </c>
      <c r="Z239" s="148"/>
      <c r="AA239" s="44"/>
      <c r="AC239" s="16">
        <f>E239-SUM(AA241:AB242)</f>
        <v>0</v>
      </c>
      <c r="AD239" s="183"/>
    </row>
    <row r="240" spans="2:30" ht="20.399999999999999" hidden="1">
      <c r="B240" s="395"/>
      <c r="C240" s="20"/>
      <c r="D240" s="284"/>
      <c r="E240" s="285"/>
      <c r="F240" s="286" t="s">
        <v>1016</v>
      </c>
      <c r="G240" s="286" t="s">
        <v>530</v>
      </c>
      <c r="H240" s="284" t="s">
        <v>715</v>
      </c>
      <c r="I240" s="287" t="s">
        <v>718</v>
      </c>
      <c r="J240" s="341" t="s">
        <v>454</v>
      </c>
      <c r="K240" s="287" t="s">
        <v>456</v>
      </c>
      <c r="L240" s="299">
        <v>4</v>
      </c>
      <c r="M240" s="405" t="s">
        <v>1041</v>
      </c>
      <c r="N240" s="291"/>
      <c r="O240" s="291"/>
      <c r="P240" s="291"/>
      <c r="Q240" s="291">
        <f>Q239*$L$240</f>
        <v>0</v>
      </c>
      <c r="R240" s="291">
        <f t="shared" ref="R240:Y240" si="134">R239*$L$240</f>
        <v>400</v>
      </c>
      <c r="S240" s="291">
        <f t="shared" si="134"/>
        <v>400</v>
      </c>
      <c r="T240" s="291">
        <f t="shared" si="134"/>
        <v>400</v>
      </c>
      <c r="U240" s="291">
        <f t="shared" si="134"/>
        <v>400</v>
      </c>
      <c r="V240" s="291">
        <f t="shared" si="134"/>
        <v>400</v>
      </c>
      <c r="W240" s="291">
        <f t="shared" si="134"/>
        <v>0</v>
      </c>
      <c r="X240" s="291">
        <f t="shared" si="134"/>
        <v>0</v>
      </c>
      <c r="Y240" s="291">
        <f t="shared" si="134"/>
        <v>0</v>
      </c>
      <c r="Z240" s="177">
        <f>SUM(N240:Y240)</f>
        <v>2000</v>
      </c>
      <c r="AA240" s="7" t="s">
        <v>396</v>
      </c>
      <c r="AD240" s="183"/>
    </row>
    <row r="241" spans="2:30" ht="20.399999999999999" hidden="1">
      <c r="B241" s="395"/>
      <c r="C241" s="20"/>
      <c r="D241" s="284"/>
      <c r="E241" s="285"/>
      <c r="F241" s="286" t="s">
        <v>1016</v>
      </c>
      <c r="G241" s="286" t="s">
        <v>530</v>
      </c>
      <c r="H241" s="284" t="s">
        <v>715</v>
      </c>
      <c r="I241" s="287" t="s">
        <v>718</v>
      </c>
      <c r="J241" s="284" t="s">
        <v>28</v>
      </c>
      <c r="K241" s="287" t="s">
        <v>248</v>
      </c>
      <c r="L241" s="299">
        <v>16</v>
      </c>
      <c r="M241" s="359" t="s">
        <v>978</v>
      </c>
      <c r="N241" s="291"/>
      <c r="O241" s="291"/>
      <c r="P241" s="291"/>
      <c r="Q241" s="291"/>
      <c r="R241" s="291">
        <v>100</v>
      </c>
      <c r="S241" s="291">
        <v>100</v>
      </c>
      <c r="T241" s="291">
        <v>100</v>
      </c>
      <c r="U241" s="291">
        <v>100</v>
      </c>
      <c r="V241" s="291">
        <v>100</v>
      </c>
      <c r="W241" s="291"/>
      <c r="X241" s="291"/>
      <c r="Y241" s="291"/>
      <c r="Z241" s="177">
        <f t="shared" ref="Z241:Z242" si="135">SUM(N241:Y241)*L241</f>
        <v>8000</v>
      </c>
      <c r="AA241" s="7">
        <f t="shared" ref="AA241:AA242" si="136">SUM(N241:Y241)</f>
        <v>500</v>
      </c>
      <c r="AD241" s="286"/>
    </row>
    <row r="242" spans="2:30" hidden="1">
      <c r="B242" s="395"/>
      <c r="C242" s="20"/>
      <c r="D242" s="284"/>
      <c r="E242" s="285"/>
      <c r="F242" s="286" t="s">
        <v>1016</v>
      </c>
      <c r="G242" s="286" t="s">
        <v>530</v>
      </c>
      <c r="H242" s="338" t="s">
        <v>20</v>
      </c>
      <c r="I242" s="284" t="s">
        <v>133</v>
      </c>
      <c r="J242" s="284" t="s">
        <v>28</v>
      </c>
      <c r="K242" s="287" t="s">
        <v>276</v>
      </c>
      <c r="L242" s="299">
        <v>16</v>
      </c>
      <c r="M242" s="362"/>
      <c r="N242" s="291"/>
      <c r="O242" s="291"/>
      <c r="P242" s="291"/>
      <c r="Q242" s="291"/>
      <c r="R242" s="291"/>
      <c r="S242" s="291"/>
      <c r="T242" s="291"/>
      <c r="U242" s="291"/>
      <c r="V242" s="291"/>
      <c r="W242" s="291"/>
      <c r="X242" s="291"/>
      <c r="Y242" s="291"/>
      <c r="Z242" s="177">
        <f t="shared" si="135"/>
        <v>0</v>
      </c>
      <c r="AA242" s="7">
        <f t="shared" si="136"/>
        <v>0</v>
      </c>
      <c r="AD242" s="286"/>
    </row>
    <row r="243" spans="2:30" ht="15.6" hidden="1">
      <c r="B243" s="395"/>
      <c r="C243" s="315" t="s">
        <v>769</v>
      </c>
      <c r="D243" s="174" t="s">
        <v>22</v>
      </c>
      <c r="E243" s="181">
        <f>SUM(N243:Y243)</f>
        <v>300</v>
      </c>
      <c r="F243" s="175" t="s">
        <v>989</v>
      </c>
      <c r="G243" s="175" t="s">
        <v>622</v>
      </c>
      <c r="H243" s="181"/>
      <c r="I243" s="182"/>
      <c r="J243" s="182"/>
      <c r="K243" s="182" t="s">
        <v>276</v>
      </c>
      <c r="L243" s="311"/>
      <c r="M243" s="358"/>
      <c r="N243" s="181">
        <f>SUMIFS('FCST data'!Q:Q,'FCST data'!$D:$D,$F243,'FCST data'!$K:$K,$G243,'FCST data'!$L:$L,$K243)</f>
        <v>0</v>
      </c>
      <c r="O243" s="181">
        <f>SUMIFS('FCST data'!R:R,'FCST data'!$D:$D,$F243,'FCST data'!$K:$K,$G243,'FCST data'!$L:$L,$K243)</f>
        <v>0</v>
      </c>
      <c r="P243" s="181">
        <f>SUMIFS('FCST data'!S:S,'FCST data'!$D:$D,$F243,'FCST data'!$K:$K,$G243,'FCST data'!$L:$L,$K243)</f>
        <v>0</v>
      </c>
      <c r="Q243" s="181">
        <f>SUMIFS('FCST data'!T:T,'FCST data'!$D:$D,$F243,'FCST data'!$K:$K,$G243,'FCST data'!$L:$L,$K243)</f>
        <v>0</v>
      </c>
      <c r="R243" s="181">
        <f>SUMIFS('FCST data'!U:U,'FCST data'!$D:$D,$F243,'FCST data'!$K:$K,$G243,'FCST data'!$L:$L,$K243)</f>
        <v>0</v>
      </c>
      <c r="S243" s="181">
        <f>SUMIFS('FCST data'!V:V,'FCST data'!$D:$D,$F243,'FCST data'!$K:$K,$G243,'FCST data'!$L:$L,$K243)</f>
        <v>0</v>
      </c>
      <c r="T243" s="181">
        <f>SUMIFS('FCST data'!W:W,'FCST data'!$D:$D,$F243,'FCST data'!$K:$K,$G243,'FCST data'!$L:$L,$K243)</f>
        <v>0</v>
      </c>
      <c r="U243" s="181">
        <f>SUMIFS('FCST data'!X:X,'FCST data'!$D:$D,$F243,'FCST data'!$K:$K,$G243,'FCST data'!$L:$L,$K243)</f>
        <v>150</v>
      </c>
      <c r="V243" s="181">
        <f>SUMIFS('FCST data'!Y:Y,'FCST data'!$D:$D,$F243,'FCST data'!$K:$K,$G243,'FCST data'!$L:$L,$K243)</f>
        <v>150</v>
      </c>
      <c r="W243" s="181">
        <f>SUMIFS('FCST data'!Z:Z,'FCST data'!$D:$D,$F243,'FCST data'!$K:$K,$G243,'FCST data'!$L:$L,$K243)</f>
        <v>0</v>
      </c>
      <c r="X243" s="181">
        <f>SUMIFS('FCST data'!AA:AA,'FCST data'!$D:$D,$F243,'FCST data'!$K:$K,$G243,'FCST data'!$L:$L,$K243)</f>
        <v>0</v>
      </c>
      <c r="Y243" s="181">
        <f>SUMIFS('FCST data'!AB:AB,'FCST data'!$D:$D,$F243,'FCST data'!$K:$K,$G243,'FCST data'!$L:$L,$K243)</f>
        <v>0</v>
      </c>
      <c r="Z243" s="148"/>
      <c r="AA243" s="44"/>
      <c r="AC243" s="16">
        <f>E243-SUM(AA244:AB246)</f>
        <v>0</v>
      </c>
      <c r="AD243" s="183"/>
    </row>
    <row r="244" spans="2:30" ht="20.399999999999999" hidden="1">
      <c r="B244" s="395"/>
      <c r="C244" s="20"/>
      <c r="D244" s="284"/>
      <c r="E244" s="285"/>
      <c r="F244" s="286" t="s">
        <v>989</v>
      </c>
      <c r="G244" s="286" t="s">
        <v>622</v>
      </c>
      <c r="H244" s="284" t="s">
        <v>715</v>
      </c>
      <c r="I244" s="287" t="s">
        <v>718</v>
      </c>
      <c r="J244" s="284" t="s">
        <v>28</v>
      </c>
      <c r="K244" s="287" t="s">
        <v>246</v>
      </c>
      <c r="L244" s="299">
        <v>8</v>
      </c>
      <c r="M244" s="359" t="s">
        <v>1026</v>
      </c>
      <c r="N244" s="291"/>
      <c r="O244" s="291"/>
      <c r="P244" s="291"/>
      <c r="Q244" s="291"/>
      <c r="R244" s="291"/>
      <c r="S244" s="291"/>
      <c r="T244" s="291"/>
      <c r="U244" s="291">
        <v>150</v>
      </c>
      <c r="V244" s="291">
        <v>150</v>
      </c>
      <c r="W244" s="291"/>
      <c r="X244" s="291"/>
      <c r="Y244" s="291"/>
      <c r="Z244" s="177">
        <f t="shared" ref="Z244:Z245" si="137">SUM(N244:Y244)*L244</f>
        <v>2400</v>
      </c>
      <c r="AA244" s="7">
        <f t="shared" ref="AA244:AA245" si="138">SUM(N244:Y244)</f>
        <v>300</v>
      </c>
      <c r="AD244" s="286"/>
    </row>
    <row r="245" spans="2:30" hidden="1">
      <c r="B245" s="395"/>
      <c r="C245" s="20"/>
      <c r="D245" s="284"/>
      <c r="E245" s="285"/>
      <c r="F245" s="286" t="s">
        <v>989</v>
      </c>
      <c r="G245" s="286" t="s">
        <v>622</v>
      </c>
      <c r="H245" s="338" t="s">
        <v>20</v>
      </c>
      <c r="I245" s="284" t="s">
        <v>133</v>
      </c>
      <c r="J245" s="284" t="s">
        <v>28</v>
      </c>
      <c r="K245" s="287" t="s">
        <v>246</v>
      </c>
      <c r="L245" s="299">
        <v>4</v>
      </c>
      <c r="M245" s="362"/>
      <c r="N245" s="291"/>
      <c r="O245" s="291"/>
      <c r="P245" s="291"/>
      <c r="Q245" s="291"/>
      <c r="R245" s="291"/>
      <c r="S245" s="291"/>
      <c r="T245" s="291"/>
      <c r="U245" s="291"/>
      <c r="V245" s="291"/>
      <c r="W245" s="291"/>
      <c r="X245" s="291"/>
      <c r="Y245" s="291"/>
      <c r="Z245" s="177">
        <f t="shared" si="137"/>
        <v>0</v>
      </c>
      <c r="AA245" s="7">
        <f t="shared" si="138"/>
        <v>0</v>
      </c>
      <c r="AD245" s="286"/>
    </row>
    <row r="246" spans="2:30" ht="20.399999999999999" hidden="1">
      <c r="B246" s="395"/>
      <c r="C246" s="20"/>
      <c r="D246" s="284"/>
      <c r="E246" s="285"/>
      <c r="F246" s="286" t="s">
        <v>989</v>
      </c>
      <c r="G246" s="286" t="s">
        <v>622</v>
      </c>
      <c r="H246" s="284" t="s">
        <v>715</v>
      </c>
      <c r="I246" s="287" t="s">
        <v>718</v>
      </c>
      <c r="J246" s="126" t="s">
        <v>119</v>
      </c>
      <c r="K246" s="287" t="s">
        <v>304</v>
      </c>
      <c r="L246" s="299">
        <v>4</v>
      </c>
      <c r="M246" s="359" t="s">
        <v>1025</v>
      </c>
      <c r="N246" s="291"/>
      <c r="O246" s="291"/>
      <c r="P246" s="291"/>
      <c r="Q246" s="291">
        <f>Q243*$L$234</f>
        <v>0</v>
      </c>
      <c r="R246" s="291">
        <f t="shared" ref="R246:Y246" si="139">R243*$L$234</f>
        <v>0</v>
      </c>
      <c r="S246" s="291">
        <f t="shared" si="139"/>
        <v>0</v>
      </c>
      <c r="T246" s="291">
        <f t="shared" si="139"/>
        <v>0</v>
      </c>
      <c r="U246" s="291">
        <f t="shared" si="139"/>
        <v>600</v>
      </c>
      <c r="V246" s="291">
        <f t="shared" si="139"/>
        <v>600</v>
      </c>
      <c r="W246" s="291">
        <f t="shared" si="139"/>
        <v>0</v>
      </c>
      <c r="X246" s="291">
        <f t="shared" si="139"/>
        <v>0</v>
      </c>
      <c r="Y246" s="291">
        <f t="shared" si="139"/>
        <v>0</v>
      </c>
      <c r="Z246" s="177">
        <f>SUM(N246:Y246)</f>
        <v>1200</v>
      </c>
      <c r="AA246" s="7" t="s">
        <v>396</v>
      </c>
      <c r="AD246" s="286"/>
    </row>
    <row r="247" spans="2:30" ht="15.6" hidden="1">
      <c r="C247" s="315" t="s">
        <v>769</v>
      </c>
      <c r="D247" s="174" t="s">
        <v>22</v>
      </c>
      <c r="E247" s="181">
        <f>SUM(N247:Y247)</f>
        <v>2000</v>
      </c>
      <c r="F247" s="175" t="s">
        <v>990</v>
      </c>
      <c r="G247" s="175" t="s">
        <v>1064</v>
      </c>
      <c r="H247" s="181"/>
      <c r="I247" s="182"/>
      <c r="J247" s="182"/>
      <c r="K247" s="182" t="s">
        <v>132</v>
      </c>
      <c r="L247" s="311"/>
      <c r="M247" s="358"/>
      <c r="N247" s="181">
        <f>SUMIFS('FCST data'!Q:Q,'FCST data'!$D:$D,$F247,'FCST data'!$K:$K,$G247,'FCST data'!$L:$L,$K247)</f>
        <v>0</v>
      </c>
      <c r="O247" s="181">
        <f>SUMIFS('FCST data'!R:R,'FCST data'!$D:$D,$F247,'FCST data'!$K:$K,$G247,'FCST data'!$L:$L,$K247)</f>
        <v>0</v>
      </c>
      <c r="P247" s="181">
        <f>SUMIFS('FCST data'!S:S,'FCST data'!$D:$D,$F247,'FCST data'!$K:$K,$G247,'FCST data'!$L:$L,$K247)</f>
        <v>0</v>
      </c>
      <c r="Q247" s="181">
        <f>SUMIFS('FCST data'!T:T,'FCST data'!$D:$D,$F247,'FCST data'!$K:$K,$G247,'FCST data'!$L:$L,$K247)</f>
        <v>0</v>
      </c>
      <c r="R247" s="181">
        <f>SUMIFS('FCST data'!U:U,'FCST data'!$D:$D,$F247,'FCST data'!$K:$K,$G247,'FCST data'!$L:$L,$K247)</f>
        <v>0</v>
      </c>
      <c r="S247" s="181">
        <f>SUMIFS('FCST data'!V:V,'FCST data'!$D:$D,$F247,'FCST data'!$K:$K,$G247,'FCST data'!$L:$L,$K247)</f>
        <v>0</v>
      </c>
      <c r="T247" s="181">
        <f>SUMIFS('FCST data'!W:W,'FCST data'!$D:$D,$F247,'FCST data'!$K:$K,$G247,'FCST data'!$L:$L,$K247)</f>
        <v>600</v>
      </c>
      <c r="U247" s="181">
        <f>SUMIFS('FCST data'!X:X,'FCST data'!$D:$D,$F247,'FCST data'!$K:$K,$G247,'FCST data'!$L:$L,$K247)</f>
        <v>700</v>
      </c>
      <c r="V247" s="181">
        <f>SUMIFS('FCST data'!Y:Y,'FCST data'!$D:$D,$F247,'FCST data'!$K:$K,$G247,'FCST data'!$L:$L,$K247)</f>
        <v>700</v>
      </c>
      <c r="W247" s="181">
        <f>SUMIFS('FCST data'!Z:Z,'FCST data'!$D:$D,$F247,'FCST data'!$K:$K,$G247,'FCST data'!$L:$L,$K247)</f>
        <v>0</v>
      </c>
      <c r="X247" s="181">
        <f>SUMIFS('FCST data'!AA:AA,'FCST data'!$D:$D,$F247,'FCST data'!$K:$K,$G247,'FCST data'!$L:$L,$K247)</f>
        <v>0</v>
      </c>
      <c r="Y247" s="181">
        <f>SUMIFS('FCST data'!AB:AB,'FCST data'!$D:$D,$F247,'FCST data'!$K:$K,$G247,'FCST data'!$L:$L,$K247)</f>
        <v>0</v>
      </c>
      <c r="Z247" s="148"/>
      <c r="AA247" s="44"/>
      <c r="AC247" s="16">
        <f>E247-SUM(AA249:AB250)</f>
        <v>0</v>
      </c>
    </row>
    <row r="248" spans="2:30" ht="20.399999999999999" hidden="1">
      <c r="B248" s="395"/>
      <c r="C248" s="20"/>
      <c r="D248" s="284"/>
      <c r="E248" s="285"/>
      <c r="F248" s="286" t="s">
        <v>990</v>
      </c>
      <c r="G248" s="286" t="s">
        <v>1064</v>
      </c>
      <c r="H248" s="284" t="s">
        <v>715</v>
      </c>
      <c r="I248" s="287" t="s">
        <v>718</v>
      </c>
      <c r="J248" s="341" t="s">
        <v>454</v>
      </c>
      <c r="K248" s="287" t="s">
        <v>456</v>
      </c>
      <c r="L248" s="299">
        <v>2</v>
      </c>
      <c r="M248" s="405" t="s">
        <v>1042</v>
      </c>
      <c r="N248" s="291"/>
      <c r="O248" s="291"/>
      <c r="P248" s="291"/>
      <c r="Q248" s="291"/>
      <c r="R248" s="291"/>
      <c r="S248" s="291"/>
      <c r="T248" s="291">
        <f>T247*$L$248</f>
        <v>1200</v>
      </c>
      <c r="U248" s="291">
        <f t="shared" ref="U248:Y248" si="140">U247*$L$248</f>
        <v>1400</v>
      </c>
      <c r="V248" s="291">
        <f t="shared" si="140"/>
        <v>1400</v>
      </c>
      <c r="W248" s="291">
        <f t="shared" si="140"/>
        <v>0</v>
      </c>
      <c r="X248" s="291">
        <f t="shared" si="140"/>
        <v>0</v>
      </c>
      <c r="Y248" s="291">
        <f t="shared" si="140"/>
        <v>0</v>
      </c>
      <c r="Z248" s="177">
        <f>SUM(N248:Y248)</f>
        <v>4000</v>
      </c>
      <c r="AA248" s="7" t="s">
        <v>396</v>
      </c>
      <c r="AD248" s="183"/>
    </row>
    <row r="249" spans="2:30" ht="20.399999999999999" hidden="1">
      <c r="C249" s="20"/>
      <c r="D249" s="284"/>
      <c r="E249" s="285"/>
      <c r="F249" s="286" t="s">
        <v>990</v>
      </c>
      <c r="G249" s="286" t="s">
        <v>1064</v>
      </c>
      <c r="H249" s="284" t="s">
        <v>715</v>
      </c>
      <c r="I249" s="287" t="s">
        <v>718</v>
      </c>
      <c r="J249" s="126" t="s">
        <v>119</v>
      </c>
      <c r="K249" s="287" t="s">
        <v>283</v>
      </c>
      <c r="L249" s="299">
        <v>4</v>
      </c>
      <c r="M249" s="359" t="s">
        <v>911</v>
      </c>
      <c r="N249" s="291"/>
      <c r="O249" s="291"/>
      <c r="P249" s="291"/>
      <c r="Q249" s="291"/>
      <c r="R249" s="291"/>
      <c r="S249" s="291"/>
      <c r="T249" s="291">
        <f>T247*$L$249</f>
        <v>2400</v>
      </c>
      <c r="U249" s="291">
        <f t="shared" ref="U249:V249" si="141">U247*$L$249</f>
        <v>2800</v>
      </c>
      <c r="V249" s="291">
        <f t="shared" si="141"/>
        <v>2800</v>
      </c>
      <c r="W249" s="291"/>
      <c r="X249" s="291"/>
      <c r="Y249" s="291"/>
      <c r="Z249" s="177">
        <f>SUM(N249:Y249)</f>
        <v>8000</v>
      </c>
      <c r="AA249" s="7" t="s">
        <v>396</v>
      </c>
      <c r="AB249" s="16">
        <f>Z249/L249</f>
        <v>2000</v>
      </c>
    </row>
    <row r="250" spans="2:30" ht="13.8" hidden="1">
      <c r="C250" s="20"/>
      <c r="D250" s="284"/>
      <c r="E250" s="285"/>
      <c r="F250" s="286" t="s">
        <v>990</v>
      </c>
      <c r="G250" s="286" t="s">
        <v>1064</v>
      </c>
      <c r="H250" s="338" t="s">
        <v>20</v>
      </c>
      <c r="I250" s="284" t="s">
        <v>133</v>
      </c>
      <c r="J250" s="284" t="s">
        <v>28</v>
      </c>
      <c r="K250" s="287" t="s">
        <v>108</v>
      </c>
      <c r="L250" s="299">
        <v>8</v>
      </c>
      <c r="M250" s="365"/>
      <c r="N250" s="291"/>
      <c r="O250" s="291"/>
      <c r="P250" s="291"/>
      <c r="Q250" s="291"/>
      <c r="R250" s="291"/>
      <c r="S250" s="291"/>
      <c r="T250" s="291"/>
      <c r="U250" s="291"/>
      <c r="V250" s="291"/>
      <c r="W250" s="291"/>
      <c r="X250" s="291"/>
      <c r="Y250" s="291"/>
      <c r="Z250" s="177">
        <f>SUM(N250:Y250)*L250</f>
        <v>0</v>
      </c>
      <c r="AA250" s="7">
        <f>SUM(N250:Y250)</f>
        <v>0</v>
      </c>
    </row>
    <row r="251" spans="2:30" ht="15.6" hidden="1">
      <c r="C251" s="315" t="s">
        <v>769</v>
      </c>
      <c r="D251" s="174" t="s">
        <v>22</v>
      </c>
      <c r="E251" s="181">
        <f>SUM(N251:Y251)</f>
        <v>150</v>
      </c>
      <c r="F251" s="175" t="s">
        <v>990</v>
      </c>
      <c r="G251" s="175" t="s">
        <v>1064</v>
      </c>
      <c r="H251" s="181"/>
      <c r="I251" s="182"/>
      <c r="J251" s="182"/>
      <c r="K251" s="182" t="s">
        <v>276</v>
      </c>
      <c r="L251" s="311"/>
      <c r="M251" s="358"/>
      <c r="N251" s="181">
        <f>SUMIFS('FCST data'!Q:Q,'FCST data'!$D:$D,$F251,'FCST data'!$K:$K,$G251,'FCST data'!$L:$L,$K251)</f>
        <v>0</v>
      </c>
      <c r="O251" s="181">
        <f>SUMIFS('FCST data'!R:R,'FCST data'!$D:$D,$F251,'FCST data'!$K:$K,$G251,'FCST data'!$L:$L,$K251)</f>
        <v>0</v>
      </c>
      <c r="P251" s="181">
        <f>SUMIFS('FCST data'!S:S,'FCST data'!$D:$D,$F251,'FCST data'!$K:$K,$G251,'FCST data'!$L:$L,$K251)</f>
        <v>0</v>
      </c>
      <c r="Q251" s="181">
        <f>SUMIFS('FCST data'!T:T,'FCST data'!$D:$D,$F251,'FCST data'!$K:$K,$G251,'FCST data'!$L:$L,$K251)</f>
        <v>0</v>
      </c>
      <c r="R251" s="181">
        <f>SUMIFS('FCST data'!U:U,'FCST data'!$D:$D,$F251,'FCST data'!$K:$K,$G251,'FCST data'!$L:$L,$K251)</f>
        <v>0</v>
      </c>
      <c r="S251" s="181">
        <f>SUMIFS('FCST data'!V:V,'FCST data'!$D:$D,$F251,'FCST data'!$K:$K,$G251,'FCST data'!$L:$L,$K251)</f>
        <v>0</v>
      </c>
      <c r="T251" s="181">
        <f>SUMIFS('FCST data'!W:W,'FCST data'!$D:$D,$F251,'FCST data'!$K:$K,$G251,'FCST data'!$L:$L,$K251)</f>
        <v>50</v>
      </c>
      <c r="U251" s="181">
        <f>SUMIFS('FCST data'!X:X,'FCST data'!$D:$D,$F251,'FCST data'!$K:$K,$G251,'FCST data'!$L:$L,$K251)</f>
        <v>50</v>
      </c>
      <c r="V251" s="181">
        <f>SUMIFS('FCST data'!Y:Y,'FCST data'!$D:$D,$F251,'FCST data'!$K:$K,$G251,'FCST data'!$L:$L,$K251)</f>
        <v>50</v>
      </c>
      <c r="W251" s="181">
        <f>SUMIFS('FCST data'!Z:Z,'FCST data'!$D:$D,$F251,'FCST data'!$K:$K,$G251,'FCST data'!$L:$L,$K251)</f>
        <v>0</v>
      </c>
      <c r="X251" s="181">
        <f>SUMIFS('FCST data'!AA:AA,'FCST data'!$D:$D,$F251,'FCST data'!$K:$K,$G251,'FCST data'!$L:$L,$K251)</f>
        <v>0</v>
      </c>
      <c r="Y251" s="181">
        <f>SUMIFS('FCST data'!AB:AB,'FCST data'!$D:$D,$F251,'FCST data'!$K:$K,$G251,'FCST data'!$L:$L,$K251)</f>
        <v>0</v>
      </c>
      <c r="Z251" s="148"/>
      <c r="AA251" s="44"/>
      <c r="AC251" s="16">
        <f>E251-SUM(AA253:AB255)</f>
        <v>0</v>
      </c>
    </row>
    <row r="252" spans="2:30" ht="20.399999999999999" hidden="1">
      <c r="B252" s="395"/>
      <c r="C252" s="20"/>
      <c r="D252" s="284"/>
      <c r="E252" s="285"/>
      <c r="F252" s="286" t="s">
        <v>990</v>
      </c>
      <c r="G252" s="286" t="s">
        <v>1064</v>
      </c>
      <c r="H252" s="284" t="s">
        <v>715</v>
      </c>
      <c r="I252" s="287" t="s">
        <v>718</v>
      </c>
      <c r="J252" s="341" t="s">
        <v>454</v>
      </c>
      <c r="K252" s="287" t="s">
        <v>456</v>
      </c>
      <c r="L252" s="299">
        <v>2</v>
      </c>
      <c r="M252" s="405" t="s">
        <v>1042</v>
      </c>
      <c r="N252" s="291"/>
      <c r="O252" s="291"/>
      <c r="P252" s="291"/>
      <c r="Q252" s="291"/>
      <c r="R252" s="291"/>
      <c r="S252" s="291"/>
      <c r="T252" s="291">
        <f>T251*$L$252</f>
        <v>100</v>
      </c>
      <c r="U252" s="291">
        <f t="shared" ref="U252:Y252" si="142">U251*$L$252</f>
        <v>100</v>
      </c>
      <c r="V252" s="291">
        <f t="shared" si="142"/>
        <v>100</v>
      </c>
      <c r="W252" s="291">
        <f t="shared" si="142"/>
        <v>0</v>
      </c>
      <c r="X252" s="291">
        <f t="shared" si="142"/>
        <v>0</v>
      </c>
      <c r="Y252" s="291">
        <f t="shared" si="142"/>
        <v>0</v>
      </c>
      <c r="Z252" s="177">
        <f>SUM(N252:Y252)</f>
        <v>300</v>
      </c>
      <c r="AA252" s="7" t="s">
        <v>396</v>
      </c>
      <c r="AD252" s="183"/>
    </row>
    <row r="253" spans="2:30" ht="20.399999999999999" hidden="1">
      <c r="C253" s="20"/>
      <c r="D253" s="284"/>
      <c r="E253" s="285"/>
      <c r="F253" s="286" t="s">
        <v>990</v>
      </c>
      <c r="G253" s="286" t="s">
        <v>1064</v>
      </c>
      <c r="H253" s="284" t="s">
        <v>715</v>
      </c>
      <c r="I253" s="287" t="s">
        <v>718</v>
      </c>
      <c r="J253" s="284" t="s">
        <v>28</v>
      </c>
      <c r="K253" s="287" t="s">
        <v>246</v>
      </c>
      <c r="L253" s="299">
        <v>8</v>
      </c>
      <c r="M253" s="359" t="s">
        <v>1026</v>
      </c>
      <c r="N253" s="291"/>
      <c r="O253" s="291"/>
      <c r="P253" s="291"/>
      <c r="Q253" s="291"/>
      <c r="R253" s="291"/>
      <c r="S253" s="291"/>
      <c r="T253" s="291">
        <v>50</v>
      </c>
      <c r="U253" s="291">
        <v>50</v>
      </c>
      <c r="V253" s="291">
        <v>50</v>
      </c>
      <c r="W253" s="291"/>
      <c r="X253" s="291"/>
      <c r="Y253" s="291"/>
      <c r="Z253" s="177">
        <f t="shared" ref="Z253:Z254" si="143">SUM(N253:Y253)*L253</f>
        <v>1200</v>
      </c>
      <c r="AA253" s="7">
        <f t="shared" ref="AA253:AA254" si="144">SUM(N253:Y253)</f>
        <v>150</v>
      </c>
    </row>
    <row r="254" spans="2:30" ht="13.8" hidden="1">
      <c r="C254" s="20"/>
      <c r="D254" s="284"/>
      <c r="E254" s="285"/>
      <c r="F254" s="286" t="s">
        <v>990</v>
      </c>
      <c r="G254" s="286" t="s">
        <v>1064</v>
      </c>
      <c r="H254" s="338" t="s">
        <v>20</v>
      </c>
      <c r="I254" s="284" t="s">
        <v>133</v>
      </c>
      <c r="J254" s="284" t="s">
        <v>28</v>
      </c>
      <c r="K254" s="287" t="s">
        <v>246</v>
      </c>
      <c r="L254" s="299">
        <v>4</v>
      </c>
      <c r="M254" s="362"/>
      <c r="N254" s="291"/>
      <c r="O254" s="291"/>
      <c r="P254" s="291"/>
      <c r="Q254" s="291"/>
      <c r="R254" s="291"/>
      <c r="S254" s="291"/>
      <c r="T254" s="291"/>
      <c r="U254" s="291"/>
      <c r="V254" s="291"/>
      <c r="W254" s="291"/>
      <c r="X254" s="291"/>
      <c r="Y254" s="291"/>
      <c r="Z254" s="177">
        <f t="shared" si="143"/>
        <v>0</v>
      </c>
      <c r="AA254" s="7">
        <f t="shared" si="144"/>
        <v>0</v>
      </c>
    </row>
    <row r="255" spans="2:30" ht="20.399999999999999" hidden="1">
      <c r="C255" s="20"/>
      <c r="D255" s="284"/>
      <c r="E255" s="285"/>
      <c r="F255" s="286" t="s">
        <v>990</v>
      </c>
      <c r="G255" s="286" t="s">
        <v>1064</v>
      </c>
      <c r="H255" s="284" t="s">
        <v>715</v>
      </c>
      <c r="I255" s="287" t="s">
        <v>718</v>
      </c>
      <c r="J255" s="126" t="s">
        <v>119</v>
      </c>
      <c r="K255" s="287" t="s">
        <v>304</v>
      </c>
      <c r="L255" s="299">
        <v>4</v>
      </c>
      <c r="M255" s="359" t="s">
        <v>1025</v>
      </c>
      <c r="N255" s="291"/>
      <c r="O255" s="291"/>
      <c r="P255" s="291"/>
      <c r="Q255" s="291">
        <f>Q251*$L$234</f>
        <v>0</v>
      </c>
      <c r="R255" s="291">
        <f t="shared" ref="R255:Y255" si="145">R251*$L$234</f>
        <v>0</v>
      </c>
      <c r="S255" s="291">
        <f t="shared" si="145"/>
        <v>0</v>
      </c>
      <c r="T255" s="291">
        <f t="shared" si="145"/>
        <v>200</v>
      </c>
      <c r="U255" s="291">
        <f t="shared" si="145"/>
        <v>200</v>
      </c>
      <c r="V255" s="291">
        <f t="shared" si="145"/>
        <v>200</v>
      </c>
      <c r="W255" s="291">
        <f t="shared" si="145"/>
        <v>0</v>
      </c>
      <c r="X255" s="291">
        <f t="shared" si="145"/>
        <v>0</v>
      </c>
      <c r="Y255" s="291">
        <f t="shared" si="145"/>
        <v>0</v>
      </c>
      <c r="Z255" s="177">
        <f>SUM(N255:Y255)</f>
        <v>600</v>
      </c>
      <c r="AA255" s="7" t="s">
        <v>396</v>
      </c>
    </row>
    <row r="256" spans="2:30" ht="15.6" hidden="1">
      <c r="C256" s="315" t="s">
        <v>769</v>
      </c>
      <c r="D256" s="174" t="s">
        <v>22</v>
      </c>
      <c r="E256" s="181">
        <f>SUM(N256:Y256)</f>
        <v>400</v>
      </c>
      <c r="F256" s="175" t="s">
        <v>1018</v>
      </c>
      <c r="G256" s="175" t="s">
        <v>1065</v>
      </c>
      <c r="H256" s="181"/>
      <c r="I256" s="182"/>
      <c r="J256" s="182"/>
      <c r="K256" s="182" t="s">
        <v>276</v>
      </c>
      <c r="L256" s="311"/>
      <c r="M256" s="358"/>
      <c r="N256" s="181">
        <f>SUMIFS('FCST data'!Q:Q,'FCST data'!$D:$D,$F256,'FCST data'!$K:$K,$G256,'FCST data'!$L:$L,$K256)</f>
        <v>0</v>
      </c>
      <c r="O256" s="181">
        <f>SUMIFS('FCST data'!R:R,'FCST data'!$D:$D,$F256,'FCST data'!$K:$K,$G256,'FCST data'!$L:$L,$K256)</f>
        <v>0</v>
      </c>
      <c r="P256" s="181">
        <f>SUMIFS('FCST data'!S:S,'FCST data'!$D:$D,$F256,'FCST data'!$K:$K,$G256,'FCST data'!$L:$L,$K256)</f>
        <v>0</v>
      </c>
      <c r="Q256" s="181">
        <f>SUMIFS('FCST data'!T:T,'FCST data'!$D:$D,$F256,'FCST data'!$K:$K,$G256,'FCST data'!$L:$L,$K256)</f>
        <v>0</v>
      </c>
      <c r="R256" s="181">
        <f>SUMIFS('FCST data'!U:U,'FCST data'!$D:$D,$F256,'FCST data'!$K:$K,$G256,'FCST data'!$L:$L,$K256)</f>
        <v>0</v>
      </c>
      <c r="S256" s="181">
        <f>SUMIFS('FCST data'!V:V,'FCST data'!$D:$D,$F256,'FCST data'!$K:$K,$G256,'FCST data'!$L:$L,$K256)</f>
        <v>0</v>
      </c>
      <c r="T256" s="181">
        <f>SUMIFS('FCST data'!W:W,'FCST data'!$D:$D,$F256,'FCST data'!$K:$K,$G256,'FCST data'!$L:$L,$K256)</f>
        <v>200</v>
      </c>
      <c r="U256" s="181">
        <f>SUMIFS('FCST data'!X:X,'FCST data'!$D:$D,$F256,'FCST data'!$K:$K,$G256,'FCST data'!$L:$L,$K256)</f>
        <v>100</v>
      </c>
      <c r="V256" s="181">
        <f>SUMIFS('FCST data'!Y:Y,'FCST data'!$D:$D,$F256,'FCST data'!$K:$K,$G256,'FCST data'!$L:$L,$K256)</f>
        <v>100</v>
      </c>
      <c r="W256" s="181">
        <f>SUMIFS('FCST data'!Z:Z,'FCST data'!$D:$D,$F256,'FCST data'!$K:$K,$G256,'FCST data'!$L:$L,$K256)</f>
        <v>0</v>
      </c>
      <c r="X256" s="181">
        <f>SUMIFS('FCST data'!AA:AA,'FCST data'!$D:$D,$F256,'FCST data'!$K:$K,$G256,'FCST data'!$L:$L,$K256)</f>
        <v>0</v>
      </c>
      <c r="Y256" s="181">
        <f>SUMIFS('FCST data'!AB:AB,'FCST data'!$D:$D,$F256,'FCST data'!$K:$K,$G256,'FCST data'!$L:$L,$K256)</f>
        <v>0</v>
      </c>
      <c r="Z256" s="148"/>
      <c r="AA256" s="44"/>
      <c r="AC256" s="16">
        <f>E256-SUM(AA258:AB259)</f>
        <v>0</v>
      </c>
    </row>
    <row r="257" spans="2:30" ht="20.399999999999999" hidden="1">
      <c r="B257" s="395"/>
      <c r="C257" s="20"/>
      <c r="D257" s="284"/>
      <c r="E257" s="285"/>
      <c r="F257" s="286" t="s">
        <v>1018</v>
      </c>
      <c r="G257" s="286" t="s">
        <v>1065</v>
      </c>
      <c r="H257" s="284" t="s">
        <v>715</v>
      </c>
      <c r="I257" s="287" t="s">
        <v>718</v>
      </c>
      <c r="J257" s="341" t="s">
        <v>454</v>
      </c>
      <c r="K257" s="287" t="s">
        <v>1043</v>
      </c>
      <c r="L257" s="299">
        <v>4</v>
      </c>
      <c r="M257" s="405" t="s">
        <v>1042</v>
      </c>
      <c r="N257" s="291"/>
      <c r="O257" s="291"/>
      <c r="P257" s="291"/>
      <c r="Q257" s="291"/>
      <c r="R257" s="291"/>
      <c r="S257" s="291"/>
      <c r="T257" s="291">
        <f>T256*$L$257</f>
        <v>800</v>
      </c>
      <c r="U257" s="291">
        <f t="shared" ref="U257:Y257" si="146">U256*$L$257</f>
        <v>400</v>
      </c>
      <c r="V257" s="291">
        <f t="shared" si="146"/>
        <v>400</v>
      </c>
      <c r="W257" s="291">
        <f t="shared" si="146"/>
        <v>0</v>
      </c>
      <c r="X257" s="291">
        <f t="shared" si="146"/>
        <v>0</v>
      </c>
      <c r="Y257" s="291">
        <f t="shared" si="146"/>
        <v>0</v>
      </c>
      <c r="Z257" s="177">
        <f>SUM(N257:Y257)</f>
        <v>1600</v>
      </c>
      <c r="AA257" s="7" t="s">
        <v>396</v>
      </c>
      <c r="AD257" s="183"/>
    </row>
    <row r="258" spans="2:30" ht="30.6" hidden="1">
      <c r="C258" s="20"/>
      <c r="D258" s="284"/>
      <c r="E258" s="285"/>
      <c r="F258" s="286" t="s">
        <v>1018</v>
      </c>
      <c r="G258" s="286" t="s">
        <v>1065</v>
      </c>
      <c r="H258" s="284" t="s">
        <v>715</v>
      </c>
      <c r="I258" s="287" t="s">
        <v>718</v>
      </c>
      <c r="J258" s="284" t="s">
        <v>28</v>
      </c>
      <c r="K258" s="287" t="s">
        <v>1027</v>
      </c>
      <c r="L258" s="299">
        <v>16</v>
      </c>
      <c r="M258" s="359" t="s">
        <v>1028</v>
      </c>
      <c r="N258" s="291"/>
      <c r="O258" s="291"/>
      <c r="P258" s="291"/>
      <c r="Q258" s="291"/>
      <c r="R258" s="291"/>
      <c r="S258" s="291"/>
      <c r="T258" s="291">
        <v>200</v>
      </c>
      <c r="U258" s="291">
        <v>100</v>
      </c>
      <c r="V258" s="291">
        <v>100</v>
      </c>
      <c r="W258" s="291"/>
      <c r="X258" s="291"/>
      <c r="Y258" s="291"/>
      <c r="Z258" s="177">
        <f t="shared" ref="Z258:Z259" si="147">SUM(N258:Y258)*L258</f>
        <v>6400</v>
      </c>
      <c r="AA258" s="7">
        <f t="shared" ref="AA258:AA259" si="148">SUM(N258:Y258)</f>
        <v>400</v>
      </c>
    </row>
    <row r="259" spans="2:30" ht="13.8" hidden="1">
      <c r="C259" s="20"/>
      <c r="D259" s="284"/>
      <c r="E259" s="285"/>
      <c r="F259" s="286" t="s">
        <v>1018</v>
      </c>
      <c r="G259" s="286" t="s">
        <v>1065</v>
      </c>
      <c r="H259" s="338" t="s">
        <v>20</v>
      </c>
      <c r="I259" s="284" t="s">
        <v>133</v>
      </c>
      <c r="J259" s="284" t="s">
        <v>28</v>
      </c>
      <c r="K259" s="287" t="s">
        <v>276</v>
      </c>
      <c r="L259" s="299">
        <v>16</v>
      </c>
      <c r="M259" s="362"/>
      <c r="N259" s="291"/>
      <c r="O259" s="291"/>
      <c r="P259" s="291"/>
      <c r="Q259" s="291"/>
      <c r="R259" s="291"/>
      <c r="S259" s="291"/>
      <c r="T259" s="291"/>
      <c r="U259" s="291"/>
      <c r="V259" s="291"/>
      <c r="W259" s="291"/>
      <c r="X259" s="291"/>
      <c r="Y259" s="291"/>
      <c r="Z259" s="177">
        <f t="shared" si="147"/>
        <v>0</v>
      </c>
      <c r="AA259" s="7">
        <f t="shared" si="148"/>
        <v>0</v>
      </c>
    </row>
    <row r="260" spans="2:30" ht="15.6" hidden="1">
      <c r="C260" s="315"/>
      <c r="D260" s="174" t="s">
        <v>22</v>
      </c>
      <c r="E260" s="181">
        <f>SUM(N260:Y260)</f>
        <v>150</v>
      </c>
      <c r="F260" s="175" t="s">
        <v>1003</v>
      </c>
      <c r="G260" s="175" t="s">
        <v>1066</v>
      </c>
      <c r="H260" s="148"/>
      <c r="I260" s="176"/>
      <c r="J260" s="176"/>
      <c r="K260" s="176" t="s">
        <v>276</v>
      </c>
      <c r="L260" s="311"/>
      <c r="M260" s="363"/>
      <c r="N260" s="181">
        <f>SUMIFS('FCST data'!Q:Q,'FCST data'!$D:$D,$F260,'FCST data'!$K:$K,$G260,'FCST data'!$L:$L,$K260)</f>
        <v>0</v>
      </c>
      <c r="O260" s="181">
        <f>SUMIFS('FCST data'!R:R,'FCST data'!$D:$D,$F260,'FCST data'!$K:$K,$G260,'FCST data'!$L:$L,$K260)</f>
        <v>0</v>
      </c>
      <c r="P260" s="181">
        <f>SUMIFS('FCST data'!S:S,'FCST data'!$D:$D,$F260,'FCST data'!$K:$K,$G260,'FCST data'!$L:$L,$K260)</f>
        <v>0</v>
      </c>
      <c r="Q260" s="181">
        <f>SUMIFS('FCST data'!T:T,'FCST data'!$D:$D,$F260,'FCST data'!$K:$K,$G260,'FCST data'!$L:$L,$K260)</f>
        <v>0</v>
      </c>
      <c r="R260" s="181">
        <f>SUMIFS('FCST data'!U:U,'FCST data'!$D:$D,$F260,'FCST data'!$K:$K,$G260,'FCST data'!$L:$L,$K260)</f>
        <v>0</v>
      </c>
      <c r="S260" s="181">
        <f>SUMIFS('FCST data'!V:V,'FCST data'!$D:$D,$F260,'FCST data'!$K:$K,$G260,'FCST data'!$L:$L,$K260)</f>
        <v>0</v>
      </c>
      <c r="T260" s="181">
        <f>SUMIFS('FCST data'!W:W,'FCST data'!$D:$D,$F260,'FCST data'!$K:$K,$G260,'FCST data'!$L:$L,$K260)</f>
        <v>150</v>
      </c>
      <c r="U260" s="181">
        <f>SUMIFS('FCST data'!X:X,'FCST data'!$D:$D,$F260,'FCST data'!$K:$K,$G260,'FCST data'!$L:$L,$K260)</f>
        <v>0</v>
      </c>
      <c r="V260" s="181">
        <f>SUMIFS('FCST data'!Y:Y,'FCST data'!$D:$D,$F260,'FCST data'!$K:$K,$G260,'FCST data'!$L:$L,$K260)</f>
        <v>0</v>
      </c>
      <c r="W260" s="181">
        <f>SUMIFS('FCST data'!Z:Z,'FCST data'!$D:$D,$F260,'FCST data'!$K:$K,$G260,'FCST data'!$L:$L,$K260)</f>
        <v>0</v>
      </c>
      <c r="X260" s="181">
        <f>SUMIFS('FCST data'!AA:AA,'FCST data'!$D:$D,$F260,'FCST data'!$K:$K,$G260,'FCST data'!$L:$L,$K260)</f>
        <v>0</v>
      </c>
      <c r="Y260" s="181">
        <f>SUMIFS('FCST data'!AB:AB,'FCST data'!$D:$D,$F260,'FCST data'!$K:$K,$G260,'FCST data'!$L:$L,$K260)</f>
        <v>0</v>
      </c>
      <c r="Z260" s="148"/>
      <c r="AA260" s="44"/>
      <c r="AC260" s="16">
        <f>E260-SUM(AA261:AB262)</f>
        <v>0</v>
      </c>
    </row>
    <row r="261" spans="2:30" ht="20.399999999999999" hidden="1">
      <c r="C261" s="20"/>
      <c r="D261" s="284"/>
      <c r="E261" s="285"/>
      <c r="F261" s="286" t="s">
        <v>1003</v>
      </c>
      <c r="G261" s="286" t="s">
        <v>1066</v>
      </c>
      <c r="H261" s="284" t="s">
        <v>715</v>
      </c>
      <c r="I261" s="287" t="s">
        <v>718</v>
      </c>
      <c r="J261" s="126" t="s">
        <v>119</v>
      </c>
      <c r="K261" s="287" t="s">
        <v>1029</v>
      </c>
      <c r="L261" s="299">
        <v>4</v>
      </c>
      <c r="M261" s="359" t="s">
        <v>560</v>
      </c>
      <c r="N261" s="291">
        <f>N260*$L$261</f>
        <v>0</v>
      </c>
      <c r="O261" s="291">
        <f t="shared" ref="O261:Y261" si="149">O260*$L$261</f>
        <v>0</v>
      </c>
      <c r="P261" s="291">
        <f t="shared" si="149"/>
        <v>0</v>
      </c>
      <c r="Q261" s="291">
        <f t="shared" si="149"/>
        <v>0</v>
      </c>
      <c r="R261" s="291">
        <f t="shared" si="149"/>
        <v>0</v>
      </c>
      <c r="S261" s="291">
        <f t="shared" si="149"/>
        <v>0</v>
      </c>
      <c r="T261" s="291">
        <f t="shared" si="149"/>
        <v>600</v>
      </c>
      <c r="U261" s="291">
        <f t="shared" si="149"/>
        <v>0</v>
      </c>
      <c r="V261" s="291">
        <f t="shared" si="149"/>
        <v>0</v>
      </c>
      <c r="W261" s="291">
        <f t="shared" si="149"/>
        <v>0</v>
      </c>
      <c r="X261" s="291">
        <f t="shared" si="149"/>
        <v>0</v>
      </c>
      <c r="Y261" s="291">
        <f t="shared" si="149"/>
        <v>0</v>
      </c>
      <c r="Z261" s="177">
        <f t="shared" ref="Z261:Z262" si="150">SUM(N261:Y261)</f>
        <v>600</v>
      </c>
      <c r="AA261" s="7" t="s">
        <v>396</v>
      </c>
      <c r="AB261" s="16">
        <f>Z261/L261</f>
        <v>150</v>
      </c>
    </row>
    <row r="262" spans="2:30" ht="13.8" hidden="1">
      <c r="C262" s="20"/>
      <c r="D262" s="284"/>
      <c r="E262" s="285"/>
      <c r="F262" s="286" t="s">
        <v>1003</v>
      </c>
      <c r="G262" s="286" t="s">
        <v>1066</v>
      </c>
      <c r="H262" s="284" t="s">
        <v>20</v>
      </c>
      <c r="I262" s="287" t="s">
        <v>27</v>
      </c>
      <c r="J262" s="126" t="s">
        <v>119</v>
      </c>
      <c r="K262" s="287" t="s">
        <v>1029</v>
      </c>
      <c r="L262" s="299">
        <v>4</v>
      </c>
      <c r="M262" s="362"/>
      <c r="N262" s="291"/>
      <c r="O262" s="291"/>
      <c r="P262" s="291"/>
      <c r="Q262" s="291"/>
      <c r="R262" s="291"/>
      <c r="S262" s="291"/>
      <c r="T262" s="291"/>
      <c r="U262" s="291"/>
      <c r="V262" s="291"/>
      <c r="W262" s="291"/>
      <c r="X262" s="291"/>
      <c r="Y262" s="291"/>
      <c r="Z262" s="177">
        <f t="shared" si="150"/>
        <v>0</v>
      </c>
      <c r="AA262" s="7" t="s">
        <v>396</v>
      </c>
      <c r="AB262" s="16">
        <f>Z262/L262</f>
        <v>0</v>
      </c>
    </row>
    <row r="263" spans="2:30" ht="15.6" hidden="1">
      <c r="C263" s="315"/>
      <c r="D263" s="174" t="s">
        <v>22</v>
      </c>
      <c r="E263" s="181">
        <f>SUM(N263:Y263)</f>
        <v>60</v>
      </c>
      <c r="F263" s="175" t="s">
        <v>1003</v>
      </c>
      <c r="G263" s="175" t="s">
        <v>1066</v>
      </c>
      <c r="H263" s="148"/>
      <c r="I263" s="176"/>
      <c r="J263" s="176"/>
      <c r="K263" s="176" t="s">
        <v>873</v>
      </c>
      <c r="L263" s="311"/>
      <c r="M263" s="363"/>
      <c r="N263" s="181">
        <f>SUMIFS('FCST data'!Q:Q,'FCST data'!$D:$D,$F263,'FCST data'!$K:$K,$G263,'FCST data'!$L:$L,$K263)</f>
        <v>0</v>
      </c>
      <c r="O263" s="181">
        <f>SUMIFS('FCST data'!R:R,'FCST data'!$D:$D,$F263,'FCST data'!$K:$K,$G263,'FCST data'!$L:$L,$K263)</f>
        <v>0</v>
      </c>
      <c r="P263" s="181">
        <f>SUMIFS('FCST data'!S:S,'FCST data'!$D:$D,$F263,'FCST data'!$K:$K,$G263,'FCST data'!$L:$L,$K263)</f>
        <v>0</v>
      </c>
      <c r="Q263" s="181">
        <f>SUMIFS('FCST data'!T:T,'FCST data'!$D:$D,$F263,'FCST data'!$K:$K,$G263,'FCST data'!$L:$L,$K263)</f>
        <v>0</v>
      </c>
      <c r="R263" s="181">
        <f>SUMIFS('FCST data'!U:U,'FCST data'!$D:$D,$F263,'FCST data'!$K:$K,$G263,'FCST data'!$L:$L,$K263)</f>
        <v>0</v>
      </c>
      <c r="S263" s="181">
        <f>SUMIFS('FCST data'!V:V,'FCST data'!$D:$D,$F263,'FCST data'!$K:$K,$G263,'FCST data'!$L:$L,$K263)</f>
        <v>0</v>
      </c>
      <c r="T263" s="181">
        <f>SUMIFS('FCST data'!W:W,'FCST data'!$D:$D,$F263,'FCST data'!$K:$K,$G263,'FCST data'!$L:$L,$K263)</f>
        <v>60</v>
      </c>
      <c r="U263" s="181">
        <f>SUMIFS('FCST data'!X:X,'FCST data'!$D:$D,$F263,'FCST data'!$K:$K,$G263,'FCST data'!$L:$L,$K263)</f>
        <v>0</v>
      </c>
      <c r="V263" s="181">
        <f>SUMIFS('FCST data'!Y:Y,'FCST data'!$D:$D,$F263,'FCST data'!$K:$K,$G263,'FCST data'!$L:$L,$K263)</f>
        <v>0</v>
      </c>
      <c r="W263" s="181">
        <f>SUMIFS('FCST data'!Z:Z,'FCST data'!$D:$D,$F263,'FCST data'!$K:$K,$G263,'FCST data'!$L:$L,$K263)</f>
        <v>0</v>
      </c>
      <c r="X263" s="181">
        <f>SUMIFS('FCST data'!AA:AA,'FCST data'!$D:$D,$F263,'FCST data'!$K:$K,$G263,'FCST data'!$L:$L,$K263)</f>
        <v>0</v>
      </c>
      <c r="Y263" s="181">
        <f>SUMIFS('FCST data'!AB:AB,'FCST data'!$D:$D,$F263,'FCST data'!$K:$K,$G263,'FCST data'!$L:$L,$K263)</f>
        <v>0</v>
      </c>
      <c r="Z263" s="148"/>
      <c r="AA263" s="44"/>
      <c r="AC263" s="16">
        <f>E263-SUM(AA264:AB265)</f>
        <v>0</v>
      </c>
    </row>
    <row r="264" spans="2:30" ht="20.399999999999999" hidden="1">
      <c r="C264" s="20"/>
      <c r="D264" s="284"/>
      <c r="E264" s="285"/>
      <c r="F264" s="286" t="s">
        <v>1003</v>
      </c>
      <c r="G264" s="286" t="s">
        <v>1066</v>
      </c>
      <c r="H264" s="284" t="s">
        <v>715</v>
      </c>
      <c r="I264" s="287" t="s">
        <v>718</v>
      </c>
      <c r="J264" s="126" t="s">
        <v>119</v>
      </c>
      <c r="K264" s="287" t="s">
        <v>1031</v>
      </c>
      <c r="L264" s="299">
        <v>4</v>
      </c>
      <c r="M264" s="359" t="s">
        <v>1030</v>
      </c>
      <c r="N264" s="291">
        <f>N263*$L$264</f>
        <v>0</v>
      </c>
      <c r="O264" s="291">
        <f t="shared" ref="O264:Y264" si="151">O263*$L$264</f>
        <v>0</v>
      </c>
      <c r="P264" s="291">
        <f t="shared" si="151"/>
        <v>0</v>
      </c>
      <c r="Q264" s="291">
        <f t="shared" si="151"/>
        <v>0</v>
      </c>
      <c r="R264" s="291">
        <f t="shared" si="151"/>
        <v>0</v>
      </c>
      <c r="S264" s="291">
        <f t="shared" si="151"/>
        <v>0</v>
      </c>
      <c r="T264" s="291">
        <f t="shared" si="151"/>
        <v>240</v>
      </c>
      <c r="U264" s="291">
        <f t="shared" si="151"/>
        <v>0</v>
      </c>
      <c r="V264" s="291">
        <f t="shared" si="151"/>
        <v>0</v>
      </c>
      <c r="W264" s="291">
        <f t="shared" si="151"/>
        <v>0</v>
      </c>
      <c r="X264" s="291">
        <f t="shared" si="151"/>
        <v>0</v>
      </c>
      <c r="Y264" s="291">
        <f t="shared" si="151"/>
        <v>0</v>
      </c>
      <c r="Z264" s="177">
        <f t="shared" ref="Z264:Z265" si="152">SUM(N264:Y264)</f>
        <v>240</v>
      </c>
      <c r="AA264" s="7" t="s">
        <v>396</v>
      </c>
      <c r="AB264" s="16">
        <f>Z264/L264</f>
        <v>60</v>
      </c>
    </row>
    <row r="265" spans="2:30" ht="13.8" hidden="1">
      <c r="C265" s="20"/>
      <c r="D265" s="284"/>
      <c r="E265" s="285"/>
      <c r="F265" s="286" t="s">
        <v>1003</v>
      </c>
      <c r="G265" s="286" t="s">
        <v>1066</v>
      </c>
      <c r="H265" s="284" t="s">
        <v>20</v>
      </c>
      <c r="I265" s="287" t="s">
        <v>27</v>
      </c>
      <c r="J265" s="126" t="s">
        <v>119</v>
      </c>
      <c r="K265" s="287" t="s">
        <v>1031</v>
      </c>
      <c r="L265" s="299">
        <v>4</v>
      </c>
      <c r="M265" s="362"/>
      <c r="N265" s="291"/>
      <c r="O265" s="291"/>
      <c r="P265" s="291"/>
      <c r="Q265" s="291"/>
      <c r="R265" s="291"/>
      <c r="S265" s="291"/>
      <c r="T265" s="291"/>
      <c r="U265" s="291"/>
      <c r="V265" s="291"/>
      <c r="W265" s="291"/>
      <c r="X265" s="291"/>
      <c r="Y265" s="291"/>
      <c r="Z265" s="177">
        <f t="shared" si="152"/>
        <v>0</v>
      </c>
      <c r="AA265" s="7" t="s">
        <v>396</v>
      </c>
      <c r="AB265" s="16">
        <f>Z265/L265</f>
        <v>0</v>
      </c>
    </row>
    <row r="266" spans="2:30">
      <c r="N266" s="17">
        <f>SUBTOTAL(9,N14:N265)</f>
        <v>0</v>
      </c>
      <c r="O266" s="17">
        <f t="shared" ref="O266:Z266" si="153">SUBTOTAL(9,O14:O265)</f>
        <v>8920</v>
      </c>
      <c r="P266" s="17">
        <f t="shared" si="153"/>
        <v>13650</v>
      </c>
      <c r="Q266" s="17">
        <f t="shared" si="153"/>
        <v>12950</v>
      </c>
      <c r="R266" s="17">
        <f t="shared" si="153"/>
        <v>12400</v>
      </c>
      <c r="S266" s="17">
        <f t="shared" si="153"/>
        <v>8600</v>
      </c>
      <c r="T266" s="17">
        <f t="shared" si="153"/>
        <v>11100</v>
      </c>
      <c r="U266" s="17">
        <f t="shared" si="153"/>
        <v>11100</v>
      </c>
      <c r="V266" s="17">
        <f t="shared" si="153"/>
        <v>11100</v>
      </c>
      <c r="W266" s="17">
        <f t="shared" si="153"/>
        <v>0</v>
      </c>
      <c r="X266" s="17">
        <f t="shared" si="153"/>
        <v>0</v>
      </c>
      <c r="Y266" s="17">
        <f t="shared" si="153"/>
        <v>0</v>
      </c>
      <c r="AA266" s="17"/>
      <c r="AB266" s="17"/>
    </row>
    <row r="267" spans="2:30">
      <c r="AA267" s="17"/>
      <c r="AB267" s="17"/>
    </row>
    <row r="268" spans="2:30">
      <c r="AA268" s="17"/>
      <c r="AB268" s="17"/>
    </row>
    <row r="269" spans="2:30">
      <c r="AA269" s="17"/>
      <c r="AB269" s="17"/>
    </row>
    <row r="270" spans="2:30">
      <c r="AA270" s="17"/>
      <c r="AB270" s="17"/>
    </row>
  </sheetData>
  <autoFilter ref="D13:AA265">
    <filterColumn colId="4">
      <filters>
        <filter val="Local"/>
      </filters>
    </filterColumn>
    <filterColumn colId="5">
      <filters>
        <filter val="Hana"/>
      </filters>
    </filterColumn>
    <filterColumn colId="9">
      <filters>
        <filter val="03A08-00055300"/>
      </filters>
    </filterColumn>
  </autoFilter>
  <phoneticPr fontId="6" type="noConversion"/>
  <conditionalFormatting sqref="N14:Y14">
    <cfRule type="cellIs" dxfId="105" priority="184" operator="notEqual">
      <formula>SUM(N15:N18)</formula>
    </cfRule>
  </conditionalFormatting>
  <conditionalFormatting sqref="N48:Y48">
    <cfRule type="cellIs" dxfId="104" priority="82" operator="notEqual">
      <formula>SUM(N49:N52)</formula>
    </cfRule>
  </conditionalFormatting>
  <conditionalFormatting sqref="N36:Y36">
    <cfRule type="cellIs" dxfId="103" priority="81" operator="notEqual">
      <formula>SUM(N38:N42)</formula>
    </cfRule>
  </conditionalFormatting>
  <conditionalFormatting sqref="N75:Y75">
    <cfRule type="cellIs" dxfId="102" priority="78" operator="notEqual">
      <formula>SUM(N76:N77)/$L$76</formula>
    </cfRule>
  </conditionalFormatting>
  <conditionalFormatting sqref="N78:Y78">
    <cfRule type="cellIs" dxfId="101" priority="77" operator="notEqual">
      <formula>SUM(N79:N80)/$L$79</formula>
    </cfRule>
  </conditionalFormatting>
  <conditionalFormatting sqref="N81:Y81">
    <cfRule type="cellIs" dxfId="100" priority="76" operator="notEqual">
      <formula>SUM(N82:N83)/$L$82</formula>
    </cfRule>
  </conditionalFormatting>
  <conditionalFormatting sqref="N84:Y84 N94:Y94 N99:Y99 N143:Y143 N89:Y89">
    <cfRule type="cellIs" dxfId="99" priority="75" operator="notEqual">
      <formula>SUM(N85:N87)</formula>
    </cfRule>
  </conditionalFormatting>
  <conditionalFormatting sqref="N109:Y109">
    <cfRule type="cellIs" dxfId="98" priority="72" operator="notEqual">
      <formula>SUM(N111:N113)</formula>
    </cfRule>
  </conditionalFormatting>
  <conditionalFormatting sqref="N123:Y123">
    <cfRule type="cellIs" dxfId="97" priority="71" operator="notEqual">
      <formula>SUM(N125:N126)/$L$125</formula>
    </cfRule>
  </conditionalFormatting>
  <conditionalFormatting sqref="N148:Y148 N161:Y161 N165:Y165">
    <cfRule type="cellIs" dxfId="96" priority="66" operator="notEqual">
      <formula>SUM(N149:N150)</formula>
    </cfRule>
  </conditionalFormatting>
  <conditionalFormatting sqref="N169:Y169">
    <cfRule type="cellIs" dxfId="95" priority="63" operator="notEqual">
      <formula>SUM(N170:N171)/$L$170</formula>
    </cfRule>
  </conditionalFormatting>
  <conditionalFormatting sqref="N175:Y175">
    <cfRule type="cellIs" dxfId="94" priority="61" operator="notEqual">
      <formula>SUM(N176:N177)/$L$176</formula>
    </cfRule>
  </conditionalFormatting>
  <conditionalFormatting sqref="N178:Y178">
    <cfRule type="cellIs" dxfId="93" priority="60" operator="notEqual">
      <formula>SUM(N179:N180)/$L$179</formula>
    </cfRule>
  </conditionalFormatting>
  <conditionalFormatting sqref="N184:Y184 N181:Y181">
    <cfRule type="cellIs" dxfId="92" priority="58" operator="notEqual">
      <formula>SUM(N182:N183)/$L$185</formula>
    </cfRule>
  </conditionalFormatting>
  <conditionalFormatting sqref="N25:Y25">
    <cfRule type="cellIs" dxfId="91" priority="57" operator="notEqual">
      <formula>SUM(N26:N29)</formula>
    </cfRule>
  </conditionalFormatting>
  <conditionalFormatting sqref="N127:Y127">
    <cfRule type="cellIs" dxfId="90" priority="185" operator="notEqual">
      <formula>SUM(N129:N130)/#REF!</formula>
    </cfRule>
  </conditionalFormatting>
  <conditionalFormatting sqref="N53:Y53">
    <cfRule type="cellIs" dxfId="89" priority="186" operator="notEqual">
      <formula>SUM(N54:N55)</formula>
    </cfRule>
  </conditionalFormatting>
  <conditionalFormatting sqref="N43:Y43">
    <cfRule type="cellIs" dxfId="88" priority="187" operator="notEqual">
      <formula>SUM(N45:N46)</formula>
    </cfRule>
  </conditionalFormatting>
  <conditionalFormatting sqref="N115:Y115 N119:Y119">
    <cfRule type="cellIs" dxfId="87" priority="188" operator="notEqual">
      <formula>SUM(N117:N118)/#REF!</formula>
    </cfRule>
  </conditionalFormatting>
  <conditionalFormatting sqref="N157:Y157">
    <cfRule type="cellIs" dxfId="86" priority="45" operator="notEqual">
      <formula>SUM(N158:N159)</formula>
    </cfRule>
  </conditionalFormatting>
  <conditionalFormatting sqref="N104:Y104">
    <cfRule type="cellIs" dxfId="85" priority="43" operator="notEqual">
      <formula>SUM(N105:N107)</formula>
    </cfRule>
  </conditionalFormatting>
  <conditionalFormatting sqref="N172:Y172">
    <cfRule type="cellIs" dxfId="84" priority="42" operator="notEqual">
      <formula>SUM(N173:N174)/$L$170</formula>
    </cfRule>
  </conditionalFormatting>
  <conditionalFormatting sqref="N69:Y69">
    <cfRule type="cellIs" dxfId="83" priority="41" operator="notEqual">
      <formula>SUM(N70:N74)</formula>
    </cfRule>
  </conditionalFormatting>
  <conditionalFormatting sqref="N187:Y187 N195:Y195 N199:Y199">
    <cfRule type="cellIs" dxfId="82" priority="32" operator="notEqual">
      <formula>SUM(N189:N190)/$L189</formula>
    </cfRule>
  </conditionalFormatting>
  <conditionalFormatting sqref="N135:Y135 N131:Y131">
    <cfRule type="cellIs" dxfId="81" priority="189" operator="notEqual">
      <formula>SUM(N132:N133)</formula>
    </cfRule>
  </conditionalFormatting>
  <conditionalFormatting sqref="N139:Y139">
    <cfRule type="cellIs" dxfId="80" priority="191" operator="notEqual">
      <formula>SUM(N140:N141)</formula>
    </cfRule>
  </conditionalFormatting>
  <conditionalFormatting sqref="T216:Y216">
    <cfRule type="cellIs" dxfId="79" priority="26" operator="notEqual">
      <formula>SUM(T217:T218)</formula>
    </cfRule>
  </conditionalFormatting>
  <conditionalFormatting sqref="N219:Y219">
    <cfRule type="cellIs" dxfId="78" priority="25" operator="notEqual">
      <formula>SUM(N220:N221)</formula>
    </cfRule>
  </conditionalFormatting>
  <conditionalFormatting sqref="N223:Y223">
    <cfRule type="cellIs" dxfId="77" priority="24" operator="notEqual">
      <formula>(SUM(N225)/$L$225)+N226</formula>
    </cfRule>
  </conditionalFormatting>
  <conditionalFormatting sqref="N216:S216">
    <cfRule type="cellIs" dxfId="76" priority="23" operator="notEqual">
      <formula>SUM(N217)/$L$209+SUM(N218)</formula>
    </cfRule>
  </conditionalFormatting>
  <conditionalFormatting sqref="T208:Y208">
    <cfRule type="cellIs" dxfId="75" priority="22" operator="notEqual">
      <formula>SUM(T209:T210)</formula>
    </cfRule>
  </conditionalFormatting>
  <conditionalFormatting sqref="N208:S208">
    <cfRule type="cellIs" dxfId="74" priority="21" operator="notEqual">
      <formula>SUM(N209)/$L$209+SUM(N210)</formula>
    </cfRule>
  </conditionalFormatting>
  <conditionalFormatting sqref="N152:Y152">
    <cfRule type="cellIs" dxfId="73" priority="20" operator="notEqual">
      <formula>SUM(N153:N155)</formula>
    </cfRule>
  </conditionalFormatting>
  <conditionalFormatting sqref="N191:Y191">
    <cfRule type="cellIs" dxfId="72" priority="19" operator="notEqual">
      <formula>SUM(N193:N194)/$L193</formula>
    </cfRule>
  </conditionalFormatting>
  <conditionalFormatting sqref="N211:Y211">
    <cfRule type="cellIs" dxfId="71" priority="17" operator="notEqual">
      <formula>(N212/$L$204)+SUM(N213:N215)</formula>
    </cfRule>
  </conditionalFormatting>
  <conditionalFormatting sqref="N231:Y231">
    <cfRule type="cellIs" dxfId="70" priority="14" operator="notEqual">
      <formula>SUM(N232:N233)</formula>
    </cfRule>
  </conditionalFormatting>
  <conditionalFormatting sqref="N228:Y228">
    <cfRule type="cellIs" dxfId="69" priority="193" operator="notEqual">
      <formula>SUM(N229)/$L$209+SUM(#REF!)</formula>
    </cfRule>
  </conditionalFormatting>
  <conditionalFormatting sqref="N19:Y19 N63:Y63 N57:Y57">
    <cfRule type="cellIs" dxfId="68" priority="195" operator="notEqual">
      <formula>SUM(N20:N24)</formula>
    </cfRule>
  </conditionalFormatting>
  <conditionalFormatting sqref="N30:Y30">
    <cfRule type="cellIs" dxfId="67" priority="196" operator="notEqual">
      <formula>SUM(N31:N35)</formula>
    </cfRule>
  </conditionalFormatting>
  <conditionalFormatting sqref="N203:Y203">
    <cfRule type="cellIs" dxfId="66" priority="13" operator="notEqual">
      <formula>(N204/$L$204)+SUM(N205:N207)</formula>
    </cfRule>
  </conditionalFormatting>
  <conditionalFormatting sqref="N239:Y239">
    <cfRule type="cellIs" dxfId="65" priority="9" operator="notEqual">
      <formula>SUM(N241:N242)</formula>
    </cfRule>
  </conditionalFormatting>
  <conditionalFormatting sqref="T235:Y235">
    <cfRule type="cellIs" dxfId="64" priority="10" operator="notEqual">
      <formula>SUM(T237:T237)</formula>
    </cfRule>
  </conditionalFormatting>
  <conditionalFormatting sqref="N243:Y243">
    <cfRule type="cellIs" dxfId="63" priority="8" operator="notEqual">
      <formula>SUM(N244:N245)</formula>
    </cfRule>
  </conditionalFormatting>
  <conditionalFormatting sqref="T247:Y247">
    <cfRule type="cellIs" dxfId="62" priority="7" operator="notEqual">
      <formula>(T$249/$L$249)+T$250</formula>
    </cfRule>
  </conditionalFormatting>
  <conditionalFormatting sqref="N247:S247">
    <cfRule type="cellIs" dxfId="61" priority="6" operator="notEqual">
      <formula>SUM(N249)/$L$209+SUM(N250)</formula>
    </cfRule>
  </conditionalFormatting>
  <conditionalFormatting sqref="N251:Y251">
    <cfRule type="cellIs" dxfId="60" priority="5" operator="notEqual">
      <formula>SUM(N253:N254)</formula>
    </cfRule>
  </conditionalFormatting>
  <conditionalFormatting sqref="N256:Y256">
    <cfRule type="cellIs" dxfId="59" priority="4" operator="notEqual">
      <formula>SUM(N258:N259)</formula>
    </cfRule>
  </conditionalFormatting>
  <conditionalFormatting sqref="N260:Y260">
    <cfRule type="cellIs" dxfId="58" priority="3" operator="notEqual">
      <formula>SUM(N261:N262)/$L$76</formula>
    </cfRule>
  </conditionalFormatting>
  <conditionalFormatting sqref="N263:Y263">
    <cfRule type="cellIs" dxfId="57" priority="2" operator="notEqual">
      <formula>SUM(N264:N265)/$L$76</formula>
    </cfRule>
  </conditionalFormatting>
  <conditionalFormatting sqref="N235:S235">
    <cfRule type="cellIs" dxfId="56" priority="1" operator="notEqual">
      <formula>SUM(N237:N237)</formula>
    </cfRule>
  </conditionalFormatting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>
    <tabColor rgb="FF00B050"/>
  </sheetPr>
  <dimension ref="B1:AE223"/>
  <sheetViews>
    <sheetView showGridLines="0" topLeftCell="D1" zoomScale="85" zoomScaleNormal="85" workbookViewId="0">
      <pane ySplit="13" topLeftCell="A50" activePane="bottomLeft" state="frozen"/>
      <selection activeCell="R22" sqref="R22"/>
      <selection pane="bottomLeft" activeCell="H16" sqref="H16"/>
    </sheetView>
  </sheetViews>
  <sheetFormatPr defaultColWidth="9.109375" defaultRowHeight="13.8" outlineLevelRow="1"/>
  <cols>
    <col min="1" max="1" width="3" style="17" customWidth="1"/>
    <col min="2" max="2" width="7.5546875" style="17" bestFit="1" customWidth="1"/>
    <col min="3" max="3" width="9.109375" style="17"/>
    <col min="4" max="4" width="8.5546875" style="17" bestFit="1" customWidth="1"/>
    <col min="5" max="5" width="10.44140625" style="3" bestFit="1" customWidth="1"/>
    <col min="6" max="6" width="21.88671875" style="3" bestFit="1" customWidth="1"/>
    <col min="7" max="7" width="14.44140625" style="3" bestFit="1" customWidth="1"/>
    <col min="8" max="8" width="12.6640625" style="3" customWidth="1"/>
    <col min="9" max="9" width="13.109375" style="3" bestFit="1" customWidth="1"/>
    <col min="10" max="10" width="14" style="3" customWidth="1"/>
    <col min="11" max="11" width="12.21875" style="3" bestFit="1" customWidth="1"/>
    <col min="12" max="12" width="9.5546875" style="3" customWidth="1"/>
    <col min="13" max="13" width="15.6640625" style="3" customWidth="1"/>
    <col min="14" max="25" width="9.109375" style="17" customWidth="1"/>
    <col min="26" max="26" width="14.33203125" style="17" customWidth="1"/>
    <col min="27" max="27" width="17.33203125" style="17" customWidth="1"/>
    <col min="28" max="29" width="9.109375" style="17" customWidth="1"/>
    <col min="30" max="30" width="17.33203125" style="17" customWidth="1"/>
    <col min="31" max="33" width="9.109375" style="17"/>
    <col min="34" max="34" width="17.88671875" style="17" customWidth="1"/>
    <col min="35" max="16384" width="9.109375" style="17"/>
  </cols>
  <sheetData>
    <row r="1" spans="3:31">
      <c r="E1" s="17"/>
      <c r="F1" s="17"/>
      <c r="G1" s="17"/>
      <c r="H1" s="17"/>
      <c r="I1" s="17"/>
      <c r="J1" s="17"/>
      <c r="K1" s="17"/>
      <c r="L1" s="17"/>
    </row>
    <row r="2" spans="3:31" outlineLevel="1">
      <c r="G2" s="3" t="s">
        <v>41</v>
      </c>
      <c r="J2" s="3" t="s">
        <v>42</v>
      </c>
      <c r="L2" s="17"/>
    </row>
    <row r="3" spans="3:31" ht="15.6" outlineLevel="1">
      <c r="F3" s="53" t="s">
        <v>40</v>
      </c>
      <c r="G3" s="51">
        <v>14</v>
      </c>
      <c r="H3" s="1"/>
      <c r="I3" s="53" t="s">
        <v>40</v>
      </c>
      <c r="J3" s="51">
        <v>3</v>
      </c>
      <c r="L3" s="17"/>
    </row>
    <row r="4" spans="3:31" ht="18" outlineLevel="1">
      <c r="F4" s="50" t="s">
        <v>35</v>
      </c>
      <c r="G4" s="370"/>
      <c r="H4" s="1"/>
      <c r="I4" s="50" t="s">
        <v>35</v>
      </c>
      <c r="J4" s="370"/>
      <c r="L4" s="127"/>
    </row>
    <row r="5" spans="3:31" ht="15.6" outlineLevel="1">
      <c r="F5" s="50" t="s">
        <v>37</v>
      </c>
      <c r="G5" s="372"/>
      <c r="H5" s="91"/>
      <c r="I5" s="50" t="s">
        <v>37</v>
      </c>
      <c r="J5" s="372"/>
      <c r="L5" s="17"/>
    </row>
    <row r="6" spans="3:31" ht="15.6" outlineLevel="1">
      <c r="F6" s="50" t="s">
        <v>38</v>
      </c>
      <c r="G6" s="49">
        <f>SUMIFS(Z14:Z513,$H$14:$H$513,"Local")+G5</f>
        <v>312620</v>
      </c>
      <c r="H6" s="1"/>
      <c r="I6" s="50" t="s">
        <v>38</v>
      </c>
      <c r="J6" s="49">
        <f>SUMIFS(AA14:AA513,$H$14:$H$513,"Local")+J5</f>
        <v>156310</v>
      </c>
      <c r="L6" s="17"/>
    </row>
    <row r="7" spans="3:31" ht="15.6" outlineLevel="1">
      <c r="D7" s="300"/>
      <c r="F7" s="50" t="s">
        <v>39</v>
      </c>
      <c r="G7" s="49">
        <f>SUMIFS(Z14:Z513,$H$14:$H$513,"Imported")</f>
        <v>89510</v>
      </c>
      <c r="H7" s="1"/>
      <c r="I7" s="50" t="s">
        <v>39</v>
      </c>
      <c r="J7" s="49">
        <f>SUMIFS(AA14:AA513,$H$14:$H$513,"Imported")</f>
        <v>62320</v>
      </c>
      <c r="L7" s="17"/>
    </row>
    <row r="8" spans="3:31" ht="15.6" outlineLevel="1">
      <c r="F8" s="50" t="s">
        <v>36</v>
      </c>
      <c r="G8" s="49">
        <f>(MB!E12+G4)</f>
        <v>218630</v>
      </c>
      <c r="H8" s="1"/>
      <c r="I8" s="50" t="s">
        <v>36</v>
      </c>
      <c r="J8" s="49">
        <f>MB!E12+J4</f>
        <v>218630</v>
      </c>
      <c r="L8" s="17"/>
    </row>
    <row r="9" spans="3:31" outlineLevel="1">
      <c r="F9" s="16" t="s">
        <v>33</v>
      </c>
      <c r="G9" s="58">
        <f>IF(G6+G7 &lt;G8,G6/G8,G6/(G6+G7))</f>
        <v>0.77741029020466024</v>
      </c>
      <c r="H9" s="1"/>
      <c r="I9" s="16" t="s">
        <v>33</v>
      </c>
      <c r="J9" s="58">
        <f>J6/J8</f>
        <v>0.71495220235100398</v>
      </c>
    </row>
    <row r="10" spans="3:31" ht="14.4" outlineLevel="1">
      <c r="D10" s="326" t="s">
        <v>415</v>
      </c>
      <c r="E10" s="327" t="e">
        <f>E12+E11-MB!E12</f>
        <v>#REF!</v>
      </c>
      <c r="F10" s="12" t="s">
        <v>34</v>
      </c>
      <c r="G10" s="89">
        <f>IF(G9*G3&gt;14,"14",G9*G3)</f>
        <v>10.883744062865244</v>
      </c>
      <c r="H10" s="120"/>
      <c r="I10" s="12" t="s">
        <v>34</v>
      </c>
      <c r="J10" s="89">
        <f>IF(J9*J3&gt;3,"3",J9*J3)</f>
        <v>2.1448566070530122</v>
      </c>
      <c r="L10" s="119"/>
    </row>
    <row r="11" spans="3:31">
      <c r="D11" s="292"/>
      <c r="E11" s="3" t="e">
        <f>HDD!E10</f>
        <v>#REF!</v>
      </c>
      <c r="F11" s="12"/>
      <c r="G11" s="52"/>
      <c r="H11" s="1"/>
      <c r="I11" s="12"/>
      <c r="J11" s="52"/>
      <c r="AD11" s="17" t="s">
        <v>849</v>
      </c>
      <c r="AE11" s="17" t="s">
        <v>848</v>
      </c>
    </row>
    <row r="12" spans="3:31" ht="24" customHeight="1">
      <c r="E12" s="17">
        <f>SUMIFS($E$13:$E$474,$D$13:$D$474,$D$13)</f>
        <v>218630</v>
      </c>
      <c r="I12" s="205"/>
      <c r="AA12" s="17">
        <f>SUM(AA14:AA233)</f>
        <v>218630</v>
      </c>
      <c r="AB12" s="329">
        <f>E12-AA12</f>
        <v>0</v>
      </c>
      <c r="AD12" s="17">
        <v>370730</v>
      </c>
    </row>
    <row r="13" spans="3:31" ht="27.6">
      <c r="C13" s="20" t="s">
        <v>97</v>
      </c>
      <c r="D13" s="28" t="s">
        <v>22</v>
      </c>
      <c r="E13" s="38" t="s">
        <v>24</v>
      </c>
      <c r="F13" s="30" t="s">
        <v>14</v>
      </c>
      <c r="G13" s="30" t="s">
        <v>265</v>
      </c>
      <c r="H13" s="30" t="s">
        <v>15</v>
      </c>
      <c r="I13" s="31" t="s">
        <v>16</v>
      </c>
      <c r="J13" s="31" t="s">
        <v>17</v>
      </c>
      <c r="K13" s="293" t="s">
        <v>18</v>
      </c>
      <c r="L13" s="32" t="s">
        <v>23</v>
      </c>
      <c r="M13" s="84" t="s">
        <v>575</v>
      </c>
      <c r="N13" s="172" t="s">
        <v>1</v>
      </c>
      <c r="O13" s="172" t="s">
        <v>3</v>
      </c>
      <c r="P13" s="172" t="s">
        <v>4</v>
      </c>
      <c r="Q13" s="172" t="s">
        <v>5</v>
      </c>
      <c r="R13" s="172" t="s">
        <v>6</v>
      </c>
      <c r="S13" s="172" t="s">
        <v>842</v>
      </c>
      <c r="T13" s="172" t="s">
        <v>8</v>
      </c>
      <c r="U13" s="172" t="s">
        <v>9</v>
      </c>
      <c r="V13" s="172" t="s">
        <v>10</v>
      </c>
      <c r="W13" s="172" t="s">
        <v>11</v>
      </c>
      <c r="X13" s="172" t="s">
        <v>12</v>
      </c>
      <c r="Y13" s="172" t="s">
        <v>210</v>
      </c>
      <c r="Z13" s="26" t="s">
        <v>116</v>
      </c>
      <c r="AA13" s="24" t="s">
        <v>124</v>
      </c>
      <c r="AD13" s="24" t="s">
        <v>124</v>
      </c>
    </row>
    <row r="14" spans="3:31" ht="15.6" hidden="1">
      <c r="C14" s="314"/>
      <c r="D14" s="174" t="s">
        <v>22</v>
      </c>
      <c r="E14" s="181">
        <f>SUM(N14:Y14)</f>
        <v>1800</v>
      </c>
      <c r="F14" s="183" t="s">
        <v>107</v>
      </c>
      <c r="G14" s="183" t="s">
        <v>394</v>
      </c>
      <c r="H14" s="181"/>
      <c r="I14" s="182"/>
      <c r="J14" s="182"/>
      <c r="K14" s="182" t="s">
        <v>691</v>
      </c>
      <c r="L14" s="182"/>
      <c r="M14" s="358"/>
      <c r="N14" s="181">
        <f>SUMIFS('FCST data'!Q:Q,'FCST data'!$D:$D,$F14,'FCST data'!$K:$K,$G14,'FCST data'!$N:$N,'SSD_eMMC_non volatile'!$K14)</f>
        <v>600</v>
      </c>
      <c r="O14" s="181">
        <f>SUMIFS('FCST data'!R:R,'FCST data'!$D:$D,$F14,'FCST data'!$K:$K,$G14,'FCST data'!$N:$N,'SSD_eMMC_non volatile'!$K14)</f>
        <v>600</v>
      </c>
      <c r="P14" s="181">
        <f>SUMIFS('FCST data'!S:S,'FCST data'!$D:$D,$F14,'FCST data'!$K:$K,$G14,'FCST data'!$N:$N,'SSD_eMMC_non volatile'!$K14)</f>
        <v>600</v>
      </c>
      <c r="Q14" s="181">
        <f>SUMIFS('FCST data'!T:T,'FCST data'!$D:$D,$F14,'FCST data'!$K:$K,$G14,'FCST data'!$N:$N,'SSD_eMMC_non volatile'!$K14)</f>
        <v>0</v>
      </c>
      <c r="R14" s="181">
        <f>SUMIFS('FCST data'!U:U,'FCST data'!$D:$D,$F14,'FCST data'!$K:$K,$G14,'FCST data'!$N:$N,'SSD_eMMC_non volatile'!$K14)</f>
        <v>0</v>
      </c>
      <c r="S14" s="181">
        <f>SUMIFS('FCST data'!V:V,'FCST data'!$D:$D,$F14,'FCST data'!$K:$K,$G14,'FCST data'!$N:$N,'SSD_eMMC_non volatile'!$K14)</f>
        <v>0</v>
      </c>
      <c r="T14" s="181">
        <f>SUMIFS('FCST data'!W:W,'FCST data'!$D:$D,$F14,'FCST data'!$K:$K,$G14,'FCST data'!$N:$N,'SSD_eMMC_non volatile'!$K14)</f>
        <v>0</v>
      </c>
      <c r="U14" s="181">
        <f>SUMIFS('FCST data'!X:X,'FCST data'!$D:$D,$F14,'FCST data'!$K:$K,$G14,'FCST data'!$N:$N,'SSD_eMMC_non volatile'!$K14)</f>
        <v>0</v>
      </c>
      <c r="V14" s="181">
        <f>SUMIFS('FCST data'!Y:Y,'FCST data'!$D:$D,$F14,'FCST data'!$K:$K,$G14,'FCST data'!$N:$N,'SSD_eMMC_non volatile'!$K14)</f>
        <v>0</v>
      </c>
      <c r="W14" s="181">
        <f>SUMIFS('FCST data'!Z:Z,'FCST data'!$D:$D,$F14,'FCST data'!$K:$K,$G14,'FCST data'!$N:$N,'SSD_eMMC_non volatile'!$K14)</f>
        <v>0</v>
      </c>
      <c r="X14" s="181">
        <f>SUMIFS('FCST data'!AA:AA,'FCST data'!$D:$D,$F14,'FCST data'!$K:$K,$G14,'FCST data'!$N:$N,'SSD_eMMC_non volatile'!$K14)</f>
        <v>0</v>
      </c>
      <c r="Y14" s="181">
        <f>SUMIFS('FCST data'!AB:AB,'FCST data'!$D:$D,$F14,'FCST data'!$K:$K,$G14,'FCST data'!$N:$N,'SSD_eMMC_non volatile'!$K14)</f>
        <v>0</v>
      </c>
      <c r="Z14" s="148"/>
      <c r="AA14" s="320"/>
      <c r="AB14" s="17">
        <f>E14-SUM(AA15:AA16)</f>
        <v>0</v>
      </c>
      <c r="AD14" s="320"/>
      <c r="AE14" s="17">
        <v>0</v>
      </c>
    </row>
    <row r="15" spans="3:31" ht="14.4" hidden="1">
      <c r="C15" s="283"/>
      <c r="D15" s="284"/>
      <c r="E15" s="147"/>
      <c r="F15" s="151" t="s">
        <v>107</v>
      </c>
      <c r="G15" s="151" t="s">
        <v>394</v>
      </c>
      <c r="H15" s="284" t="s">
        <v>724</v>
      </c>
      <c r="I15" s="287" t="s">
        <v>725</v>
      </c>
      <c r="J15" s="287" t="s">
        <v>115</v>
      </c>
      <c r="K15" s="287" t="s">
        <v>269</v>
      </c>
      <c r="L15" s="294">
        <v>2</v>
      </c>
      <c r="M15" s="362"/>
      <c r="N15" s="291">
        <v>600</v>
      </c>
      <c r="O15" s="291">
        <v>600</v>
      </c>
      <c r="P15" s="291">
        <v>600</v>
      </c>
      <c r="Q15" s="291"/>
      <c r="R15" s="291"/>
      <c r="S15" s="291"/>
      <c r="T15" s="291"/>
      <c r="U15" s="291"/>
      <c r="V15" s="291"/>
      <c r="W15" s="291"/>
      <c r="X15" s="291"/>
      <c r="Y15" s="291"/>
      <c r="Z15" s="177">
        <f>SUM(N15:Y15)*L15</f>
        <v>3600</v>
      </c>
      <c r="AA15" s="8">
        <f>SUM(N15:Y15)</f>
        <v>1800</v>
      </c>
      <c r="AD15" s="8">
        <v>7500</v>
      </c>
      <c r="AE15" s="17">
        <v>1000</v>
      </c>
    </row>
    <row r="16" spans="3:31" ht="14.4">
      <c r="C16" s="283"/>
      <c r="D16" s="284"/>
      <c r="E16" s="147"/>
      <c r="F16" s="286" t="s">
        <v>107</v>
      </c>
      <c r="G16" s="286" t="s">
        <v>394</v>
      </c>
      <c r="H16" s="284" t="s">
        <v>723</v>
      </c>
      <c r="I16" s="287" t="s">
        <v>305</v>
      </c>
      <c r="J16" s="287" t="s">
        <v>115</v>
      </c>
      <c r="K16" s="287" t="s">
        <v>269</v>
      </c>
      <c r="L16" s="294">
        <v>1</v>
      </c>
      <c r="M16" s="362"/>
      <c r="N16" s="291"/>
      <c r="O16" s="291"/>
      <c r="P16" s="291"/>
      <c r="Q16" s="291"/>
      <c r="R16" s="291"/>
      <c r="S16" s="291"/>
      <c r="T16" s="291"/>
      <c r="U16" s="291"/>
      <c r="V16" s="291"/>
      <c r="W16" s="291"/>
      <c r="X16" s="291"/>
      <c r="Y16" s="291"/>
      <c r="Z16" s="177">
        <f>SUM(N16:Y16)*L16</f>
        <v>0</v>
      </c>
      <c r="AA16" s="8">
        <f>SUM(N16:Y16)</f>
        <v>0</v>
      </c>
      <c r="AD16" s="8">
        <v>0</v>
      </c>
      <c r="AE16" s="17">
        <v>0</v>
      </c>
    </row>
    <row r="17" spans="2:31" ht="15.6" hidden="1">
      <c r="C17" s="314"/>
      <c r="D17" s="174" t="s">
        <v>22</v>
      </c>
      <c r="E17" s="181">
        <f>SUM(N17:Y17)</f>
        <v>19500</v>
      </c>
      <c r="F17" s="183" t="s">
        <v>107</v>
      </c>
      <c r="G17" s="183" t="s">
        <v>394</v>
      </c>
      <c r="H17" s="181"/>
      <c r="I17" s="182"/>
      <c r="J17" s="182"/>
      <c r="K17" s="182" t="s">
        <v>360</v>
      </c>
      <c r="L17" s="182"/>
      <c r="M17" s="358"/>
      <c r="N17" s="181">
        <f>SUMIFS('FCST data'!Q:Q,'FCST data'!$D:$D,$F17,'FCST data'!$K:$K,$G17,'FCST data'!$N:$N,'SSD_eMMC_non volatile'!$K17)</f>
        <v>8200</v>
      </c>
      <c r="O17" s="181">
        <f>SUMIFS('FCST data'!R:R,'FCST data'!$D:$D,$F17,'FCST data'!$K:$K,$G17,'FCST data'!$N:$N,'SSD_eMMC_non volatile'!$K17)</f>
        <v>5100</v>
      </c>
      <c r="P17" s="181">
        <f>SUMIFS('FCST data'!S:S,'FCST data'!$D:$D,$F17,'FCST data'!$K:$K,$G17,'FCST data'!$N:$N,'SSD_eMMC_non volatile'!$K17)</f>
        <v>6200</v>
      </c>
      <c r="Q17" s="181">
        <f>SUMIFS('FCST data'!T:T,'FCST data'!$D:$D,$F17,'FCST data'!$K:$K,$G17,'FCST data'!$N:$N,'SSD_eMMC_non volatile'!$K17)</f>
        <v>0</v>
      </c>
      <c r="R17" s="181">
        <f>SUMIFS('FCST data'!U:U,'FCST data'!$D:$D,$F17,'FCST data'!$K:$K,$G17,'FCST data'!$N:$N,'SSD_eMMC_non volatile'!$K17)</f>
        <v>0</v>
      </c>
      <c r="S17" s="181">
        <f>SUMIFS('FCST data'!V:V,'FCST data'!$D:$D,$F17,'FCST data'!$K:$K,$G17,'FCST data'!$N:$N,'SSD_eMMC_non volatile'!$K17)</f>
        <v>0</v>
      </c>
      <c r="T17" s="181">
        <f>SUMIFS('FCST data'!W:W,'FCST data'!$D:$D,$F17,'FCST data'!$K:$K,$G17,'FCST data'!$N:$N,'SSD_eMMC_non volatile'!$K17)</f>
        <v>0</v>
      </c>
      <c r="U17" s="181">
        <f>SUMIFS('FCST data'!X:X,'FCST data'!$D:$D,$F17,'FCST data'!$K:$K,$G17,'FCST data'!$N:$N,'SSD_eMMC_non volatile'!$K17)</f>
        <v>0</v>
      </c>
      <c r="V17" s="181">
        <f>SUMIFS('FCST data'!Y:Y,'FCST data'!$D:$D,$F17,'FCST data'!$K:$K,$G17,'FCST data'!$N:$N,'SSD_eMMC_non volatile'!$K17)</f>
        <v>0</v>
      </c>
      <c r="W17" s="181">
        <f>SUMIFS('FCST data'!Z:Z,'FCST data'!$D:$D,$F17,'FCST data'!$K:$K,$G17,'FCST data'!$N:$N,'SSD_eMMC_non volatile'!$K17)</f>
        <v>0</v>
      </c>
      <c r="X17" s="181">
        <f>SUMIFS('FCST data'!AA:AA,'FCST data'!$D:$D,$F17,'FCST data'!$K:$K,$G17,'FCST data'!$N:$N,'SSD_eMMC_non volatile'!$K17)</f>
        <v>0</v>
      </c>
      <c r="Y17" s="181">
        <f>SUMIFS('FCST data'!AB:AB,'FCST data'!$D:$D,$F17,'FCST data'!$K:$K,$G17,'FCST data'!$N:$N,'SSD_eMMC_non volatile'!$K17)</f>
        <v>0</v>
      </c>
      <c r="Z17" s="148"/>
      <c r="AA17" s="320"/>
      <c r="AB17" s="17">
        <f>E17-SUM(AA18:AA22)</f>
        <v>0</v>
      </c>
      <c r="AD17" s="320"/>
      <c r="AE17" s="17">
        <v>0</v>
      </c>
    </row>
    <row r="18" spans="2:31" ht="14.4" hidden="1">
      <c r="C18" s="283"/>
      <c r="D18" s="284"/>
      <c r="E18" s="147"/>
      <c r="F18" s="151" t="s">
        <v>107</v>
      </c>
      <c r="G18" s="151" t="s">
        <v>394</v>
      </c>
      <c r="H18" s="284" t="s">
        <v>724</v>
      </c>
      <c r="I18" s="287" t="s">
        <v>725</v>
      </c>
      <c r="J18" s="287" t="s">
        <v>115</v>
      </c>
      <c r="K18" s="287" t="s">
        <v>117</v>
      </c>
      <c r="L18" s="294">
        <v>1</v>
      </c>
      <c r="M18" s="362" t="s">
        <v>643</v>
      </c>
      <c r="N18" s="291"/>
      <c r="O18" s="291"/>
      <c r="P18" s="291"/>
      <c r="Q18" s="291"/>
      <c r="R18" s="291"/>
      <c r="S18" s="291"/>
      <c r="T18" s="291"/>
      <c r="U18" s="291"/>
      <c r="V18" s="291"/>
      <c r="W18" s="291"/>
      <c r="X18" s="291"/>
      <c r="Y18" s="291"/>
      <c r="Z18" s="177">
        <f>SUM(N18:Y18)*L18</f>
        <v>0</v>
      </c>
      <c r="AA18" s="8">
        <f>SUM(N18:Y18)</f>
        <v>0</v>
      </c>
      <c r="AD18" s="8">
        <v>0</v>
      </c>
      <c r="AE18" s="17">
        <v>0</v>
      </c>
    </row>
    <row r="19" spans="2:31" ht="14.4" hidden="1">
      <c r="B19" s="395" t="s">
        <v>763</v>
      </c>
      <c r="C19" s="283"/>
      <c r="D19" s="284"/>
      <c r="E19" s="147"/>
      <c r="F19" s="286" t="s">
        <v>107</v>
      </c>
      <c r="G19" s="286" t="s">
        <v>394</v>
      </c>
      <c r="H19" s="348" t="s">
        <v>723</v>
      </c>
      <c r="I19" s="349" t="s">
        <v>726</v>
      </c>
      <c r="J19" s="349" t="s">
        <v>115</v>
      </c>
      <c r="K19" s="349" t="s">
        <v>117</v>
      </c>
      <c r="L19" s="396">
        <v>2</v>
      </c>
      <c r="M19" s="361" t="s">
        <v>271</v>
      </c>
      <c r="N19" s="291"/>
      <c r="O19" s="291"/>
      <c r="P19" s="291"/>
      <c r="Q19" s="291"/>
      <c r="R19" s="291"/>
      <c r="S19" s="291"/>
      <c r="T19" s="291"/>
      <c r="U19" s="291"/>
      <c r="V19" s="291"/>
      <c r="W19" s="291"/>
      <c r="X19" s="291"/>
      <c r="Y19" s="291"/>
      <c r="Z19" s="177">
        <f>SUM(N19:Y19)*L19</f>
        <v>0</v>
      </c>
      <c r="AA19" s="8">
        <f>SUM(N19:Y19)</f>
        <v>0</v>
      </c>
      <c r="AD19" s="8">
        <v>24800</v>
      </c>
      <c r="AE19" s="17">
        <v>0</v>
      </c>
    </row>
    <row r="20" spans="2:31" ht="14.4" hidden="1">
      <c r="B20" s="395" t="s">
        <v>763</v>
      </c>
      <c r="C20" s="283"/>
      <c r="D20" s="284"/>
      <c r="E20" s="147"/>
      <c r="F20" s="286" t="s">
        <v>107</v>
      </c>
      <c r="G20" s="286" t="s">
        <v>394</v>
      </c>
      <c r="H20" s="348" t="s">
        <v>723</v>
      </c>
      <c r="I20" s="349" t="s">
        <v>27</v>
      </c>
      <c r="J20" s="349" t="s">
        <v>115</v>
      </c>
      <c r="K20" s="349" t="s">
        <v>117</v>
      </c>
      <c r="L20" s="396">
        <v>2</v>
      </c>
      <c r="M20" s="361" t="s">
        <v>270</v>
      </c>
      <c r="N20" s="291"/>
      <c r="O20" s="291"/>
      <c r="P20" s="291"/>
      <c r="Q20" s="291"/>
      <c r="R20" s="291"/>
      <c r="S20" s="291"/>
      <c r="T20" s="291"/>
      <c r="U20" s="291"/>
      <c r="V20" s="291"/>
      <c r="W20" s="291"/>
      <c r="X20" s="291"/>
      <c r="Y20" s="291"/>
      <c r="Z20" s="177">
        <f>SUM(N20:Y20)*L20</f>
        <v>0</v>
      </c>
      <c r="AA20" s="8">
        <f>SUM(N20:Y20)</f>
        <v>0</v>
      </c>
      <c r="AD20" s="8">
        <v>0</v>
      </c>
      <c r="AE20" s="17">
        <v>0</v>
      </c>
    </row>
    <row r="21" spans="2:31" ht="14.4" hidden="1">
      <c r="C21" s="283"/>
      <c r="D21" s="284"/>
      <c r="E21" s="147"/>
      <c r="F21" s="286" t="s">
        <v>107</v>
      </c>
      <c r="G21" s="286" t="s">
        <v>394</v>
      </c>
      <c r="H21" s="284" t="s">
        <v>723</v>
      </c>
      <c r="I21" s="284" t="s">
        <v>465</v>
      </c>
      <c r="J21" s="284" t="s">
        <v>115</v>
      </c>
      <c r="K21" s="287" t="s">
        <v>117</v>
      </c>
      <c r="L21" s="294">
        <v>2</v>
      </c>
      <c r="M21" s="362" t="s">
        <v>533</v>
      </c>
      <c r="N21" s="291">
        <v>8200</v>
      </c>
      <c r="O21" s="291">
        <v>5100</v>
      </c>
      <c r="P21" s="291">
        <v>6200</v>
      </c>
      <c r="Q21" s="291"/>
      <c r="R21" s="291"/>
      <c r="S21" s="291"/>
      <c r="T21" s="291"/>
      <c r="U21" s="291"/>
      <c r="V21" s="291"/>
      <c r="W21" s="291"/>
      <c r="X21" s="291"/>
      <c r="Y21" s="291"/>
      <c r="Z21" s="177">
        <f>SUM(N21:Y21)*L21</f>
        <v>39000</v>
      </c>
      <c r="AA21" s="8">
        <f>SUM(N21:Y21)</f>
        <v>19500</v>
      </c>
      <c r="AD21" s="8">
        <v>69500</v>
      </c>
      <c r="AE21" s="17">
        <v>12100</v>
      </c>
    </row>
    <row r="22" spans="2:31" ht="14.4">
      <c r="C22" s="283"/>
      <c r="D22" s="284"/>
      <c r="E22" s="147"/>
      <c r="F22" s="286" t="s">
        <v>107</v>
      </c>
      <c r="G22" s="286" t="s">
        <v>394</v>
      </c>
      <c r="H22" s="284" t="s">
        <v>723</v>
      </c>
      <c r="I22" s="287" t="s">
        <v>305</v>
      </c>
      <c r="J22" s="287" t="s">
        <v>115</v>
      </c>
      <c r="K22" s="287" t="s">
        <v>117</v>
      </c>
      <c r="L22" s="294">
        <v>2</v>
      </c>
      <c r="M22" s="362"/>
      <c r="N22" s="291"/>
      <c r="O22" s="291"/>
      <c r="P22" s="291"/>
      <c r="Q22" s="291"/>
      <c r="R22" s="291"/>
      <c r="S22" s="291"/>
      <c r="T22" s="291"/>
      <c r="U22" s="291"/>
      <c r="V22" s="291"/>
      <c r="W22" s="291"/>
      <c r="X22" s="291"/>
      <c r="Y22" s="291"/>
      <c r="Z22" s="177">
        <f>SUM(N22:Y22)*L22</f>
        <v>0</v>
      </c>
      <c r="AA22" s="8">
        <f>SUM(N22:Y22)</f>
        <v>0</v>
      </c>
      <c r="AD22" s="8">
        <v>0</v>
      </c>
      <c r="AE22" s="17">
        <v>0</v>
      </c>
    </row>
    <row r="23" spans="2:31" ht="15.6" hidden="1">
      <c r="C23" s="314"/>
      <c r="D23" s="174" t="s">
        <v>22</v>
      </c>
      <c r="E23" s="181">
        <f>SUM(N23:Y23)</f>
        <v>19200</v>
      </c>
      <c r="F23" s="183" t="s">
        <v>107</v>
      </c>
      <c r="G23" s="183" t="s">
        <v>297</v>
      </c>
      <c r="H23" s="181"/>
      <c r="I23" s="182"/>
      <c r="J23" s="182"/>
      <c r="K23" s="182" t="s">
        <v>360</v>
      </c>
      <c r="L23" s="182"/>
      <c r="M23" s="358"/>
      <c r="N23" s="181">
        <f>SUMIFS('FCST data'!Q:Q,'FCST data'!$D:$D,$F23,'FCST data'!$K:$K,$G23,'FCST data'!$N:$N,'SSD_eMMC_non volatile'!$K23)</f>
        <v>4700</v>
      </c>
      <c r="O23" s="181">
        <f>SUMIFS('FCST data'!R:R,'FCST data'!$D:$D,$F23,'FCST data'!$K:$K,$G23,'FCST data'!$N:$N,'SSD_eMMC_non volatile'!$K23)</f>
        <v>3000</v>
      </c>
      <c r="P23" s="181">
        <f>SUMIFS('FCST data'!S:S,'FCST data'!$D:$D,$F23,'FCST data'!$K:$K,$G23,'FCST data'!$N:$N,'SSD_eMMC_non volatile'!$K23)</f>
        <v>7000</v>
      </c>
      <c r="Q23" s="181">
        <f>SUMIFS('FCST data'!T:T,'FCST data'!$D:$D,$F23,'FCST data'!$K:$K,$G23,'FCST data'!$N:$N,'SSD_eMMC_non volatile'!$K23)</f>
        <v>4500</v>
      </c>
      <c r="R23" s="181">
        <f>SUMIFS('FCST data'!U:U,'FCST data'!$D:$D,$F23,'FCST data'!$K:$K,$G23,'FCST data'!$N:$N,'SSD_eMMC_non volatile'!$K23)</f>
        <v>0</v>
      </c>
      <c r="S23" s="181">
        <f>SUMIFS('FCST data'!V:V,'FCST data'!$D:$D,$F23,'FCST data'!$K:$K,$G23,'FCST data'!$N:$N,'SSD_eMMC_non volatile'!$K23)</f>
        <v>0</v>
      </c>
      <c r="T23" s="181">
        <f>SUMIFS('FCST data'!W:W,'FCST data'!$D:$D,$F23,'FCST data'!$K:$K,$G23,'FCST data'!$N:$N,'SSD_eMMC_non volatile'!$K23)</f>
        <v>0</v>
      </c>
      <c r="U23" s="181">
        <f>SUMIFS('FCST data'!X:X,'FCST data'!$D:$D,$F23,'FCST data'!$K:$K,$G23,'FCST data'!$N:$N,'SSD_eMMC_non volatile'!$K23)</f>
        <v>0</v>
      </c>
      <c r="V23" s="181">
        <f>SUMIFS('FCST data'!Y:Y,'FCST data'!$D:$D,$F23,'FCST data'!$K:$K,$G23,'FCST data'!$N:$N,'SSD_eMMC_non volatile'!$K23)</f>
        <v>0</v>
      </c>
      <c r="W23" s="181">
        <f>SUMIFS('FCST data'!Z:Z,'FCST data'!$D:$D,$F23,'FCST data'!$K:$K,$G23,'FCST data'!$N:$N,'SSD_eMMC_non volatile'!$K23)</f>
        <v>0</v>
      </c>
      <c r="X23" s="181">
        <f>SUMIFS('FCST data'!AA:AA,'FCST data'!$D:$D,$F23,'FCST data'!$K:$K,$G23,'FCST data'!$N:$N,'SSD_eMMC_non volatile'!$K23)</f>
        <v>0</v>
      </c>
      <c r="Y23" s="181">
        <f>SUMIFS('FCST data'!AB:AB,'FCST data'!$D:$D,$F23,'FCST data'!$K:$K,$G23,'FCST data'!$N:$N,'SSD_eMMC_non volatile'!$K23)</f>
        <v>0</v>
      </c>
      <c r="Z23" s="148"/>
      <c r="AA23" s="320"/>
      <c r="AB23" s="17">
        <f>E23-SUM(AA24:AA28)</f>
        <v>0</v>
      </c>
      <c r="AD23" s="320"/>
      <c r="AE23" s="17">
        <v>0</v>
      </c>
    </row>
    <row r="24" spans="2:31" ht="14.4" hidden="1">
      <c r="C24" s="283"/>
      <c r="D24" s="284"/>
      <c r="E24" s="147"/>
      <c r="F24" s="199" t="s">
        <v>107</v>
      </c>
      <c r="G24" s="199" t="s">
        <v>297</v>
      </c>
      <c r="H24" s="284" t="s">
        <v>724</v>
      </c>
      <c r="I24" s="287" t="s">
        <v>725</v>
      </c>
      <c r="J24" s="287" t="s">
        <v>115</v>
      </c>
      <c r="K24" s="287" t="s">
        <v>117</v>
      </c>
      <c r="L24" s="294">
        <v>1</v>
      </c>
      <c r="M24" s="362" t="s">
        <v>643</v>
      </c>
      <c r="N24" s="291"/>
      <c r="O24" s="291"/>
      <c r="P24" s="291"/>
      <c r="Q24" s="291"/>
      <c r="R24" s="291"/>
      <c r="S24" s="291"/>
      <c r="T24" s="291"/>
      <c r="U24" s="291"/>
      <c r="V24" s="291"/>
      <c r="W24" s="291"/>
      <c r="X24" s="291"/>
      <c r="Y24" s="291"/>
      <c r="Z24" s="177">
        <f>SUM(N24:Y24)*L24</f>
        <v>0</v>
      </c>
      <c r="AA24" s="8">
        <f>SUM(N24:Y24)</f>
        <v>0</v>
      </c>
      <c r="AD24" s="8">
        <v>0</v>
      </c>
      <c r="AE24" s="17">
        <v>0</v>
      </c>
    </row>
    <row r="25" spans="2:31" ht="14.4" hidden="1">
      <c r="B25" s="395" t="s">
        <v>763</v>
      </c>
      <c r="C25" s="283"/>
      <c r="D25" s="284"/>
      <c r="E25" s="147"/>
      <c r="F25" s="199" t="s">
        <v>107</v>
      </c>
      <c r="G25" s="199" t="s">
        <v>297</v>
      </c>
      <c r="H25" s="348" t="s">
        <v>723</v>
      </c>
      <c r="I25" s="349" t="s">
        <v>245</v>
      </c>
      <c r="J25" s="349" t="s">
        <v>115</v>
      </c>
      <c r="K25" s="349" t="s">
        <v>117</v>
      </c>
      <c r="L25" s="396">
        <v>2</v>
      </c>
      <c r="M25" s="361" t="s">
        <v>271</v>
      </c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177">
        <f>SUM(N25:Y25)*L25</f>
        <v>0</v>
      </c>
      <c r="AA25" s="8">
        <f>SUM(N25:Y25)</f>
        <v>0</v>
      </c>
      <c r="AD25" s="8">
        <v>14200</v>
      </c>
      <c r="AE25" s="17">
        <v>0</v>
      </c>
    </row>
    <row r="26" spans="2:31" ht="14.4" hidden="1">
      <c r="B26" s="395" t="s">
        <v>763</v>
      </c>
      <c r="C26" s="283"/>
      <c r="D26" s="284"/>
      <c r="E26" s="147"/>
      <c r="F26" s="199" t="s">
        <v>107</v>
      </c>
      <c r="G26" s="199" t="s">
        <v>297</v>
      </c>
      <c r="H26" s="348" t="s">
        <v>723</v>
      </c>
      <c r="I26" s="349" t="s">
        <v>27</v>
      </c>
      <c r="J26" s="349" t="s">
        <v>115</v>
      </c>
      <c r="K26" s="349" t="s">
        <v>117</v>
      </c>
      <c r="L26" s="396">
        <v>2</v>
      </c>
      <c r="M26" s="361" t="s">
        <v>270</v>
      </c>
      <c r="N26" s="291"/>
      <c r="O26" s="291"/>
      <c r="P26" s="291"/>
      <c r="Q26" s="291"/>
      <c r="R26" s="291"/>
      <c r="S26" s="291"/>
      <c r="T26" s="291"/>
      <c r="U26" s="291"/>
      <c r="V26" s="291"/>
      <c r="W26" s="291"/>
      <c r="X26" s="291"/>
      <c r="Y26" s="291"/>
      <c r="Z26" s="177">
        <f>SUM(N26:Y26)*L26</f>
        <v>0</v>
      </c>
      <c r="AA26" s="8">
        <f>SUM(N26:Y26)</f>
        <v>0</v>
      </c>
      <c r="AD26" s="8">
        <v>800</v>
      </c>
      <c r="AE26" s="17">
        <v>0</v>
      </c>
    </row>
    <row r="27" spans="2:31" ht="14.4" hidden="1">
      <c r="C27" s="283"/>
      <c r="D27" s="284"/>
      <c r="E27" s="147"/>
      <c r="F27" s="286" t="s">
        <v>107</v>
      </c>
      <c r="G27" s="199" t="s">
        <v>297</v>
      </c>
      <c r="H27" s="284" t="s">
        <v>723</v>
      </c>
      <c r="I27" s="284" t="s">
        <v>465</v>
      </c>
      <c r="J27" s="284" t="s">
        <v>115</v>
      </c>
      <c r="K27" s="287" t="s">
        <v>117</v>
      </c>
      <c r="L27" s="294">
        <v>2</v>
      </c>
      <c r="M27" s="362" t="s">
        <v>533</v>
      </c>
      <c r="N27" s="291">
        <v>4700</v>
      </c>
      <c r="O27" s="291">
        <v>3000</v>
      </c>
      <c r="P27" s="291">
        <v>7000</v>
      </c>
      <c r="Q27" s="291">
        <v>4500</v>
      </c>
      <c r="R27" s="291"/>
      <c r="S27" s="291"/>
      <c r="T27" s="291"/>
      <c r="U27" s="291"/>
      <c r="V27" s="291"/>
      <c r="W27" s="291"/>
      <c r="X27" s="291"/>
      <c r="Y27" s="291"/>
      <c r="Z27" s="177">
        <f>SUM(N27:Y27)*L27</f>
        <v>38400</v>
      </c>
      <c r="AA27" s="8">
        <f>SUM(N27:Y27)</f>
        <v>19200</v>
      </c>
      <c r="AD27" s="8">
        <v>44000</v>
      </c>
      <c r="AE27" s="17">
        <v>3700</v>
      </c>
    </row>
    <row r="28" spans="2:31" ht="14.4">
      <c r="C28" s="283"/>
      <c r="D28" s="284"/>
      <c r="E28" s="147"/>
      <c r="F28" s="199" t="s">
        <v>107</v>
      </c>
      <c r="G28" s="199" t="s">
        <v>297</v>
      </c>
      <c r="H28" s="284" t="s">
        <v>723</v>
      </c>
      <c r="I28" s="287" t="s">
        <v>305</v>
      </c>
      <c r="J28" s="287" t="s">
        <v>115</v>
      </c>
      <c r="K28" s="287" t="s">
        <v>117</v>
      </c>
      <c r="L28" s="294">
        <v>2</v>
      </c>
      <c r="M28" s="362"/>
      <c r="N28" s="291"/>
      <c r="O28" s="291"/>
      <c r="P28" s="291"/>
      <c r="Q28" s="291"/>
      <c r="R28" s="291"/>
      <c r="S28" s="291"/>
      <c r="T28" s="291"/>
      <c r="U28" s="291"/>
      <c r="V28" s="291"/>
      <c r="W28" s="291"/>
      <c r="X28" s="291"/>
      <c r="Y28" s="291"/>
      <c r="Z28" s="177">
        <f>SUM(N28:Y28)*L28</f>
        <v>0</v>
      </c>
      <c r="AA28" s="8">
        <f>SUM(N28:Y28)</f>
        <v>0</v>
      </c>
      <c r="AD28" s="8">
        <v>0</v>
      </c>
      <c r="AE28" s="17">
        <v>0</v>
      </c>
    </row>
    <row r="29" spans="2:31" ht="15.6" hidden="1">
      <c r="C29" s="314"/>
      <c r="D29" s="174" t="s">
        <v>22</v>
      </c>
      <c r="E29" s="181">
        <f>SUM(N29:Y29)</f>
        <v>3850</v>
      </c>
      <c r="F29" s="183" t="s">
        <v>107</v>
      </c>
      <c r="G29" s="183" t="s">
        <v>297</v>
      </c>
      <c r="H29" s="181"/>
      <c r="I29" s="182"/>
      <c r="J29" s="182"/>
      <c r="K29" s="182" t="s">
        <v>369</v>
      </c>
      <c r="L29" s="182"/>
      <c r="M29" s="358"/>
      <c r="N29" s="181">
        <f>SUMIFS('FCST data'!Q:Q,'FCST data'!$D:$D,$F29,'FCST data'!$K:$K,$G29,'FCST data'!$N:$N,'SSD_eMMC_non volatile'!$K29)</f>
        <v>800</v>
      </c>
      <c r="O29" s="181">
        <f>SUMIFS('FCST data'!R:R,'FCST data'!$D:$D,$F29,'FCST data'!$K:$K,$G29,'FCST data'!$N:$N,'SSD_eMMC_non volatile'!$K29)</f>
        <v>800</v>
      </c>
      <c r="P29" s="181">
        <f>SUMIFS('FCST data'!S:S,'FCST data'!$D:$D,$F29,'FCST data'!$K:$K,$G29,'FCST data'!$N:$N,'SSD_eMMC_non volatile'!$K29)</f>
        <v>1000</v>
      </c>
      <c r="Q29" s="181">
        <f>SUMIFS('FCST data'!T:T,'FCST data'!$D:$D,$F29,'FCST data'!$K:$K,$G29,'FCST data'!$N:$N,'SSD_eMMC_non volatile'!$K29)</f>
        <v>1250</v>
      </c>
      <c r="R29" s="181">
        <f>SUMIFS('FCST data'!U:U,'FCST data'!$D:$D,$F29,'FCST data'!$K:$K,$G29,'FCST data'!$N:$N,'SSD_eMMC_non volatile'!$K29)</f>
        <v>0</v>
      </c>
      <c r="S29" s="181">
        <f>SUMIFS('FCST data'!V:V,'FCST data'!$D:$D,$F29,'FCST data'!$K:$K,$G29,'FCST data'!$N:$N,'SSD_eMMC_non volatile'!$K29)</f>
        <v>0</v>
      </c>
      <c r="T29" s="181">
        <f>SUMIFS('FCST data'!W:W,'FCST data'!$D:$D,$F29,'FCST data'!$K:$K,$G29,'FCST data'!$N:$N,'SSD_eMMC_non volatile'!$K29)</f>
        <v>0</v>
      </c>
      <c r="U29" s="181">
        <f>SUMIFS('FCST data'!X:X,'FCST data'!$D:$D,$F29,'FCST data'!$K:$K,$G29,'FCST data'!$N:$N,'SSD_eMMC_non volatile'!$K29)</f>
        <v>0</v>
      </c>
      <c r="V29" s="181">
        <f>SUMIFS('FCST data'!Y:Y,'FCST data'!$D:$D,$F29,'FCST data'!$K:$K,$G29,'FCST data'!$N:$N,'SSD_eMMC_non volatile'!$K29)</f>
        <v>0</v>
      </c>
      <c r="W29" s="181">
        <f>SUMIFS('FCST data'!Z:Z,'FCST data'!$D:$D,$F29,'FCST data'!$K:$K,$G29,'FCST data'!$N:$N,'SSD_eMMC_non volatile'!$K29)</f>
        <v>0</v>
      </c>
      <c r="X29" s="181">
        <f>SUMIFS('FCST data'!AA:AA,'FCST data'!$D:$D,$F29,'FCST data'!$K:$K,$G29,'FCST data'!$N:$N,'SSD_eMMC_non volatile'!$K29)</f>
        <v>0</v>
      </c>
      <c r="Y29" s="181">
        <f>SUMIFS('FCST data'!AB:AB,'FCST data'!$D:$D,$F29,'FCST data'!$K:$K,$G29,'FCST data'!$N:$N,'SSD_eMMC_non volatile'!$K29)</f>
        <v>0</v>
      </c>
      <c r="Z29" s="148"/>
      <c r="AA29" s="320"/>
      <c r="AB29" s="17">
        <f>E29-SUM(AA30:AA33)</f>
        <v>0</v>
      </c>
      <c r="AD29" s="320"/>
      <c r="AE29" s="17">
        <v>0</v>
      </c>
    </row>
    <row r="30" spans="2:31" ht="14.4" hidden="1">
      <c r="C30" s="283"/>
      <c r="D30" s="284"/>
      <c r="E30" s="147"/>
      <c r="F30" s="199" t="s">
        <v>107</v>
      </c>
      <c r="G30" s="199" t="s">
        <v>297</v>
      </c>
      <c r="H30" s="284" t="s">
        <v>724</v>
      </c>
      <c r="I30" s="287" t="s">
        <v>725</v>
      </c>
      <c r="J30" s="287" t="s">
        <v>115</v>
      </c>
      <c r="K30" s="287" t="s">
        <v>118</v>
      </c>
      <c r="L30" s="294">
        <v>2</v>
      </c>
      <c r="M30" s="362" t="s">
        <v>644</v>
      </c>
      <c r="N30" s="291">
        <v>500</v>
      </c>
      <c r="O30" s="291">
        <v>800</v>
      </c>
      <c r="P30" s="291">
        <v>1000</v>
      </c>
      <c r="Q30" s="291">
        <v>1250</v>
      </c>
      <c r="R30" s="291"/>
      <c r="S30" s="291"/>
      <c r="T30" s="291"/>
      <c r="U30" s="291"/>
      <c r="V30" s="291"/>
      <c r="W30" s="291"/>
      <c r="X30" s="291"/>
      <c r="Y30" s="291"/>
      <c r="Z30" s="177">
        <f>SUM(N30:Y30)*L30</f>
        <v>7100</v>
      </c>
      <c r="AA30" s="8">
        <f>SUM(N30:Y30)</f>
        <v>3550</v>
      </c>
      <c r="AD30" s="8">
        <v>0</v>
      </c>
      <c r="AE30" s="17">
        <v>0</v>
      </c>
    </row>
    <row r="31" spans="2:31" ht="14.4" hidden="1">
      <c r="B31" s="395" t="s">
        <v>763</v>
      </c>
      <c r="C31" s="283"/>
      <c r="D31" s="284"/>
      <c r="E31" s="147"/>
      <c r="F31" s="199" t="s">
        <v>107</v>
      </c>
      <c r="G31" s="199" t="s">
        <v>297</v>
      </c>
      <c r="H31" s="348" t="s">
        <v>723</v>
      </c>
      <c r="I31" s="349" t="s">
        <v>245</v>
      </c>
      <c r="J31" s="349" t="s">
        <v>115</v>
      </c>
      <c r="K31" s="349" t="s">
        <v>118</v>
      </c>
      <c r="L31" s="396">
        <v>2</v>
      </c>
      <c r="M31" s="361" t="s">
        <v>263</v>
      </c>
      <c r="N31" s="291"/>
      <c r="O31" s="291"/>
      <c r="P31" s="291"/>
      <c r="Q31" s="291"/>
      <c r="R31" s="291"/>
      <c r="S31" s="291"/>
      <c r="T31" s="291"/>
      <c r="U31" s="291"/>
      <c r="V31" s="291"/>
      <c r="W31" s="291"/>
      <c r="X31" s="291"/>
      <c r="Y31" s="291"/>
      <c r="Z31" s="177">
        <f>SUM(N31:Y31)*L31</f>
        <v>0</v>
      </c>
      <c r="AA31" s="8">
        <f>SUM(N31:Y31)</f>
        <v>0</v>
      </c>
      <c r="AD31" s="8">
        <v>2330</v>
      </c>
      <c r="AE31" s="17">
        <v>0</v>
      </c>
    </row>
    <row r="32" spans="2:31" ht="14.4" hidden="1">
      <c r="C32" s="283"/>
      <c r="D32" s="284"/>
      <c r="E32" s="147"/>
      <c r="F32" s="199" t="s">
        <v>107</v>
      </c>
      <c r="G32" s="199" t="s">
        <v>297</v>
      </c>
      <c r="H32" s="284" t="s">
        <v>723</v>
      </c>
      <c r="I32" s="284" t="s">
        <v>465</v>
      </c>
      <c r="J32" s="287" t="s">
        <v>115</v>
      </c>
      <c r="K32" s="287" t="s">
        <v>118</v>
      </c>
      <c r="L32" s="294">
        <v>2</v>
      </c>
      <c r="M32" s="362" t="s">
        <v>534</v>
      </c>
      <c r="N32" s="291">
        <v>300</v>
      </c>
      <c r="O32" s="291"/>
      <c r="P32" s="291"/>
      <c r="Q32" s="291"/>
      <c r="R32" s="291"/>
      <c r="S32" s="291"/>
      <c r="T32" s="291"/>
      <c r="U32" s="291"/>
      <c r="V32" s="291"/>
      <c r="W32" s="291"/>
      <c r="X32" s="291"/>
      <c r="Y32" s="291"/>
      <c r="Z32" s="177">
        <f>SUM(N32:Y32)*L32</f>
        <v>600</v>
      </c>
      <c r="AA32" s="8">
        <f>SUM(N32:Y32)</f>
        <v>300</v>
      </c>
      <c r="AD32" s="8">
        <v>8770</v>
      </c>
      <c r="AE32" s="17">
        <v>300</v>
      </c>
    </row>
    <row r="33" spans="2:31" ht="14.4">
      <c r="C33" s="283"/>
      <c r="D33" s="284"/>
      <c r="E33" s="147"/>
      <c r="F33" s="199" t="s">
        <v>107</v>
      </c>
      <c r="G33" s="199" t="s">
        <v>297</v>
      </c>
      <c r="H33" s="284" t="s">
        <v>723</v>
      </c>
      <c r="I33" s="287" t="s">
        <v>466</v>
      </c>
      <c r="J33" s="287" t="s">
        <v>115</v>
      </c>
      <c r="K33" s="287" t="s">
        <v>118</v>
      </c>
      <c r="L33" s="294">
        <v>2</v>
      </c>
      <c r="M33" s="362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177">
        <f>SUM(N33:Y33)*L33</f>
        <v>0</v>
      </c>
      <c r="AA33" s="8">
        <f>SUM(N33:Y33)</f>
        <v>0</v>
      </c>
      <c r="AD33" s="8">
        <v>0</v>
      </c>
      <c r="AE33" s="17">
        <v>0</v>
      </c>
    </row>
    <row r="34" spans="2:31" ht="15.6" hidden="1">
      <c r="C34" s="314"/>
      <c r="D34" s="174" t="s">
        <v>22</v>
      </c>
      <c r="E34" s="181">
        <f>SUM(N34:Y34)</f>
        <v>0</v>
      </c>
      <c r="F34" s="183" t="s">
        <v>110</v>
      </c>
      <c r="G34" s="183" t="s">
        <v>297</v>
      </c>
      <c r="H34" s="181"/>
      <c r="I34" s="182"/>
      <c r="J34" s="182"/>
      <c r="K34" s="182" t="s">
        <v>360</v>
      </c>
      <c r="L34" s="182"/>
      <c r="M34" s="358"/>
      <c r="N34" s="181">
        <f>SUMIFS('FCST data'!Q:Q,'FCST data'!$D:$D,$F34,'FCST data'!$K:$K,$G34,'FCST data'!$N:$N,'SSD_eMMC_non volatile'!$K34)+SUMIFS('FCST data'!Q:Q,'FCST data'!$D:$D,$F34,'FCST data'!$K:$K,$G34,'FCST data'!$N:$N,"1TB + 256GB SSD")</f>
        <v>0</v>
      </c>
      <c r="O34" s="181">
        <f>SUMIFS('FCST data'!R:R,'FCST data'!$D:$D,$F34,'FCST data'!$K:$K,$G34,'FCST data'!$N:$N,'SSD_eMMC_non volatile'!$K34)+SUMIFS('FCST data'!R:R,'FCST data'!$D:$D,$F34,'FCST data'!$K:$K,$G34,'FCST data'!$N:$N,"1TB + 256GB SSD")</f>
        <v>0</v>
      </c>
      <c r="P34" s="181">
        <f>SUMIFS('FCST data'!S:S,'FCST data'!$D:$D,$F34,'FCST data'!$K:$K,$G34,'FCST data'!$N:$N,'SSD_eMMC_non volatile'!$K34)+SUMIFS('FCST data'!S:S,'FCST data'!$D:$D,$F34,'FCST data'!$K:$K,$G34,'FCST data'!$N:$N,"1TB + 256GB SSD")</f>
        <v>0</v>
      </c>
      <c r="Q34" s="181">
        <f>SUMIFS('FCST data'!T:T,'FCST data'!$D:$D,$F34,'FCST data'!$K:$K,$G34,'FCST data'!$N:$N,'SSD_eMMC_non volatile'!$K34)+SUMIFS('FCST data'!T:T,'FCST data'!$D:$D,$F34,'FCST data'!$K:$K,$G34,'FCST data'!$N:$N,"1TB + 256GB SSD")</f>
        <v>0</v>
      </c>
      <c r="R34" s="181">
        <f>SUMIFS('FCST data'!U:U,'FCST data'!$D:$D,$F34,'FCST data'!$K:$K,$G34,'FCST data'!$N:$N,'SSD_eMMC_non volatile'!$K34)+SUMIFS('FCST data'!U:U,'FCST data'!$D:$D,$F34,'FCST data'!$K:$K,$G34,'FCST data'!$N:$N,"1TB + 256GB SSD")</f>
        <v>0</v>
      </c>
      <c r="S34" s="181">
        <f>SUMIFS('FCST data'!V:V,'FCST data'!$D:$D,$F34,'FCST data'!$K:$K,$G34,'FCST data'!$N:$N,'SSD_eMMC_non volatile'!$K34)+SUMIFS('FCST data'!V:V,'FCST data'!$D:$D,$F34,'FCST data'!$K:$K,$G34,'FCST data'!$N:$N,"1TB + 256GB SSD")</f>
        <v>0</v>
      </c>
      <c r="T34" s="181">
        <f>SUMIFS('FCST data'!W:W,'FCST data'!$D:$D,$F34,'FCST data'!$K:$K,$G34,'FCST data'!$N:$N,'SSD_eMMC_non volatile'!$K34)+SUMIFS('FCST data'!W:W,'FCST data'!$D:$D,$F34,'FCST data'!$K:$K,$G34,'FCST data'!$N:$N,"1TB + 256GB SSD")</f>
        <v>0</v>
      </c>
      <c r="U34" s="181">
        <f>SUMIFS('FCST data'!X:X,'FCST data'!$D:$D,$F34,'FCST data'!$K:$K,$G34,'FCST data'!$N:$N,'SSD_eMMC_non volatile'!$K34)+SUMIFS('FCST data'!X:X,'FCST data'!$D:$D,$F34,'FCST data'!$K:$K,$G34,'FCST data'!$N:$N,"1TB + 256GB SSD")</f>
        <v>0</v>
      </c>
      <c r="V34" s="181">
        <f>SUMIFS('FCST data'!Y:Y,'FCST data'!$D:$D,$F34,'FCST data'!$K:$K,$G34,'FCST data'!$N:$N,'SSD_eMMC_non volatile'!$K34)+SUMIFS('FCST data'!Y:Y,'FCST data'!$D:$D,$F34,'FCST data'!$K:$K,$G34,'FCST data'!$N:$N,"1TB + 256GB SSD")</f>
        <v>0</v>
      </c>
      <c r="W34" s="181">
        <f>SUMIFS('FCST data'!Z:Z,'FCST data'!$D:$D,$F34,'FCST data'!$K:$K,$G34,'FCST data'!$N:$N,'SSD_eMMC_non volatile'!$K34)+SUMIFS('FCST data'!Z:Z,'FCST data'!$D:$D,$F34,'FCST data'!$K:$K,$G34,'FCST data'!$N:$N,"1TB + 256GB SSD")</f>
        <v>0</v>
      </c>
      <c r="X34" s="181">
        <f>SUMIFS('FCST data'!AA:AA,'FCST data'!$D:$D,$F34,'FCST data'!$K:$K,$G34,'FCST data'!$N:$N,'SSD_eMMC_non volatile'!$K34)+SUMIFS('FCST data'!AA:AA,'FCST data'!$D:$D,$F34,'FCST data'!$K:$K,$G34,'FCST data'!$N:$N,"1TB + 256GB SSD")</f>
        <v>0</v>
      </c>
      <c r="Y34" s="181">
        <f>SUMIFS('FCST data'!AB:AB,'FCST data'!$D:$D,$F34,'FCST data'!$K:$K,$G34,'FCST data'!$N:$N,'SSD_eMMC_non volatile'!$K34)+SUMIFS('FCST data'!AB:AB,'FCST data'!$D:$D,$F34,'FCST data'!$K:$K,$G34,'FCST data'!$N:$N,"1TB + 256GB SSD")</f>
        <v>0</v>
      </c>
      <c r="Z34" s="148"/>
      <c r="AA34" s="320"/>
      <c r="AB34" s="17">
        <f>E34-SUM(AA35:AA38)</f>
        <v>0</v>
      </c>
      <c r="AD34" s="320"/>
      <c r="AE34" s="17">
        <v>0</v>
      </c>
    </row>
    <row r="35" spans="2:31" ht="14.4" hidden="1">
      <c r="C35" s="283"/>
      <c r="D35" s="284"/>
      <c r="E35" s="285"/>
      <c r="F35" s="199" t="s">
        <v>110</v>
      </c>
      <c r="G35" s="199" t="s">
        <v>297</v>
      </c>
      <c r="H35" s="284" t="s">
        <v>724</v>
      </c>
      <c r="I35" s="287" t="s">
        <v>725</v>
      </c>
      <c r="J35" s="287" t="s">
        <v>115</v>
      </c>
      <c r="K35" s="287" t="s">
        <v>117</v>
      </c>
      <c r="L35" s="294">
        <v>1</v>
      </c>
      <c r="M35" s="362" t="s">
        <v>643</v>
      </c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177">
        <f>SUM(N35:Y35)*L35</f>
        <v>0</v>
      </c>
      <c r="AA35" s="8">
        <f>SUM(N35:Y35)</f>
        <v>0</v>
      </c>
      <c r="AD35" s="8">
        <v>0</v>
      </c>
      <c r="AE35" s="17">
        <v>0</v>
      </c>
    </row>
    <row r="36" spans="2:31" ht="14.4" hidden="1">
      <c r="B36" s="395" t="s">
        <v>763</v>
      </c>
      <c r="C36" s="283"/>
      <c r="D36" s="284"/>
      <c r="E36" s="285"/>
      <c r="F36" s="199" t="s">
        <v>110</v>
      </c>
      <c r="G36" s="199" t="s">
        <v>297</v>
      </c>
      <c r="H36" s="348" t="s">
        <v>723</v>
      </c>
      <c r="I36" s="349" t="s">
        <v>27</v>
      </c>
      <c r="J36" s="349" t="s">
        <v>115</v>
      </c>
      <c r="K36" s="349" t="s">
        <v>117</v>
      </c>
      <c r="L36" s="396">
        <v>2</v>
      </c>
      <c r="M36" s="361" t="s">
        <v>270</v>
      </c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177">
        <f>SUM(N36:Y36)*L36</f>
        <v>0</v>
      </c>
      <c r="AA36" s="8">
        <f>SUM(N36:Y36)</f>
        <v>0</v>
      </c>
      <c r="AD36" s="8">
        <v>5400</v>
      </c>
      <c r="AE36" s="17">
        <v>0</v>
      </c>
    </row>
    <row r="37" spans="2:31" ht="14.4" hidden="1">
      <c r="C37" s="283"/>
      <c r="D37" s="284"/>
      <c r="E37" s="285"/>
      <c r="F37" s="199" t="s">
        <v>729</v>
      </c>
      <c r="G37" s="199" t="s">
        <v>297</v>
      </c>
      <c r="H37" s="284" t="s">
        <v>723</v>
      </c>
      <c r="I37" s="284" t="s">
        <v>465</v>
      </c>
      <c r="J37" s="284" t="s">
        <v>115</v>
      </c>
      <c r="K37" s="287" t="s">
        <v>117</v>
      </c>
      <c r="L37" s="294">
        <v>2</v>
      </c>
      <c r="M37" s="362" t="s">
        <v>533</v>
      </c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177">
        <f>SUM(N37:Y37)*L37</f>
        <v>0</v>
      </c>
      <c r="AA37" s="8">
        <f>SUM(N37:Y37)</f>
        <v>0</v>
      </c>
      <c r="AD37" s="8">
        <v>8900</v>
      </c>
      <c r="AE37" s="17">
        <v>0</v>
      </c>
    </row>
    <row r="38" spans="2:31" ht="14.4">
      <c r="C38" s="283"/>
      <c r="D38" s="284"/>
      <c r="E38" s="285"/>
      <c r="F38" s="199" t="s">
        <v>110</v>
      </c>
      <c r="G38" s="199" t="s">
        <v>297</v>
      </c>
      <c r="H38" s="284" t="s">
        <v>723</v>
      </c>
      <c r="I38" s="287" t="s">
        <v>305</v>
      </c>
      <c r="J38" s="284" t="s">
        <v>115</v>
      </c>
      <c r="K38" s="287" t="s">
        <v>117</v>
      </c>
      <c r="L38" s="294">
        <v>2</v>
      </c>
      <c r="M38" s="362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177">
        <f>SUM(N38:Y38)*L38</f>
        <v>0</v>
      </c>
      <c r="AA38" s="8">
        <f>SUM(N38:Y38)</f>
        <v>0</v>
      </c>
      <c r="AD38" s="8">
        <v>0</v>
      </c>
      <c r="AE38" s="17">
        <v>0</v>
      </c>
    </row>
    <row r="39" spans="2:31" ht="15.6" hidden="1">
      <c r="C39" s="314"/>
      <c r="D39" s="174" t="s">
        <v>22</v>
      </c>
      <c r="E39" s="181">
        <f>SUM(N39:Y39)</f>
        <v>2800</v>
      </c>
      <c r="F39" s="183" t="s">
        <v>110</v>
      </c>
      <c r="G39" s="183" t="s">
        <v>297</v>
      </c>
      <c r="H39" s="181"/>
      <c r="I39" s="182"/>
      <c r="J39" s="182"/>
      <c r="K39" s="182" t="s">
        <v>369</v>
      </c>
      <c r="L39" s="182"/>
      <c r="M39" s="358"/>
      <c r="N39" s="181">
        <f>SUMIFS('FCST data'!Q:Q,'FCST data'!$D:$D,$F39,'FCST data'!$K:$K,$G39,'FCST data'!$N:$N,'SSD_eMMC_non volatile'!$K39)</f>
        <v>700</v>
      </c>
      <c r="O39" s="181">
        <f>SUMIFS('FCST data'!R:R,'FCST data'!$D:$D,$F39,'FCST data'!$K:$K,$G39,'FCST data'!$N:$N,'SSD_eMMC_non volatile'!$K39)</f>
        <v>1050</v>
      </c>
      <c r="P39" s="181">
        <f>SUMIFS('FCST data'!S:S,'FCST data'!$D:$D,$F39,'FCST data'!$K:$K,$G39,'FCST data'!$N:$N,'SSD_eMMC_non volatile'!$K39)</f>
        <v>1050</v>
      </c>
      <c r="Q39" s="181">
        <f>SUMIFS('FCST data'!T:T,'FCST data'!$D:$D,$F39,'FCST data'!$K:$K,$G39,'FCST data'!$N:$N,'SSD_eMMC_non volatile'!$K39)</f>
        <v>0</v>
      </c>
      <c r="R39" s="181">
        <f>SUMIFS('FCST data'!U:U,'FCST data'!$D:$D,$F39,'FCST data'!$K:$K,$G39,'FCST data'!$N:$N,'SSD_eMMC_non volatile'!$K39)</f>
        <v>0</v>
      </c>
      <c r="S39" s="181">
        <f>SUMIFS('FCST data'!V:V,'FCST data'!$D:$D,$F39,'FCST data'!$K:$K,$G39,'FCST data'!$N:$N,'SSD_eMMC_non volatile'!$K39)</f>
        <v>0</v>
      </c>
      <c r="T39" s="181">
        <f>SUMIFS('FCST data'!W:W,'FCST data'!$D:$D,$F39,'FCST data'!$K:$K,$G39,'FCST data'!$N:$N,'SSD_eMMC_non volatile'!$K39)</f>
        <v>0</v>
      </c>
      <c r="U39" s="181">
        <f>SUMIFS('FCST data'!X:X,'FCST data'!$D:$D,$F39,'FCST data'!$K:$K,$G39,'FCST data'!$N:$N,'SSD_eMMC_non volatile'!$K39)</f>
        <v>0</v>
      </c>
      <c r="V39" s="181">
        <f>SUMIFS('FCST data'!Y:Y,'FCST data'!$D:$D,$F39,'FCST data'!$K:$K,$G39,'FCST data'!$N:$N,'SSD_eMMC_non volatile'!$K39)</f>
        <v>0</v>
      </c>
      <c r="W39" s="181">
        <f>SUMIFS('FCST data'!Z:Z,'FCST data'!$D:$D,$F39,'FCST data'!$K:$K,$G39,'FCST data'!$N:$N,'SSD_eMMC_non volatile'!$K39)</f>
        <v>0</v>
      </c>
      <c r="X39" s="181">
        <f>SUMIFS('FCST data'!AA:AA,'FCST data'!$D:$D,$F39,'FCST data'!$K:$K,$G39,'FCST data'!$N:$N,'SSD_eMMC_non volatile'!$K39)</f>
        <v>0</v>
      </c>
      <c r="Y39" s="181">
        <f>SUMIFS('FCST data'!AB:AB,'FCST data'!$D:$D,$F39,'FCST data'!$K:$K,$G39,'FCST data'!$N:$N,'SSD_eMMC_non volatile'!$K39)</f>
        <v>0</v>
      </c>
      <c r="Z39" s="148"/>
      <c r="AA39" s="320"/>
      <c r="AB39" s="17">
        <f>E39-SUM(AA40:AA42)</f>
        <v>0</v>
      </c>
      <c r="AD39" s="320"/>
      <c r="AE39" s="17">
        <v>0</v>
      </c>
    </row>
    <row r="40" spans="2:31" ht="14.4" hidden="1">
      <c r="C40" s="283"/>
      <c r="D40" s="284"/>
      <c r="E40" s="147"/>
      <c r="F40" s="199" t="s">
        <v>110</v>
      </c>
      <c r="G40" s="199" t="s">
        <v>297</v>
      </c>
      <c r="H40" s="284" t="s">
        <v>724</v>
      </c>
      <c r="I40" s="287" t="s">
        <v>725</v>
      </c>
      <c r="J40" s="287" t="s">
        <v>115</v>
      </c>
      <c r="K40" s="287" t="s">
        <v>118</v>
      </c>
      <c r="L40" s="294">
        <v>2</v>
      </c>
      <c r="M40" s="362" t="s">
        <v>644</v>
      </c>
      <c r="N40" s="291">
        <v>500</v>
      </c>
      <c r="O40" s="291">
        <v>50</v>
      </c>
      <c r="P40" s="291">
        <v>1050</v>
      </c>
      <c r="Q40" s="291"/>
      <c r="R40" s="291"/>
      <c r="S40" s="291"/>
      <c r="T40" s="291"/>
      <c r="U40" s="291"/>
      <c r="V40" s="291"/>
      <c r="W40" s="291"/>
      <c r="X40" s="291"/>
      <c r="Y40" s="291"/>
      <c r="Z40" s="177">
        <f>SUM(N40:Y40)*L40</f>
        <v>3200</v>
      </c>
      <c r="AA40" s="8">
        <f>SUM(N40:Y40)</f>
        <v>1600</v>
      </c>
      <c r="AD40" s="8">
        <v>5050</v>
      </c>
      <c r="AE40" s="17">
        <v>500</v>
      </c>
    </row>
    <row r="41" spans="2:31" ht="14.4" hidden="1">
      <c r="C41" s="283"/>
      <c r="D41" s="284"/>
      <c r="E41" s="147"/>
      <c r="F41" s="199" t="s">
        <v>110</v>
      </c>
      <c r="G41" s="199" t="s">
        <v>297</v>
      </c>
      <c r="H41" s="284" t="s">
        <v>723</v>
      </c>
      <c r="I41" s="284" t="s">
        <v>465</v>
      </c>
      <c r="J41" s="287" t="s">
        <v>115</v>
      </c>
      <c r="K41" s="287" t="s">
        <v>118</v>
      </c>
      <c r="L41" s="294">
        <v>2</v>
      </c>
      <c r="M41" s="362" t="s">
        <v>534</v>
      </c>
      <c r="N41" s="291">
        <v>200</v>
      </c>
      <c r="O41" s="291">
        <v>1000</v>
      </c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177">
        <f>SUM(N41:Y41)*L41</f>
        <v>2400</v>
      </c>
      <c r="AA41" s="8">
        <f>SUM(N41:Y41)</f>
        <v>1200</v>
      </c>
      <c r="AD41" s="8">
        <v>2250</v>
      </c>
      <c r="AE41" s="17">
        <v>1200</v>
      </c>
    </row>
    <row r="42" spans="2:31" ht="14.4">
      <c r="C42" s="283"/>
      <c r="D42" s="284"/>
      <c r="E42" s="147"/>
      <c r="F42" s="199" t="s">
        <v>110</v>
      </c>
      <c r="G42" s="199" t="s">
        <v>297</v>
      </c>
      <c r="H42" s="284" t="s">
        <v>723</v>
      </c>
      <c r="I42" s="287" t="s">
        <v>305</v>
      </c>
      <c r="J42" s="287" t="s">
        <v>115</v>
      </c>
      <c r="K42" s="287" t="s">
        <v>118</v>
      </c>
      <c r="L42" s="294">
        <v>2</v>
      </c>
      <c r="M42" s="362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177">
        <f>SUM(N42:Y42)*L42</f>
        <v>0</v>
      </c>
      <c r="AA42" s="8">
        <f>SUM(N42:Y42)</f>
        <v>0</v>
      </c>
      <c r="AD42" s="8">
        <v>0</v>
      </c>
      <c r="AE42" s="17">
        <v>0</v>
      </c>
    </row>
    <row r="43" spans="2:31" ht="14.25" hidden="1" customHeight="1">
      <c r="C43" s="314"/>
      <c r="D43" s="174" t="s">
        <v>22</v>
      </c>
      <c r="E43" s="181">
        <f>SUM(N43:Y43)</f>
        <v>0</v>
      </c>
      <c r="F43" s="183" t="s">
        <v>200</v>
      </c>
      <c r="G43" s="183" t="s">
        <v>365</v>
      </c>
      <c r="H43" s="181"/>
      <c r="I43" s="182"/>
      <c r="J43" s="182"/>
      <c r="K43" s="182" t="s">
        <v>360</v>
      </c>
      <c r="L43" s="182"/>
      <c r="M43" s="363"/>
      <c r="N43" s="181">
        <f>SUMIFS('FCST data'!Q:Q,'FCST data'!$D:$D,$F43,'FCST data'!$K:$K,$G43,'FCST data'!$N:$N,'SSD_eMMC_non volatile'!$K43)</f>
        <v>0</v>
      </c>
      <c r="O43" s="181">
        <f>SUMIFS('FCST data'!R:R,'FCST data'!$D:$D,$F43,'FCST data'!$K:$K,$G43,'FCST data'!$N:$N,'SSD_eMMC_non volatile'!$K43)</f>
        <v>0</v>
      </c>
      <c r="P43" s="181">
        <f>SUMIFS('FCST data'!S:S,'FCST data'!$D:$D,$F43,'FCST data'!$K:$K,$G43,'FCST data'!$N:$N,'SSD_eMMC_non volatile'!$K43)</f>
        <v>0</v>
      </c>
      <c r="Q43" s="181">
        <f>SUMIFS('FCST data'!T:T,'FCST data'!$D:$D,$F43,'FCST data'!$K:$K,$G43,'FCST data'!$N:$N,'SSD_eMMC_non volatile'!$K43)</f>
        <v>0</v>
      </c>
      <c r="R43" s="181">
        <f>SUMIFS('FCST data'!U:U,'FCST data'!$D:$D,$F43,'FCST data'!$K:$K,$G43,'FCST data'!$N:$N,'SSD_eMMC_non volatile'!$K43)</f>
        <v>0</v>
      </c>
      <c r="S43" s="181">
        <f>SUMIFS('FCST data'!V:V,'FCST data'!$D:$D,$F43,'FCST data'!$K:$K,$G43,'FCST data'!$N:$N,'SSD_eMMC_non volatile'!$K43)</f>
        <v>0</v>
      </c>
      <c r="T43" s="181">
        <f>SUMIFS('FCST data'!W:W,'FCST data'!$D:$D,$F43,'FCST data'!$K:$K,$G43,'FCST data'!$N:$N,'SSD_eMMC_non volatile'!$K43)</f>
        <v>0</v>
      </c>
      <c r="U43" s="181">
        <f>SUMIFS('FCST data'!X:X,'FCST data'!$D:$D,$F43,'FCST data'!$K:$K,$G43,'FCST data'!$N:$N,'SSD_eMMC_non volatile'!$K43)</f>
        <v>0</v>
      </c>
      <c r="V43" s="181">
        <f>SUMIFS('FCST data'!Y:Y,'FCST data'!$D:$D,$F43,'FCST data'!$K:$K,$G43,'FCST data'!$N:$N,'SSD_eMMC_non volatile'!$K43)</f>
        <v>0</v>
      </c>
      <c r="W43" s="181">
        <f>SUMIFS('FCST data'!Z:Z,'FCST data'!$D:$D,$F43,'FCST data'!$K:$K,$G43,'FCST data'!$N:$N,'SSD_eMMC_non volatile'!$K43)</f>
        <v>0</v>
      </c>
      <c r="X43" s="181">
        <f>SUMIFS('FCST data'!AA:AA,'FCST data'!$D:$D,$F43,'FCST data'!$K:$K,$G43,'FCST data'!$N:$N,'SSD_eMMC_non volatile'!$K43)</f>
        <v>0</v>
      </c>
      <c r="Y43" s="181">
        <f>SUMIFS('FCST data'!AB:AB,'FCST data'!$D:$D,$F43,'FCST data'!$K:$K,$G43,'FCST data'!$N:$N,'SSD_eMMC_non volatile'!$K43)</f>
        <v>0</v>
      </c>
      <c r="Z43" s="148"/>
      <c r="AA43" s="320"/>
      <c r="AB43" s="17">
        <f>E43-SUM(AA44:AA47)</f>
        <v>0</v>
      </c>
      <c r="AD43" s="320"/>
      <c r="AE43" s="17">
        <v>0</v>
      </c>
    </row>
    <row r="44" spans="2:31" ht="14.4" hidden="1">
      <c r="C44" s="283"/>
      <c r="D44" s="284"/>
      <c r="E44" s="147"/>
      <c r="F44" s="199" t="s">
        <v>200</v>
      </c>
      <c r="G44" s="199" t="s">
        <v>365</v>
      </c>
      <c r="H44" s="284" t="s">
        <v>724</v>
      </c>
      <c r="I44" s="287" t="s">
        <v>725</v>
      </c>
      <c r="J44" s="284" t="s">
        <v>115</v>
      </c>
      <c r="K44" s="287" t="s">
        <v>117</v>
      </c>
      <c r="L44" s="322">
        <v>1</v>
      </c>
      <c r="M44" s="362" t="s">
        <v>645</v>
      </c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177">
        <f>SUM(N44:Y44)*L44</f>
        <v>0</v>
      </c>
      <c r="AA44" s="8">
        <f>SUM(N44:Y44)</f>
        <v>0</v>
      </c>
      <c r="AD44" s="8">
        <v>0</v>
      </c>
      <c r="AE44" s="17">
        <v>0</v>
      </c>
    </row>
    <row r="45" spans="2:31" ht="14.4" hidden="1">
      <c r="B45" s="395" t="s">
        <v>763</v>
      </c>
      <c r="C45" s="283"/>
      <c r="D45" s="284"/>
      <c r="E45" s="147"/>
      <c r="F45" s="199" t="s">
        <v>200</v>
      </c>
      <c r="G45" s="199" t="s">
        <v>365</v>
      </c>
      <c r="H45" s="348" t="s">
        <v>723</v>
      </c>
      <c r="I45" s="348" t="s">
        <v>245</v>
      </c>
      <c r="J45" s="348" t="s">
        <v>115</v>
      </c>
      <c r="K45" s="349" t="s">
        <v>117</v>
      </c>
      <c r="L45" s="396">
        <v>2</v>
      </c>
      <c r="M45" s="361" t="s">
        <v>271</v>
      </c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177">
        <f>SUM(N45:Y45)*L45</f>
        <v>0</v>
      </c>
      <c r="AA45" s="8">
        <f>SUM(N45:Y45)</f>
        <v>0</v>
      </c>
      <c r="AD45" s="8">
        <v>4150</v>
      </c>
      <c r="AE45" s="17">
        <v>0</v>
      </c>
    </row>
    <row r="46" spans="2:31" ht="14.4" hidden="1">
      <c r="C46" s="283"/>
      <c r="D46" s="284"/>
      <c r="E46" s="147"/>
      <c r="F46" s="199" t="s">
        <v>200</v>
      </c>
      <c r="G46" s="199" t="s">
        <v>365</v>
      </c>
      <c r="H46" s="284" t="s">
        <v>723</v>
      </c>
      <c r="I46" s="284" t="s">
        <v>465</v>
      </c>
      <c r="J46" s="284" t="s">
        <v>115</v>
      </c>
      <c r="K46" s="287" t="s">
        <v>117</v>
      </c>
      <c r="L46" s="294">
        <v>2</v>
      </c>
      <c r="M46" s="362" t="s">
        <v>533</v>
      </c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177">
        <f>SUM(N46:Y46)*L46</f>
        <v>0</v>
      </c>
      <c r="AA46" s="8">
        <f>SUM(N46:Y46)</f>
        <v>0</v>
      </c>
      <c r="AD46" s="8">
        <v>1640</v>
      </c>
      <c r="AE46" s="17">
        <v>0</v>
      </c>
    </row>
    <row r="47" spans="2:31" ht="14.4">
      <c r="C47" s="283"/>
      <c r="D47" s="284"/>
      <c r="E47" s="147"/>
      <c r="F47" s="199" t="s">
        <v>200</v>
      </c>
      <c r="G47" s="199" t="s">
        <v>365</v>
      </c>
      <c r="H47" s="284" t="s">
        <v>723</v>
      </c>
      <c r="I47" s="284" t="s">
        <v>466</v>
      </c>
      <c r="J47" s="284" t="s">
        <v>115</v>
      </c>
      <c r="K47" s="287" t="s">
        <v>117</v>
      </c>
      <c r="L47" s="294">
        <v>2</v>
      </c>
      <c r="M47" s="362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177">
        <f>SUM(N47:Y47)*L47</f>
        <v>0</v>
      </c>
      <c r="AA47" s="8">
        <f>SUM(N47:Y47)</f>
        <v>0</v>
      </c>
      <c r="AD47" s="8">
        <v>0</v>
      </c>
      <c r="AE47" s="17">
        <v>0</v>
      </c>
    </row>
    <row r="48" spans="2:31" ht="15.6" hidden="1">
      <c r="C48" s="314"/>
      <c r="D48" s="174" t="s">
        <v>22</v>
      </c>
      <c r="E48" s="181">
        <f>SUM(N48:Y48)</f>
        <v>14000</v>
      </c>
      <c r="F48" s="183" t="s">
        <v>243</v>
      </c>
      <c r="G48" s="183" t="s">
        <v>264</v>
      </c>
      <c r="H48" s="181"/>
      <c r="I48" s="182"/>
      <c r="J48" s="182"/>
      <c r="K48" s="182" t="s">
        <v>341</v>
      </c>
      <c r="L48" s="182"/>
      <c r="M48" s="363"/>
      <c r="N48" s="181">
        <f>SUMIFS('FCST data'!Q:Q,'FCST data'!$D:$D,$F48,'FCST data'!$K:$K,$G48,'FCST data'!$N:$N,'SSD_eMMC_non volatile'!$K48)</f>
        <v>4000</v>
      </c>
      <c r="O48" s="181">
        <f>SUMIFS('FCST data'!R:R,'FCST data'!$D:$D,$F48,'FCST data'!$K:$K,$G48,'FCST data'!$N:$N,'SSD_eMMC_non volatile'!$K48)</f>
        <v>5000</v>
      </c>
      <c r="P48" s="181">
        <f>SUMIFS('FCST data'!S:S,'FCST data'!$D:$D,$F48,'FCST data'!$K:$K,$G48,'FCST data'!$N:$N,'SSD_eMMC_non volatile'!$K48)</f>
        <v>0</v>
      </c>
      <c r="Q48" s="181">
        <f>SUMIFS('FCST data'!T:T,'FCST data'!$D:$D,$F48,'FCST data'!$K:$K,$G48,'FCST data'!$N:$N,'SSD_eMMC_non volatile'!$K48)</f>
        <v>0</v>
      </c>
      <c r="R48" s="181">
        <f>SUMIFS('FCST data'!U:U,'FCST data'!$D:$D,$F48,'FCST data'!$K:$K,$G48,'FCST data'!$N:$N,'SSD_eMMC_non volatile'!$K48)</f>
        <v>0</v>
      </c>
      <c r="S48" s="181">
        <f>SUMIFS('FCST data'!V:V,'FCST data'!$D:$D,$F48,'FCST data'!$K:$K,$G48,'FCST data'!$N:$N,'SSD_eMMC_non volatile'!$K48)</f>
        <v>0</v>
      </c>
      <c r="T48" s="181">
        <f>SUMIFS('FCST data'!W:W,'FCST data'!$D:$D,$F48,'FCST data'!$K:$K,$G48,'FCST data'!$N:$N,'SSD_eMMC_non volatile'!$K48)</f>
        <v>2000</v>
      </c>
      <c r="U48" s="181">
        <f>SUMIFS('FCST data'!X:X,'FCST data'!$D:$D,$F48,'FCST data'!$K:$K,$G48,'FCST data'!$N:$N,'SSD_eMMC_non volatile'!$K48)</f>
        <v>2000</v>
      </c>
      <c r="V48" s="181">
        <f>SUMIFS('FCST data'!Y:Y,'FCST data'!$D:$D,$F48,'FCST data'!$K:$K,$G48,'FCST data'!$N:$N,'SSD_eMMC_non volatile'!$K48)</f>
        <v>1000</v>
      </c>
      <c r="W48" s="181">
        <f>SUMIFS('FCST data'!Z:Z,'FCST data'!$D:$D,$F48,'FCST data'!$K:$K,$G48,'FCST data'!$N:$N,'SSD_eMMC_non volatile'!$K48)</f>
        <v>0</v>
      </c>
      <c r="X48" s="181">
        <f>SUMIFS('FCST data'!AA:AA,'FCST data'!$D:$D,$F48,'FCST data'!$K:$K,$G48,'FCST data'!$N:$N,'SSD_eMMC_non volatile'!$K48)</f>
        <v>0</v>
      </c>
      <c r="Y48" s="181">
        <f>SUMIFS('FCST data'!AB:AB,'FCST data'!$D:$D,$F48,'FCST data'!$K:$K,$G48,'FCST data'!$N:$N,'SSD_eMMC_non volatile'!$K48)</f>
        <v>0</v>
      </c>
      <c r="Z48" s="148"/>
      <c r="AA48" s="320"/>
      <c r="AB48" s="17">
        <f>E48-SUM(AA49:AA50)</f>
        <v>0</v>
      </c>
      <c r="AD48" s="320"/>
      <c r="AE48" s="17">
        <v>0</v>
      </c>
    </row>
    <row r="49" spans="2:31" ht="14.4" hidden="1">
      <c r="C49" s="283"/>
      <c r="D49" s="284"/>
      <c r="E49" s="285"/>
      <c r="F49" s="199" t="s">
        <v>243</v>
      </c>
      <c r="G49" s="199" t="s">
        <v>264</v>
      </c>
      <c r="H49" s="284" t="s">
        <v>724</v>
      </c>
      <c r="I49" s="287" t="s">
        <v>725</v>
      </c>
      <c r="J49" s="287" t="s">
        <v>115</v>
      </c>
      <c r="K49" s="287" t="s">
        <v>269</v>
      </c>
      <c r="L49" s="386">
        <v>2</v>
      </c>
      <c r="M49" s="362" t="s">
        <v>576</v>
      </c>
      <c r="N49" s="291">
        <v>4000</v>
      </c>
      <c r="O49" s="291">
        <v>5000</v>
      </c>
      <c r="P49" s="291">
        <v>0</v>
      </c>
      <c r="Q49" s="291">
        <v>0</v>
      </c>
      <c r="R49" s="291"/>
      <c r="S49" s="291"/>
      <c r="T49" s="291">
        <v>2000</v>
      </c>
      <c r="U49" s="291">
        <v>2000</v>
      </c>
      <c r="V49" s="291">
        <v>1000</v>
      </c>
      <c r="W49" s="291"/>
      <c r="X49" s="291"/>
      <c r="Y49" s="291"/>
      <c r="Z49" s="177">
        <f>SUM(N49:Y49)*L49</f>
        <v>28000</v>
      </c>
      <c r="AA49" s="8">
        <f>SUM(N49:Y49)</f>
        <v>14000</v>
      </c>
      <c r="AD49" s="8">
        <v>57500</v>
      </c>
      <c r="AE49" s="17">
        <v>9000</v>
      </c>
    </row>
    <row r="50" spans="2:31" ht="14.4">
      <c r="C50" s="283"/>
      <c r="D50" s="284"/>
      <c r="E50" s="285"/>
      <c r="F50" s="199" t="s">
        <v>243</v>
      </c>
      <c r="G50" s="199" t="s">
        <v>264</v>
      </c>
      <c r="H50" s="284" t="s">
        <v>723</v>
      </c>
      <c r="I50" s="287" t="s">
        <v>305</v>
      </c>
      <c r="J50" s="287" t="s">
        <v>115</v>
      </c>
      <c r="K50" s="287" t="s">
        <v>269</v>
      </c>
      <c r="L50" s="294">
        <v>1</v>
      </c>
      <c r="M50" s="362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177">
        <f>SUM(N50:Y50)*L50</f>
        <v>0</v>
      </c>
      <c r="AA50" s="8">
        <f>SUM(N50:Y50)</f>
        <v>0</v>
      </c>
      <c r="AD50" s="8">
        <v>0</v>
      </c>
      <c r="AE50" s="17">
        <v>0</v>
      </c>
    </row>
    <row r="51" spans="2:31" ht="15.6" hidden="1">
      <c r="C51" s="339"/>
      <c r="D51" s="174" t="s">
        <v>22</v>
      </c>
      <c r="E51" s="181">
        <f>SUM(N51:Y51)</f>
        <v>100</v>
      </c>
      <c r="F51" s="183" t="s">
        <v>243</v>
      </c>
      <c r="G51" s="183" t="s">
        <v>264</v>
      </c>
      <c r="H51" s="181"/>
      <c r="I51" s="182"/>
      <c r="J51" s="182"/>
      <c r="K51" s="182" t="s">
        <v>360</v>
      </c>
      <c r="L51" s="182"/>
      <c r="M51" s="363"/>
      <c r="N51" s="181">
        <f>SUMIFS('FCST data'!Q:Q,'FCST data'!$D:$D,$F51,'FCST data'!$K:$K,$G51,'FCST data'!$N:$N,'SSD_eMMC_non volatile'!$K51)</f>
        <v>0</v>
      </c>
      <c r="O51" s="181">
        <f>SUMIFS('FCST data'!R:R,'FCST data'!$D:$D,$F51,'FCST data'!$K:$K,$G51,'FCST data'!$N:$N,'SSD_eMMC_non volatile'!$K51)</f>
        <v>100</v>
      </c>
      <c r="P51" s="181">
        <f>SUMIFS('FCST data'!S:S,'FCST data'!$D:$D,$F51,'FCST data'!$K:$K,$G51,'FCST data'!$N:$N,'SSD_eMMC_non volatile'!$K51)</f>
        <v>0</v>
      </c>
      <c r="Q51" s="181">
        <f>SUMIFS('FCST data'!T:T,'FCST data'!$D:$D,$F51,'FCST data'!$K:$K,$G51,'FCST data'!$N:$N,'SSD_eMMC_non volatile'!$K51)</f>
        <v>0</v>
      </c>
      <c r="R51" s="181">
        <f>SUMIFS('FCST data'!U:U,'FCST data'!$D:$D,$F51,'FCST data'!$K:$K,$G51,'FCST data'!$N:$N,'SSD_eMMC_non volatile'!$K51)</f>
        <v>0</v>
      </c>
      <c r="S51" s="181">
        <f>SUMIFS('FCST data'!V:V,'FCST data'!$D:$D,$F51,'FCST data'!$K:$K,$G51,'FCST data'!$N:$N,'SSD_eMMC_non volatile'!$K51)</f>
        <v>0</v>
      </c>
      <c r="T51" s="181">
        <f>SUMIFS('FCST data'!W:W,'FCST data'!$D:$D,$F51,'FCST data'!$K:$K,$G51,'FCST data'!$N:$N,'SSD_eMMC_non volatile'!$K51)</f>
        <v>0</v>
      </c>
      <c r="U51" s="181">
        <f>SUMIFS('FCST data'!X:X,'FCST data'!$D:$D,$F51,'FCST data'!$K:$K,$G51,'FCST data'!$N:$N,'SSD_eMMC_non volatile'!$K51)</f>
        <v>0</v>
      </c>
      <c r="V51" s="181">
        <f>SUMIFS('FCST data'!Y:Y,'FCST data'!$D:$D,$F51,'FCST data'!$K:$K,$G51,'FCST data'!$N:$N,'SSD_eMMC_non volatile'!$K51)</f>
        <v>0</v>
      </c>
      <c r="W51" s="181">
        <f>SUMIFS('FCST data'!Z:Z,'FCST data'!$D:$D,$F51,'FCST data'!$K:$K,$G51,'FCST data'!$N:$N,'SSD_eMMC_non volatile'!$K51)</f>
        <v>0</v>
      </c>
      <c r="X51" s="181">
        <f>SUMIFS('FCST data'!AA:AA,'FCST data'!$D:$D,$F51,'FCST data'!$K:$K,$G51,'FCST data'!$N:$N,'SSD_eMMC_non volatile'!$K51)</f>
        <v>0</v>
      </c>
      <c r="Y51" s="181">
        <f>SUMIFS('FCST data'!AB:AB,'FCST data'!$D:$D,$F51,'FCST data'!$K:$K,$G51,'FCST data'!$N:$N,'SSD_eMMC_non volatile'!$K51)</f>
        <v>0</v>
      </c>
      <c r="Z51" s="148"/>
      <c r="AA51" s="320"/>
      <c r="AB51" s="17">
        <f>E51-SUM(AA52:AA53)</f>
        <v>0</v>
      </c>
      <c r="AD51" s="320"/>
      <c r="AE51" s="17">
        <v>0</v>
      </c>
    </row>
    <row r="52" spans="2:31" ht="14.4" hidden="1">
      <c r="C52" s="283"/>
      <c r="D52" s="284"/>
      <c r="E52" s="285"/>
      <c r="F52" s="199" t="s">
        <v>243</v>
      </c>
      <c r="G52" s="199" t="s">
        <v>264</v>
      </c>
      <c r="H52" s="284" t="s">
        <v>724</v>
      </c>
      <c r="I52" s="287" t="s">
        <v>725</v>
      </c>
      <c r="J52" s="287" t="s">
        <v>115</v>
      </c>
      <c r="K52" s="287" t="s">
        <v>117</v>
      </c>
      <c r="L52" s="386">
        <v>1</v>
      </c>
      <c r="M52" s="362" t="s">
        <v>412</v>
      </c>
      <c r="N52" s="291"/>
      <c r="O52" s="291">
        <v>100</v>
      </c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177">
        <f>SUM(N52:Y52)*L52</f>
        <v>100</v>
      </c>
      <c r="AA52" s="8">
        <f>SUM(N52:Y52)</f>
        <v>100</v>
      </c>
      <c r="AD52" s="8">
        <v>2700</v>
      </c>
      <c r="AE52" s="17">
        <v>0</v>
      </c>
    </row>
    <row r="53" spans="2:31" ht="14.4">
      <c r="C53" s="283"/>
      <c r="D53" s="284"/>
      <c r="E53" s="285"/>
      <c r="F53" s="199" t="s">
        <v>243</v>
      </c>
      <c r="G53" s="199" t="s">
        <v>264</v>
      </c>
      <c r="H53" s="284" t="s">
        <v>723</v>
      </c>
      <c r="I53" s="287" t="s">
        <v>305</v>
      </c>
      <c r="J53" s="287" t="s">
        <v>115</v>
      </c>
      <c r="K53" s="287" t="s">
        <v>117</v>
      </c>
      <c r="L53" s="294">
        <v>2</v>
      </c>
      <c r="M53" s="362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177">
        <f>SUM(N53:Y53)*L53</f>
        <v>0</v>
      </c>
      <c r="AA53" s="8">
        <f>SUM(N53:Y53)</f>
        <v>0</v>
      </c>
      <c r="AD53" s="8">
        <v>0</v>
      </c>
      <c r="AE53" s="17">
        <v>0</v>
      </c>
    </row>
    <row r="54" spans="2:31" ht="15.6" hidden="1">
      <c r="C54" s="314"/>
      <c r="D54" s="174" t="s">
        <v>22</v>
      </c>
      <c r="E54" s="181">
        <f>SUM(N54:Y54)</f>
        <v>17000</v>
      </c>
      <c r="F54" s="183" t="s">
        <v>294</v>
      </c>
      <c r="G54" s="183" t="s">
        <v>266</v>
      </c>
      <c r="H54" s="181"/>
      <c r="I54" s="182"/>
      <c r="J54" s="182"/>
      <c r="K54" s="182" t="s">
        <v>360</v>
      </c>
      <c r="L54" s="182"/>
      <c r="M54" s="363"/>
      <c r="N54" s="181">
        <f>SUMIFS('FCST data'!Q:Q,'FCST data'!$D:$D,$F54,'FCST data'!$K:$K,$G54,'FCST data'!$N:$N,'SSD_eMMC_non volatile'!$K54)</f>
        <v>1500</v>
      </c>
      <c r="O54" s="181">
        <f>SUMIFS('FCST data'!R:R,'FCST data'!$D:$D,$F54,'FCST data'!$K:$K,$G54,'FCST data'!$N:$N,'SSD_eMMC_non volatile'!$K54)</f>
        <v>3700</v>
      </c>
      <c r="P54" s="181">
        <f>SUMIFS('FCST data'!S:S,'FCST data'!$D:$D,$F54,'FCST data'!$K:$K,$G54,'FCST data'!$N:$N,'SSD_eMMC_non volatile'!$K54)</f>
        <v>4000</v>
      </c>
      <c r="Q54" s="181">
        <f>SUMIFS('FCST data'!T:T,'FCST data'!$D:$D,$F54,'FCST data'!$K:$K,$G54,'FCST data'!$N:$N,'SSD_eMMC_non volatile'!$K54)</f>
        <v>4000</v>
      </c>
      <c r="R54" s="181">
        <f>SUMIFS('FCST data'!U:U,'FCST data'!$D:$D,$F54,'FCST data'!$K:$K,$G54,'FCST data'!$N:$N,'SSD_eMMC_non volatile'!$K54)</f>
        <v>3800</v>
      </c>
      <c r="S54" s="181">
        <f>SUMIFS('FCST data'!V:V,'FCST data'!$D:$D,$F54,'FCST data'!$K:$K,$G54,'FCST data'!$N:$N,'SSD_eMMC_non volatile'!$K54)</f>
        <v>0</v>
      </c>
      <c r="T54" s="181">
        <f>SUMIFS('FCST data'!W:W,'FCST data'!$D:$D,$F54,'FCST data'!$K:$K,$G54,'FCST data'!$N:$N,'SSD_eMMC_non volatile'!$K54)</f>
        <v>0</v>
      </c>
      <c r="U54" s="181">
        <f>SUMIFS('FCST data'!X:X,'FCST data'!$D:$D,$F54,'FCST data'!$K:$K,$G54,'FCST data'!$N:$N,'SSD_eMMC_non volatile'!$K54)</f>
        <v>0</v>
      </c>
      <c r="V54" s="181">
        <f>SUMIFS('FCST data'!Y:Y,'FCST data'!$D:$D,$F54,'FCST data'!$K:$K,$G54,'FCST data'!$N:$N,'SSD_eMMC_non volatile'!$K54)</f>
        <v>0</v>
      </c>
      <c r="W54" s="181">
        <f>SUMIFS('FCST data'!Z:Z,'FCST data'!$D:$D,$F54,'FCST data'!$K:$K,$G54,'FCST data'!$N:$N,'SSD_eMMC_non volatile'!$K54)</f>
        <v>0</v>
      </c>
      <c r="X54" s="181">
        <f>SUMIFS('FCST data'!AA:AA,'FCST data'!$D:$D,$F54,'FCST data'!$K:$K,$G54,'FCST data'!$N:$N,'SSD_eMMC_non volatile'!$K54)</f>
        <v>0</v>
      </c>
      <c r="Y54" s="181">
        <f>SUMIFS('FCST data'!AB:AB,'FCST data'!$D:$D,$F54,'FCST data'!$K:$K,$G54,'FCST data'!$N:$N,'SSD_eMMC_non volatile'!$K54)</f>
        <v>0</v>
      </c>
      <c r="Z54" s="148"/>
      <c r="AA54" s="320"/>
      <c r="AB54" s="17">
        <f>E54-SUM(AA55:AA58)</f>
        <v>0</v>
      </c>
      <c r="AD54" s="320"/>
      <c r="AE54" s="17">
        <v>0</v>
      </c>
    </row>
    <row r="55" spans="2:31" ht="14.4" hidden="1">
      <c r="C55" s="283"/>
      <c r="D55" s="284"/>
      <c r="E55" s="147"/>
      <c r="F55" s="199" t="s">
        <v>294</v>
      </c>
      <c r="G55" s="199" t="s">
        <v>266</v>
      </c>
      <c r="H55" s="284" t="s">
        <v>724</v>
      </c>
      <c r="I55" s="287" t="s">
        <v>725</v>
      </c>
      <c r="J55" s="284" t="s">
        <v>115</v>
      </c>
      <c r="K55" s="287" t="s">
        <v>117</v>
      </c>
      <c r="L55" s="386">
        <v>1</v>
      </c>
      <c r="M55" s="362" t="s">
        <v>412</v>
      </c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177">
        <f>SUM(N55:Y55)*L55</f>
        <v>0</v>
      </c>
      <c r="AA55" s="8">
        <f>SUM(N55:Y55)</f>
        <v>0</v>
      </c>
      <c r="AD55" s="8">
        <v>0</v>
      </c>
      <c r="AE55" s="17">
        <v>0</v>
      </c>
    </row>
    <row r="56" spans="2:31" ht="14.4" hidden="1">
      <c r="C56" s="283"/>
      <c r="D56" s="284"/>
      <c r="E56" s="147"/>
      <c r="F56" s="199" t="s">
        <v>294</v>
      </c>
      <c r="G56" s="199" t="s">
        <v>266</v>
      </c>
      <c r="H56" s="284" t="s">
        <v>723</v>
      </c>
      <c r="I56" s="284" t="s">
        <v>465</v>
      </c>
      <c r="J56" s="284" t="s">
        <v>115</v>
      </c>
      <c r="K56" s="287" t="s">
        <v>117</v>
      </c>
      <c r="L56" s="294">
        <v>2</v>
      </c>
      <c r="M56" s="362" t="s">
        <v>533</v>
      </c>
      <c r="N56" s="291">
        <v>1500</v>
      </c>
      <c r="O56" s="291">
        <v>3700</v>
      </c>
      <c r="P56" s="291">
        <v>4000</v>
      </c>
      <c r="Q56" s="291">
        <v>4000</v>
      </c>
      <c r="R56" s="291">
        <v>3800</v>
      </c>
      <c r="S56" s="291"/>
      <c r="T56" s="291"/>
      <c r="U56" s="291"/>
      <c r="V56" s="291"/>
      <c r="W56" s="291"/>
      <c r="X56" s="291"/>
      <c r="Y56" s="291"/>
      <c r="Z56" s="177">
        <f>SUM(N56:Y56)*L56</f>
        <v>34000</v>
      </c>
      <c r="AA56" s="8">
        <f>SUM(N56:Y56)</f>
        <v>17000</v>
      </c>
      <c r="AD56" s="8">
        <v>32500</v>
      </c>
      <c r="AE56" s="17">
        <v>0</v>
      </c>
    </row>
    <row r="57" spans="2:31" ht="14.4" hidden="1">
      <c r="B57" s="395" t="s">
        <v>763</v>
      </c>
      <c r="C57" s="283"/>
      <c r="D57" s="284"/>
      <c r="E57" s="147"/>
      <c r="F57" s="199" t="s">
        <v>294</v>
      </c>
      <c r="G57" s="199" t="s">
        <v>266</v>
      </c>
      <c r="H57" s="348" t="s">
        <v>723</v>
      </c>
      <c r="I57" s="348" t="s">
        <v>27</v>
      </c>
      <c r="J57" s="348" t="s">
        <v>115</v>
      </c>
      <c r="K57" s="349" t="s">
        <v>117</v>
      </c>
      <c r="L57" s="396">
        <v>2</v>
      </c>
      <c r="M57" s="361" t="s">
        <v>270</v>
      </c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177">
        <f>SUM(N57:Y57)*L57</f>
        <v>0</v>
      </c>
      <c r="AA57" s="8">
        <f>SUM(N57:Y57)</f>
        <v>0</v>
      </c>
      <c r="AD57" s="8">
        <v>9000</v>
      </c>
      <c r="AE57" s="17">
        <v>0</v>
      </c>
    </row>
    <row r="58" spans="2:31" ht="14.4" hidden="1">
      <c r="C58" s="283"/>
      <c r="D58" s="284"/>
      <c r="E58" s="147"/>
      <c r="F58" s="199" t="s">
        <v>294</v>
      </c>
      <c r="G58" s="199" t="s">
        <v>266</v>
      </c>
      <c r="H58" s="284" t="s">
        <v>723</v>
      </c>
      <c r="I58" s="287" t="s">
        <v>1038</v>
      </c>
      <c r="J58" s="284" t="s">
        <v>115</v>
      </c>
      <c r="K58" s="287" t="s">
        <v>117</v>
      </c>
      <c r="L58" s="294">
        <v>2</v>
      </c>
      <c r="M58" s="362" t="s">
        <v>270</v>
      </c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177">
        <f>SUM(N58:Y58)*L58</f>
        <v>0</v>
      </c>
      <c r="AA58" s="8">
        <f>SUM(N58:Y58)</f>
        <v>0</v>
      </c>
      <c r="AD58" s="8">
        <v>0</v>
      </c>
      <c r="AE58" s="17">
        <v>0</v>
      </c>
    </row>
    <row r="59" spans="2:31" ht="15.6" hidden="1">
      <c r="C59" s="314"/>
      <c r="D59" s="174" t="s">
        <v>22</v>
      </c>
      <c r="E59" s="181">
        <f>SUM(N59:Y59)</f>
        <v>500</v>
      </c>
      <c r="F59" s="183" t="s">
        <v>294</v>
      </c>
      <c r="G59" s="183" t="s">
        <v>690</v>
      </c>
      <c r="H59" s="181"/>
      <c r="I59" s="182"/>
      <c r="J59" s="182"/>
      <c r="K59" s="182" t="s">
        <v>360</v>
      </c>
      <c r="L59" s="182"/>
      <c r="M59" s="363"/>
      <c r="N59" s="181">
        <f>SUMIFS('FCST data'!Q:Q,'FCST data'!$D:$D,$F59,'FCST data'!$K:$K,$G59,'FCST data'!$N:$N,'SSD_eMMC_non volatile'!$K59)</f>
        <v>500</v>
      </c>
      <c r="O59" s="181">
        <f>SUMIFS('FCST data'!R:R,'FCST data'!$D:$D,$F59,'FCST data'!$K:$K,$G59,'FCST data'!$N:$N,'SSD_eMMC_non volatile'!$K59)</f>
        <v>0</v>
      </c>
      <c r="P59" s="181">
        <f>SUMIFS('FCST data'!S:S,'FCST data'!$D:$D,$F59,'FCST data'!$K:$K,$G59,'FCST data'!$N:$N,'SSD_eMMC_non volatile'!$K59)</f>
        <v>0</v>
      </c>
      <c r="Q59" s="181">
        <f>SUMIFS('FCST data'!T:T,'FCST data'!$D:$D,$F59,'FCST data'!$K:$K,$G59,'FCST data'!$N:$N,'SSD_eMMC_non volatile'!$K59)</f>
        <v>0</v>
      </c>
      <c r="R59" s="181">
        <f>SUMIFS('FCST data'!U:U,'FCST data'!$D:$D,$F59,'FCST data'!$K:$K,$G59,'FCST data'!$N:$N,'SSD_eMMC_non volatile'!$K59)</f>
        <v>0</v>
      </c>
      <c r="S59" s="181">
        <f>SUMIFS('FCST data'!V:V,'FCST data'!$D:$D,$F59,'FCST data'!$K:$K,$G59,'FCST data'!$N:$N,'SSD_eMMC_non volatile'!$K59)</f>
        <v>0</v>
      </c>
      <c r="T59" s="181">
        <f>SUMIFS('FCST data'!W:W,'FCST data'!$D:$D,$F59,'FCST data'!$K:$K,$G59,'FCST data'!$N:$N,'SSD_eMMC_non volatile'!$K59)</f>
        <v>0</v>
      </c>
      <c r="U59" s="181">
        <f>SUMIFS('FCST data'!X:X,'FCST data'!$D:$D,$F59,'FCST data'!$K:$K,$G59,'FCST data'!$N:$N,'SSD_eMMC_non volatile'!$K59)</f>
        <v>0</v>
      </c>
      <c r="V59" s="181">
        <f>SUMIFS('FCST data'!Y:Y,'FCST data'!$D:$D,$F59,'FCST data'!$K:$K,$G59,'FCST data'!$N:$N,'SSD_eMMC_non volatile'!$K59)</f>
        <v>0</v>
      </c>
      <c r="W59" s="181">
        <f>SUMIFS('FCST data'!Z:Z,'FCST data'!$D:$D,$F59,'FCST data'!$K:$K,$G59,'FCST data'!$N:$N,'SSD_eMMC_non volatile'!$K59)</f>
        <v>0</v>
      </c>
      <c r="X59" s="181">
        <f>SUMIFS('FCST data'!AA:AA,'FCST data'!$D:$D,$F59,'FCST data'!$K:$K,$G59,'FCST data'!$N:$N,'SSD_eMMC_non volatile'!$K59)</f>
        <v>0</v>
      </c>
      <c r="Y59" s="181">
        <f>SUMIFS('FCST data'!AB:AB,'FCST data'!$D:$D,$F59,'FCST data'!$K:$K,$G59,'FCST data'!$N:$N,'SSD_eMMC_non volatile'!$K59)</f>
        <v>0</v>
      </c>
      <c r="Z59" s="148"/>
      <c r="AA59" s="320"/>
      <c r="AB59" s="17">
        <f>E59-SUM(AA60:AA63)</f>
        <v>0</v>
      </c>
      <c r="AD59" s="320"/>
      <c r="AE59" s="17">
        <v>0</v>
      </c>
    </row>
    <row r="60" spans="2:31" ht="14.4" hidden="1">
      <c r="C60" s="283"/>
      <c r="D60" s="284"/>
      <c r="E60" s="147"/>
      <c r="F60" s="199" t="s">
        <v>294</v>
      </c>
      <c r="G60" s="199" t="s">
        <v>690</v>
      </c>
      <c r="H60" s="284" t="s">
        <v>724</v>
      </c>
      <c r="I60" s="287" t="s">
        <v>725</v>
      </c>
      <c r="J60" s="284" t="s">
        <v>115</v>
      </c>
      <c r="K60" s="287" t="s">
        <v>117</v>
      </c>
      <c r="L60" s="386">
        <v>1</v>
      </c>
      <c r="M60" s="362" t="s">
        <v>412</v>
      </c>
      <c r="N60" s="291"/>
      <c r="O60" s="291"/>
      <c r="P60" s="291"/>
      <c r="Q60" s="291"/>
      <c r="R60" s="291"/>
      <c r="S60" s="291"/>
      <c r="T60" s="291"/>
      <c r="U60" s="291"/>
      <c r="V60" s="291"/>
      <c r="W60" s="291"/>
      <c r="X60" s="291"/>
      <c r="Y60" s="291"/>
      <c r="Z60" s="177">
        <f>SUM(N60:Y60)*L60</f>
        <v>0</v>
      </c>
      <c r="AA60" s="8">
        <f>SUM(N60:Y60)</f>
        <v>0</v>
      </c>
      <c r="AD60" s="8">
        <v>0</v>
      </c>
      <c r="AE60" s="17">
        <v>0</v>
      </c>
    </row>
    <row r="61" spans="2:31" ht="14.4" hidden="1">
      <c r="C61" s="283"/>
      <c r="D61" s="284"/>
      <c r="E61" s="147"/>
      <c r="F61" s="199" t="s">
        <v>294</v>
      </c>
      <c r="G61" s="199" t="s">
        <v>690</v>
      </c>
      <c r="H61" s="284" t="s">
        <v>723</v>
      </c>
      <c r="I61" s="284" t="s">
        <v>465</v>
      </c>
      <c r="J61" s="284" t="s">
        <v>115</v>
      </c>
      <c r="K61" s="287" t="s">
        <v>117</v>
      </c>
      <c r="L61" s="294">
        <v>2</v>
      </c>
      <c r="M61" s="362" t="s">
        <v>533</v>
      </c>
      <c r="N61" s="291">
        <v>500</v>
      </c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177">
        <f>SUM(N61:Y61)*L61</f>
        <v>1000</v>
      </c>
      <c r="AA61" s="8">
        <f>SUM(N61:Y61)</f>
        <v>500</v>
      </c>
      <c r="AD61" s="8">
        <v>2000</v>
      </c>
      <c r="AE61" s="17">
        <v>500</v>
      </c>
    </row>
    <row r="62" spans="2:31" ht="14.4" hidden="1">
      <c r="B62" s="395" t="s">
        <v>763</v>
      </c>
      <c r="C62" s="283"/>
      <c r="D62" s="284"/>
      <c r="E62" s="147"/>
      <c r="F62" s="199" t="s">
        <v>294</v>
      </c>
      <c r="G62" s="199" t="s">
        <v>690</v>
      </c>
      <c r="H62" s="348" t="s">
        <v>723</v>
      </c>
      <c r="I62" s="348" t="s">
        <v>27</v>
      </c>
      <c r="J62" s="348" t="s">
        <v>115</v>
      </c>
      <c r="K62" s="349" t="s">
        <v>117</v>
      </c>
      <c r="L62" s="396">
        <v>2</v>
      </c>
      <c r="M62" s="361" t="s">
        <v>270</v>
      </c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177">
        <f>SUM(N62:Y62)*L62</f>
        <v>0</v>
      </c>
      <c r="AA62" s="8">
        <f>SUM(N62:Y62)</f>
        <v>0</v>
      </c>
      <c r="AD62" s="8">
        <v>0</v>
      </c>
      <c r="AE62" s="17">
        <v>0</v>
      </c>
    </row>
    <row r="63" spans="2:31" ht="14.4" hidden="1">
      <c r="C63" s="283"/>
      <c r="D63" s="284"/>
      <c r="E63" s="147"/>
      <c r="F63" s="199" t="s">
        <v>294</v>
      </c>
      <c r="G63" s="199" t="s">
        <v>690</v>
      </c>
      <c r="H63" s="284" t="s">
        <v>723</v>
      </c>
      <c r="I63" s="287" t="s">
        <v>1038</v>
      </c>
      <c r="J63" s="284" t="s">
        <v>115</v>
      </c>
      <c r="K63" s="287" t="s">
        <v>117</v>
      </c>
      <c r="L63" s="294">
        <v>2</v>
      </c>
      <c r="M63" s="362" t="s">
        <v>270</v>
      </c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177">
        <f>SUM(N63:Y63)*L63</f>
        <v>0</v>
      </c>
      <c r="AA63" s="8">
        <f>SUM(N63:Y63)</f>
        <v>0</v>
      </c>
      <c r="AD63" s="8">
        <v>0</v>
      </c>
      <c r="AE63" s="17">
        <v>0</v>
      </c>
    </row>
    <row r="64" spans="2:31" ht="15.6" hidden="1">
      <c r="C64" s="314"/>
      <c r="D64" s="174" t="s">
        <v>22</v>
      </c>
      <c r="E64" s="181">
        <f>SUM(N64:Y64)</f>
        <v>2600</v>
      </c>
      <c r="F64" s="183" t="s">
        <v>139</v>
      </c>
      <c r="G64" s="183" t="s">
        <v>264</v>
      </c>
      <c r="H64" s="181"/>
      <c r="I64" s="182"/>
      <c r="J64" s="182"/>
      <c r="K64" s="182" t="s">
        <v>349</v>
      </c>
      <c r="L64" s="182"/>
      <c r="M64" s="363"/>
      <c r="N64" s="181">
        <f>SUMIFS('FCST data'!Q:Q,'FCST data'!$D:$D,$F64,'FCST data'!$K:$K,$G64,'FCST data'!$N:$N,'SSD_eMMC_non volatile'!$K64)</f>
        <v>200</v>
      </c>
      <c r="O64" s="181">
        <f>SUMIFS('FCST data'!R:R,'FCST data'!$D:$D,$F64,'FCST data'!$K:$K,$G64,'FCST data'!$N:$N,'SSD_eMMC_non volatile'!$K64)</f>
        <v>1200</v>
      </c>
      <c r="P64" s="181">
        <f>SUMIFS('FCST data'!S:S,'FCST data'!$D:$D,$F64,'FCST data'!$K:$K,$G64,'FCST data'!$N:$N,'SSD_eMMC_non volatile'!$K64)</f>
        <v>0</v>
      </c>
      <c r="Q64" s="181">
        <f>SUMIFS('FCST data'!T:T,'FCST data'!$D:$D,$F64,'FCST data'!$K:$K,$G64,'FCST data'!$N:$N,'SSD_eMMC_non volatile'!$K64)</f>
        <v>0</v>
      </c>
      <c r="R64" s="181">
        <f>SUMIFS('FCST data'!U:U,'FCST data'!$D:$D,$F64,'FCST data'!$K:$K,$G64,'FCST data'!$N:$N,'SSD_eMMC_non volatile'!$K64)</f>
        <v>600</v>
      </c>
      <c r="S64" s="181">
        <f>SUMIFS('FCST data'!V:V,'FCST data'!$D:$D,$F64,'FCST data'!$K:$K,$G64,'FCST data'!$N:$N,'SSD_eMMC_non volatile'!$K64)</f>
        <v>600</v>
      </c>
      <c r="T64" s="181">
        <f>SUMIFS('FCST data'!W:W,'FCST data'!$D:$D,$F64,'FCST data'!$K:$K,$G64,'FCST data'!$N:$N,'SSD_eMMC_non volatile'!$K64)</f>
        <v>0</v>
      </c>
      <c r="U64" s="181">
        <f>SUMIFS('FCST data'!X:X,'FCST data'!$D:$D,$F64,'FCST data'!$K:$K,$G64,'FCST data'!$N:$N,'SSD_eMMC_non volatile'!$K64)</f>
        <v>0</v>
      </c>
      <c r="V64" s="181">
        <f>SUMIFS('FCST data'!Y:Y,'FCST data'!$D:$D,$F64,'FCST data'!$K:$K,$G64,'FCST data'!$N:$N,'SSD_eMMC_non volatile'!$K64)</f>
        <v>0</v>
      </c>
      <c r="W64" s="181">
        <f>SUMIFS('FCST data'!Z:Z,'FCST data'!$D:$D,$F64,'FCST data'!$K:$K,$G64,'FCST data'!$N:$N,'SSD_eMMC_non volatile'!$K64)</f>
        <v>0</v>
      </c>
      <c r="X64" s="181">
        <f>SUMIFS('FCST data'!AA:AA,'FCST data'!$D:$D,$F64,'FCST data'!$K:$K,$G64,'FCST data'!$N:$N,'SSD_eMMC_non volatile'!$K64)</f>
        <v>0</v>
      </c>
      <c r="Y64" s="181">
        <f>SUMIFS('FCST data'!AB:AB,'FCST data'!$D:$D,$F64,'FCST data'!$K:$K,$G64,'FCST data'!$N:$N,'SSD_eMMC_non volatile'!$K64)</f>
        <v>0</v>
      </c>
      <c r="Z64" s="148"/>
      <c r="AA64" s="320"/>
      <c r="AB64" s="17">
        <f>E64-SUM(AA65:AA66)</f>
        <v>0</v>
      </c>
      <c r="AD64" s="320"/>
      <c r="AE64" s="17">
        <v>0</v>
      </c>
    </row>
    <row r="65" spans="2:31" ht="20.399999999999999" hidden="1">
      <c r="C65" s="283"/>
      <c r="D65" s="284"/>
      <c r="E65" s="285"/>
      <c r="F65" s="199" t="s">
        <v>139</v>
      </c>
      <c r="G65" s="199" t="s">
        <v>264</v>
      </c>
      <c r="H65" s="284" t="s">
        <v>724</v>
      </c>
      <c r="I65" s="287" t="s">
        <v>725</v>
      </c>
      <c r="J65" s="316" t="s">
        <v>140</v>
      </c>
      <c r="K65" s="287" t="s">
        <v>269</v>
      </c>
      <c r="L65" s="386">
        <v>1</v>
      </c>
      <c r="M65" s="359" t="s">
        <v>752</v>
      </c>
      <c r="N65" s="291">
        <v>200</v>
      </c>
      <c r="O65" s="291">
        <v>1200</v>
      </c>
      <c r="P65" s="291">
        <v>0</v>
      </c>
      <c r="Q65" s="291">
        <v>0</v>
      </c>
      <c r="R65" s="291">
        <v>600</v>
      </c>
      <c r="S65" s="291">
        <v>600</v>
      </c>
      <c r="T65" s="291"/>
      <c r="U65" s="291"/>
      <c r="V65" s="291"/>
      <c r="W65" s="291"/>
      <c r="X65" s="291"/>
      <c r="Y65" s="291"/>
      <c r="Z65" s="177">
        <f>SUM(N65:Y65)*L65</f>
        <v>2600</v>
      </c>
      <c r="AA65" s="8">
        <f>SUM(N65:Y65)</f>
        <v>2600</v>
      </c>
      <c r="AD65" s="8">
        <v>24600</v>
      </c>
      <c r="AE65" s="17">
        <v>1300</v>
      </c>
    </row>
    <row r="66" spans="2:31" ht="14.4">
      <c r="C66" s="283"/>
      <c r="D66" s="284"/>
      <c r="E66" s="285"/>
      <c r="F66" s="199" t="s">
        <v>139</v>
      </c>
      <c r="G66" s="199" t="s">
        <v>264</v>
      </c>
      <c r="H66" s="284" t="s">
        <v>723</v>
      </c>
      <c r="I66" s="287" t="s">
        <v>305</v>
      </c>
      <c r="J66" s="317" t="s">
        <v>140</v>
      </c>
      <c r="K66" s="287" t="s">
        <v>269</v>
      </c>
      <c r="L66" s="294">
        <v>1</v>
      </c>
      <c r="M66" s="362"/>
      <c r="N66" s="291"/>
      <c r="O66" s="291"/>
      <c r="P66" s="291"/>
      <c r="Q66" s="291"/>
      <c r="R66" s="291"/>
      <c r="S66" s="291"/>
      <c r="T66" s="291"/>
      <c r="U66" s="291"/>
      <c r="V66" s="291"/>
      <c r="W66" s="291"/>
      <c r="X66" s="291"/>
      <c r="Y66" s="291"/>
      <c r="Z66" s="177">
        <f>SUM(N66:Y66)*L66</f>
        <v>0</v>
      </c>
      <c r="AA66" s="8">
        <f>SUM(N66:Y66)</f>
        <v>0</v>
      </c>
      <c r="AD66" s="8">
        <v>0</v>
      </c>
      <c r="AE66" s="17">
        <v>0</v>
      </c>
    </row>
    <row r="67" spans="2:31" ht="15.6" hidden="1">
      <c r="C67" s="314"/>
      <c r="D67" s="174" t="s">
        <v>22</v>
      </c>
      <c r="E67" s="181">
        <f>SUM(N67:Y67)</f>
        <v>0</v>
      </c>
      <c r="F67" s="183" t="s">
        <v>416</v>
      </c>
      <c r="G67" s="183" t="s">
        <v>264</v>
      </c>
      <c r="H67" s="181"/>
      <c r="I67" s="182"/>
      <c r="J67" s="182"/>
      <c r="K67" s="182" t="s">
        <v>341</v>
      </c>
      <c r="L67" s="182"/>
      <c r="M67" s="363"/>
      <c r="N67" s="181">
        <f>SUMIFS('FCST data'!Q:Q,'FCST data'!$D:$D,$F67,'FCST data'!$K:$K,$G67,'FCST data'!$N:$N,'SSD_eMMC_non volatile'!$K67)</f>
        <v>0</v>
      </c>
      <c r="O67" s="181">
        <f>SUMIFS('FCST data'!R:R,'FCST data'!$D:$D,$F67,'FCST data'!$K:$K,$G67,'FCST data'!$N:$N,'SSD_eMMC_non volatile'!$K67)</f>
        <v>0</v>
      </c>
      <c r="P67" s="181">
        <f>SUMIFS('FCST data'!S:S,'FCST data'!$D:$D,$F67,'FCST data'!$K:$K,$G67,'FCST data'!$N:$N,'SSD_eMMC_non volatile'!$K67)</f>
        <v>0</v>
      </c>
      <c r="Q67" s="181">
        <f>SUMIFS('FCST data'!T:T,'FCST data'!$D:$D,$F67,'FCST data'!$K:$K,$G67,'FCST data'!$N:$N,'SSD_eMMC_non volatile'!$K67)</f>
        <v>0</v>
      </c>
      <c r="R67" s="181">
        <f>SUMIFS('FCST data'!U:U,'FCST data'!$D:$D,$F67,'FCST data'!$K:$K,$G67,'FCST data'!$N:$N,'SSD_eMMC_non volatile'!$K67)</f>
        <v>0</v>
      </c>
      <c r="S67" s="181">
        <f>SUMIFS('FCST data'!V:V,'FCST data'!$D:$D,$F67,'FCST data'!$K:$K,$G67,'FCST data'!$N:$N,'SSD_eMMC_non volatile'!$K67)</f>
        <v>0</v>
      </c>
      <c r="T67" s="181">
        <f>SUMIFS('FCST data'!W:W,'FCST data'!$D:$D,$F67,'FCST data'!$K:$K,$G67,'FCST data'!$N:$N,'SSD_eMMC_non volatile'!$K67)</f>
        <v>0</v>
      </c>
      <c r="U67" s="181">
        <f>SUMIFS('FCST data'!X:X,'FCST data'!$D:$D,$F67,'FCST data'!$K:$K,$G67,'FCST data'!$N:$N,'SSD_eMMC_non volatile'!$K67)</f>
        <v>0</v>
      </c>
      <c r="V67" s="181">
        <f>SUMIFS('FCST data'!Y:Y,'FCST data'!$D:$D,$F67,'FCST data'!$K:$K,$G67,'FCST data'!$N:$N,'SSD_eMMC_non volatile'!$K67)</f>
        <v>0</v>
      </c>
      <c r="W67" s="181">
        <f>SUMIFS('FCST data'!Z:Z,'FCST data'!$D:$D,$F67,'FCST data'!$K:$K,$G67,'FCST data'!$N:$N,'SSD_eMMC_non volatile'!$K67)</f>
        <v>0</v>
      </c>
      <c r="X67" s="181">
        <f>SUMIFS('FCST data'!AA:AA,'FCST data'!$D:$D,$F67,'FCST data'!$K:$K,$G67,'FCST data'!$N:$N,'SSD_eMMC_non volatile'!$K67)</f>
        <v>0</v>
      </c>
      <c r="Y67" s="181">
        <f>SUMIFS('FCST data'!AB:AB,'FCST data'!$D:$D,$F67,'FCST data'!$K:$K,$G67,'FCST data'!$N:$N,'SSD_eMMC_non volatile'!$K67)</f>
        <v>0</v>
      </c>
      <c r="Z67" s="148"/>
      <c r="AA67" s="320"/>
      <c r="AB67" s="17">
        <f>E67-SUM(AA68:AA69)</f>
        <v>0</v>
      </c>
      <c r="AD67" s="320"/>
      <c r="AE67" s="17">
        <v>0</v>
      </c>
    </row>
    <row r="68" spans="2:31" ht="14.4" hidden="1">
      <c r="C68" s="283"/>
      <c r="D68" s="284"/>
      <c r="E68" s="285"/>
      <c r="F68" s="199" t="s">
        <v>416</v>
      </c>
      <c r="G68" s="199" t="s">
        <v>264</v>
      </c>
      <c r="H68" s="284" t="s">
        <v>724</v>
      </c>
      <c r="I68" s="287" t="s">
        <v>725</v>
      </c>
      <c r="J68" s="287" t="s">
        <v>115</v>
      </c>
      <c r="K68" s="287" t="s">
        <v>269</v>
      </c>
      <c r="L68" s="386">
        <v>2</v>
      </c>
      <c r="M68" s="362" t="s">
        <v>576</v>
      </c>
      <c r="N68" s="291"/>
      <c r="O68" s="291">
        <v>0</v>
      </c>
      <c r="P68" s="291">
        <v>0</v>
      </c>
      <c r="Q68" s="291">
        <v>0</v>
      </c>
      <c r="R68" s="291"/>
      <c r="S68" s="291"/>
      <c r="T68" s="291"/>
      <c r="U68" s="291"/>
      <c r="V68" s="291"/>
      <c r="W68" s="291"/>
      <c r="X68" s="291"/>
      <c r="Y68" s="291"/>
      <c r="Z68" s="177">
        <f>SUM(N68:Y68)*L68</f>
        <v>0</v>
      </c>
      <c r="AA68" s="8">
        <f>SUM(N68:Y68)</f>
        <v>0</v>
      </c>
      <c r="AD68" s="8">
        <v>12450</v>
      </c>
      <c r="AE68" s="17">
        <v>0</v>
      </c>
    </row>
    <row r="69" spans="2:31" ht="14.4">
      <c r="C69" s="283"/>
      <c r="D69" s="284"/>
      <c r="E69" s="285"/>
      <c r="F69" s="199" t="s">
        <v>416</v>
      </c>
      <c r="G69" s="199" t="s">
        <v>264</v>
      </c>
      <c r="H69" s="284" t="s">
        <v>723</v>
      </c>
      <c r="I69" s="287" t="s">
        <v>305</v>
      </c>
      <c r="J69" s="287" t="s">
        <v>115</v>
      </c>
      <c r="K69" s="287" t="s">
        <v>269</v>
      </c>
      <c r="L69" s="294">
        <v>1</v>
      </c>
      <c r="M69" s="362"/>
      <c r="N69" s="291"/>
      <c r="O69" s="291"/>
      <c r="P69" s="291"/>
      <c r="Q69" s="291"/>
      <c r="R69" s="291"/>
      <c r="S69" s="291"/>
      <c r="T69" s="291"/>
      <c r="U69" s="291"/>
      <c r="V69" s="291"/>
      <c r="W69" s="291"/>
      <c r="X69" s="291"/>
      <c r="Y69" s="291"/>
      <c r="Z69" s="177">
        <f>SUM(N69:Y69)*L69</f>
        <v>0</v>
      </c>
      <c r="AA69" s="8">
        <f>SUM(N69:Y69)</f>
        <v>0</v>
      </c>
      <c r="AD69" s="8">
        <v>0</v>
      </c>
      <c r="AE69" s="17">
        <v>0</v>
      </c>
    </row>
    <row r="70" spans="2:31" ht="15.6" hidden="1">
      <c r="C70" s="314"/>
      <c r="D70" s="174" t="s">
        <v>22</v>
      </c>
      <c r="E70" s="181">
        <f>SUM(N70:Y70)</f>
        <v>870</v>
      </c>
      <c r="F70" s="175" t="s">
        <v>198</v>
      </c>
      <c r="G70" s="183" t="s">
        <v>373</v>
      </c>
      <c r="H70" s="181"/>
      <c r="I70" s="182"/>
      <c r="J70" s="182"/>
      <c r="K70" s="182" t="s">
        <v>360</v>
      </c>
      <c r="L70" s="182"/>
      <c r="M70" s="363"/>
      <c r="N70" s="181">
        <f>SUMIFS('FCST data'!Q:Q,'FCST data'!$D:$D,$F70,'FCST data'!$K:$K,$G70,'FCST data'!$N:$N,'SSD_eMMC_non volatile'!$K70)</f>
        <v>120</v>
      </c>
      <c r="O70" s="181">
        <f>SUMIFS('FCST data'!R:R,'FCST data'!$D:$D,$F70,'FCST data'!$K:$K,$G70,'FCST data'!$N:$N,'SSD_eMMC_non volatile'!$K70)</f>
        <v>750</v>
      </c>
      <c r="P70" s="181">
        <f>SUMIFS('FCST data'!S:S,'FCST data'!$D:$D,$F70,'FCST data'!$K:$K,$G70,'FCST data'!$N:$N,'SSD_eMMC_non volatile'!$K70)</f>
        <v>0</v>
      </c>
      <c r="Q70" s="181">
        <f>SUMIFS('FCST data'!T:T,'FCST data'!$D:$D,$F70,'FCST data'!$K:$K,$G70,'FCST data'!$N:$N,'SSD_eMMC_non volatile'!$K70)</f>
        <v>0</v>
      </c>
      <c r="R70" s="181">
        <f>SUMIFS('FCST data'!U:U,'FCST data'!$D:$D,$F70,'FCST data'!$K:$K,$G70,'FCST data'!$N:$N,'SSD_eMMC_non volatile'!$K70)</f>
        <v>0</v>
      </c>
      <c r="S70" s="181">
        <f>SUMIFS('FCST data'!V:V,'FCST data'!$D:$D,$F70,'FCST data'!$K:$K,$G70,'FCST data'!$N:$N,'SSD_eMMC_non volatile'!$K70)</f>
        <v>0</v>
      </c>
      <c r="T70" s="181">
        <f>SUMIFS('FCST data'!W:W,'FCST data'!$D:$D,$F70,'FCST data'!$K:$K,$G70,'FCST data'!$N:$N,'SSD_eMMC_non volatile'!$K70)</f>
        <v>0</v>
      </c>
      <c r="U70" s="181">
        <f>SUMIFS('FCST data'!X:X,'FCST data'!$D:$D,$F70,'FCST data'!$K:$K,$G70,'FCST data'!$N:$N,'SSD_eMMC_non volatile'!$K70)</f>
        <v>0</v>
      </c>
      <c r="V70" s="181">
        <f>SUMIFS('FCST data'!Y:Y,'FCST data'!$D:$D,$F70,'FCST data'!$K:$K,$G70,'FCST data'!$N:$N,'SSD_eMMC_non volatile'!$K70)</f>
        <v>0</v>
      </c>
      <c r="W70" s="181">
        <f>SUMIFS('FCST data'!Z:Z,'FCST data'!$D:$D,$F70,'FCST data'!$K:$K,$G70,'FCST data'!$N:$N,'SSD_eMMC_non volatile'!$K70)</f>
        <v>0</v>
      </c>
      <c r="X70" s="181">
        <f>SUMIFS('FCST data'!AA:AA,'FCST data'!$D:$D,$F70,'FCST data'!$K:$K,$G70,'FCST data'!$N:$N,'SSD_eMMC_non volatile'!$K70)</f>
        <v>0</v>
      </c>
      <c r="Y70" s="181">
        <f>SUMIFS('FCST data'!AB:AB,'FCST data'!$D:$D,$F70,'FCST data'!$K:$K,$G70,'FCST data'!$N:$N,'SSD_eMMC_non volatile'!$K70)</f>
        <v>0</v>
      </c>
      <c r="Z70" s="289"/>
      <c r="AA70" s="320"/>
      <c r="AB70" s="17">
        <f>E70-SUM(AA71:AA75)</f>
        <v>0</v>
      </c>
      <c r="AD70" s="320"/>
      <c r="AE70" s="17">
        <v>0</v>
      </c>
    </row>
    <row r="71" spans="2:31" ht="14.4" hidden="1">
      <c r="C71" s="283"/>
      <c r="D71" s="284"/>
      <c r="E71" s="285"/>
      <c r="F71" s="151" t="s">
        <v>198</v>
      </c>
      <c r="G71" s="199" t="s">
        <v>373</v>
      </c>
      <c r="H71" s="284" t="s">
        <v>724</v>
      </c>
      <c r="I71" s="287" t="s">
        <v>725</v>
      </c>
      <c r="J71" s="287" t="s">
        <v>115</v>
      </c>
      <c r="K71" s="287" t="s">
        <v>117</v>
      </c>
      <c r="L71" s="294">
        <v>1</v>
      </c>
      <c r="M71" s="362" t="s">
        <v>645</v>
      </c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177">
        <f>SUM(N71:Y71)*L71</f>
        <v>0</v>
      </c>
      <c r="AA71" s="8">
        <f>SUM(N71:Y71)</f>
        <v>0</v>
      </c>
      <c r="AD71" s="8">
        <v>0</v>
      </c>
      <c r="AE71" s="17">
        <v>0</v>
      </c>
    </row>
    <row r="72" spans="2:31" ht="14.4" hidden="1">
      <c r="B72" s="395" t="s">
        <v>763</v>
      </c>
      <c r="C72" s="283"/>
      <c r="D72" s="284"/>
      <c r="E72" s="285"/>
      <c r="F72" s="151" t="s">
        <v>198</v>
      </c>
      <c r="G72" s="199" t="s">
        <v>373</v>
      </c>
      <c r="H72" s="348" t="s">
        <v>723</v>
      </c>
      <c r="I72" s="349" t="s">
        <v>245</v>
      </c>
      <c r="J72" s="349" t="s">
        <v>115</v>
      </c>
      <c r="K72" s="349" t="s">
        <v>117</v>
      </c>
      <c r="L72" s="396">
        <v>2</v>
      </c>
      <c r="M72" s="361" t="s">
        <v>271</v>
      </c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177">
        <f>SUM(N72:Y72)*L72</f>
        <v>0</v>
      </c>
      <c r="AA72" s="8">
        <f>SUM(N72:Y72)</f>
        <v>0</v>
      </c>
      <c r="AD72" s="8">
        <v>250</v>
      </c>
      <c r="AE72" s="17">
        <v>0</v>
      </c>
    </row>
    <row r="73" spans="2:31" ht="14.4" hidden="1">
      <c r="C73" s="283"/>
      <c r="D73" s="284"/>
      <c r="E73" s="285"/>
      <c r="F73" s="151" t="s">
        <v>198</v>
      </c>
      <c r="G73" s="199" t="s">
        <v>373</v>
      </c>
      <c r="H73" s="284" t="s">
        <v>723</v>
      </c>
      <c r="I73" s="284" t="s">
        <v>465</v>
      </c>
      <c r="J73" s="284" t="s">
        <v>115</v>
      </c>
      <c r="K73" s="287" t="s">
        <v>117</v>
      </c>
      <c r="L73" s="294">
        <v>2</v>
      </c>
      <c r="M73" s="362" t="s">
        <v>533</v>
      </c>
      <c r="N73" s="291">
        <v>120</v>
      </c>
      <c r="O73" s="291">
        <v>750</v>
      </c>
      <c r="P73" s="291">
        <v>0</v>
      </c>
      <c r="Q73" s="291">
        <v>0</v>
      </c>
      <c r="R73" s="291"/>
      <c r="S73" s="291"/>
      <c r="T73" s="291"/>
      <c r="U73" s="291"/>
      <c r="V73" s="291"/>
      <c r="W73" s="291"/>
      <c r="X73" s="291"/>
      <c r="Y73" s="291"/>
      <c r="Z73" s="177">
        <f>SUM(N73:Y73)*L73</f>
        <v>1740</v>
      </c>
      <c r="AA73" s="8">
        <f>SUM(N73:Y73)</f>
        <v>870</v>
      </c>
      <c r="AD73" s="8">
        <v>3230</v>
      </c>
      <c r="AE73" s="17">
        <v>820</v>
      </c>
    </row>
    <row r="74" spans="2:31" ht="14.4" hidden="1">
      <c r="B74" s="395" t="s">
        <v>763</v>
      </c>
      <c r="C74" s="283"/>
      <c r="D74" s="284"/>
      <c r="E74" s="285"/>
      <c r="F74" s="151" t="s">
        <v>198</v>
      </c>
      <c r="G74" s="199" t="s">
        <v>373</v>
      </c>
      <c r="H74" s="348" t="s">
        <v>723</v>
      </c>
      <c r="I74" s="349" t="s">
        <v>27</v>
      </c>
      <c r="J74" s="349" t="s">
        <v>115</v>
      </c>
      <c r="K74" s="349" t="s">
        <v>117</v>
      </c>
      <c r="L74" s="396">
        <v>2</v>
      </c>
      <c r="M74" s="361" t="s">
        <v>270</v>
      </c>
      <c r="N74" s="291"/>
      <c r="O74" s="291"/>
      <c r="P74" s="291"/>
      <c r="Q74" s="291"/>
      <c r="R74" s="291"/>
      <c r="S74" s="291"/>
      <c r="T74" s="291"/>
      <c r="U74" s="291"/>
      <c r="V74" s="291"/>
      <c r="W74" s="291"/>
      <c r="X74" s="291"/>
      <c r="Y74" s="291"/>
      <c r="Z74" s="177">
        <f>SUM(N74:Y74)*L74</f>
        <v>0</v>
      </c>
      <c r="AA74" s="8">
        <f>SUM(N74:Y74)</f>
        <v>0</v>
      </c>
      <c r="AD74" s="8">
        <v>1150</v>
      </c>
      <c r="AE74" s="17">
        <v>0</v>
      </c>
    </row>
    <row r="75" spans="2:31" ht="14.4">
      <c r="C75" s="283"/>
      <c r="D75" s="284"/>
      <c r="E75" s="285"/>
      <c r="F75" s="151" t="s">
        <v>198</v>
      </c>
      <c r="G75" s="199" t="s">
        <v>373</v>
      </c>
      <c r="H75" s="284" t="s">
        <v>723</v>
      </c>
      <c r="I75" s="287" t="s">
        <v>305</v>
      </c>
      <c r="J75" s="287" t="s">
        <v>115</v>
      </c>
      <c r="K75" s="287" t="s">
        <v>117</v>
      </c>
      <c r="L75" s="294">
        <v>2</v>
      </c>
      <c r="M75" s="362"/>
      <c r="N75" s="291"/>
      <c r="O75" s="291"/>
      <c r="P75" s="291"/>
      <c r="Q75" s="291"/>
      <c r="R75" s="291"/>
      <c r="S75" s="291"/>
      <c r="T75" s="291"/>
      <c r="U75" s="291"/>
      <c r="V75" s="291"/>
      <c r="W75" s="291"/>
      <c r="X75" s="291"/>
      <c r="Y75" s="291"/>
      <c r="Z75" s="177">
        <f>SUM(N75:Y75)*L75</f>
        <v>0</v>
      </c>
      <c r="AA75" s="8">
        <f>SUM(N75:Y75)</f>
        <v>0</v>
      </c>
      <c r="AD75" s="8">
        <v>0</v>
      </c>
      <c r="AE75" s="17">
        <v>0</v>
      </c>
    </row>
    <row r="76" spans="2:31" ht="15.6" hidden="1">
      <c r="C76" s="314"/>
      <c r="D76" s="174" t="s">
        <v>22</v>
      </c>
      <c r="E76" s="181">
        <f>SUM(N76:Y76)</f>
        <v>80</v>
      </c>
      <c r="F76" s="175" t="s">
        <v>198</v>
      </c>
      <c r="G76" s="183" t="s">
        <v>373</v>
      </c>
      <c r="H76" s="181"/>
      <c r="I76" s="182"/>
      <c r="J76" s="182"/>
      <c r="K76" s="182" t="s">
        <v>369</v>
      </c>
      <c r="L76" s="182"/>
      <c r="M76" s="358"/>
      <c r="N76" s="181">
        <f>SUMIFS('FCST data'!Q:Q,'FCST data'!$D:$D,$F76,'FCST data'!$K:$K,$G76,'FCST data'!$N:$N,'SSD_eMMC_non volatile'!$K76)</f>
        <v>30</v>
      </c>
      <c r="O76" s="181">
        <f>SUMIFS('FCST data'!R:R,'FCST data'!$D:$D,$F76,'FCST data'!$K:$K,$G76,'FCST data'!$N:$N,'SSD_eMMC_non volatile'!$K76)</f>
        <v>50</v>
      </c>
      <c r="P76" s="181">
        <f>SUMIFS('FCST data'!S:S,'FCST data'!$D:$D,$F76,'FCST data'!$K:$K,$G76,'FCST data'!$N:$N,'SSD_eMMC_non volatile'!$K76)</f>
        <v>0</v>
      </c>
      <c r="Q76" s="181">
        <f>SUMIFS('FCST data'!T:T,'FCST data'!$D:$D,$F76,'FCST data'!$K:$K,$G76,'FCST data'!$N:$N,'SSD_eMMC_non volatile'!$K76)</f>
        <v>0</v>
      </c>
      <c r="R76" s="181">
        <f>SUMIFS('FCST data'!U:U,'FCST data'!$D:$D,$F76,'FCST data'!$K:$K,$G76,'FCST data'!$N:$N,'SSD_eMMC_non volatile'!$K76)</f>
        <v>0</v>
      </c>
      <c r="S76" s="181">
        <f>SUMIFS('FCST data'!V:V,'FCST data'!$D:$D,$F76,'FCST data'!$K:$K,$G76,'FCST data'!$N:$N,'SSD_eMMC_non volatile'!$K76)</f>
        <v>0</v>
      </c>
      <c r="T76" s="181">
        <f>SUMIFS('FCST data'!W:W,'FCST data'!$D:$D,$F76,'FCST data'!$K:$K,$G76,'FCST data'!$N:$N,'SSD_eMMC_non volatile'!$K76)</f>
        <v>0</v>
      </c>
      <c r="U76" s="181">
        <f>SUMIFS('FCST data'!X:X,'FCST data'!$D:$D,$F76,'FCST data'!$K:$K,$G76,'FCST data'!$N:$N,'SSD_eMMC_non volatile'!$K76)</f>
        <v>0</v>
      </c>
      <c r="V76" s="181">
        <f>SUMIFS('FCST data'!Y:Y,'FCST data'!$D:$D,$F76,'FCST data'!$K:$K,$G76,'FCST data'!$N:$N,'SSD_eMMC_non volatile'!$K76)</f>
        <v>0</v>
      </c>
      <c r="W76" s="181">
        <f>SUMIFS('FCST data'!Z:Z,'FCST data'!$D:$D,$F76,'FCST data'!$K:$K,$G76,'FCST data'!$N:$N,'SSD_eMMC_non volatile'!$K76)</f>
        <v>0</v>
      </c>
      <c r="X76" s="181">
        <f>SUMIFS('FCST data'!AA:AA,'FCST data'!$D:$D,$F76,'FCST data'!$K:$K,$G76,'FCST data'!$N:$N,'SSD_eMMC_non volatile'!$K76)</f>
        <v>0</v>
      </c>
      <c r="Y76" s="181">
        <f>SUMIFS('FCST data'!AB:AB,'FCST data'!$D:$D,$F76,'FCST data'!$K:$K,$G76,'FCST data'!$N:$N,'SSD_eMMC_non volatile'!$K76)</f>
        <v>0</v>
      </c>
      <c r="Z76" s="148"/>
      <c r="AA76" s="320"/>
      <c r="AB76" s="17">
        <f>E76-SUM(AA77:AA78)</f>
        <v>0</v>
      </c>
      <c r="AD76" s="320"/>
      <c r="AE76" s="17">
        <v>0</v>
      </c>
    </row>
    <row r="77" spans="2:31" ht="14.4" hidden="1">
      <c r="C77" s="283"/>
      <c r="D77" s="284"/>
      <c r="E77" s="285"/>
      <c r="F77" s="151" t="s">
        <v>198</v>
      </c>
      <c r="G77" s="199" t="s">
        <v>373</v>
      </c>
      <c r="H77" s="284" t="s">
        <v>724</v>
      </c>
      <c r="I77" s="287" t="s">
        <v>725</v>
      </c>
      <c r="J77" s="287" t="s">
        <v>115</v>
      </c>
      <c r="K77" s="287" t="s">
        <v>118</v>
      </c>
      <c r="L77" s="386">
        <v>2</v>
      </c>
      <c r="M77" s="362" t="s">
        <v>577</v>
      </c>
      <c r="N77" s="291">
        <v>30</v>
      </c>
      <c r="O77" s="291">
        <v>50</v>
      </c>
      <c r="P77" s="291">
        <v>0</v>
      </c>
      <c r="Q77" s="291">
        <v>0</v>
      </c>
      <c r="R77" s="291"/>
      <c r="S77" s="291"/>
      <c r="T77" s="291"/>
      <c r="U77" s="291"/>
      <c r="V77" s="291"/>
      <c r="W77" s="291"/>
      <c r="X77" s="291"/>
      <c r="Y77" s="291"/>
      <c r="Z77" s="177">
        <f>SUM(N77:Y77)*L77</f>
        <v>160</v>
      </c>
      <c r="AA77" s="8">
        <f>SUM(N77:Y77)</f>
        <v>80</v>
      </c>
      <c r="AD77" s="8">
        <v>380</v>
      </c>
      <c r="AE77" s="17">
        <v>0</v>
      </c>
    </row>
    <row r="78" spans="2:31" ht="14.4" hidden="1">
      <c r="B78" s="395" t="s">
        <v>763</v>
      </c>
      <c r="C78" s="283"/>
      <c r="D78" s="284"/>
      <c r="E78" s="285"/>
      <c r="F78" s="151" t="s">
        <v>198</v>
      </c>
      <c r="G78" s="199" t="s">
        <v>373</v>
      </c>
      <c r="H78" s="348" t="s">
        <v>723</v>
      </c>
      <c r="I78" s="349" t="s">
        <v>245</v>
      </c>
      <c r="J78" s="349" t="s">
        <v>115</v>
      </c>
      <c r="K78" s="349" t="s">
        <v>118</v>
      </c>
      <c r="L78" s="396">
        <v>2</v>
      </c>
      <c r="M78" s="361" t="s">
        <v>263</v>
      </c>
      <c r="N78" s="291"/>
      <c r="O78" s="291"/>
      <c r="P78" s="291"/>
      <c r="Q78" s="291"/>
      <c r="R78" s="291"/>
      <c r="S78" s="291"/>
      <c r="T78" s="291"/>
      <c r="U78" s="291"/>
      <c r="V78" s="291"/>
      <c r="W78" s="291"/>
      <c r="X78" s="291"/>
      <c r="Y78" s="291"/>
      <c r="Z78" s="177">
        <f>SUM(N78:Y78)*L78</f>
        <v>0</v>
      </c>
      <c r="AA78" s="8">
        <f>SUM(N78:Y78)</f>
        <v>0</v>
      </c>
      <c r="AD78" s="8">
        <v>0</v>
      </c>
      <c r="AE78" s="17">
        <v>0</v>
      </c>
    </row>
    <row r="79" spans="2:31" ht="15.6" hidden="1">
      <c r="C79" s="314"/>
      <c r="D79" s="174" t="s">
        <v>22</v>
      </c>
      <c r="E79" s="181">
        <f>SUM(N79:Y79)</f>
        <v>700</v>
      </c>
      <c r="F79" s="175" t="s">
        <v>198</v>
      </c>
      <c r="G79" s="183" t="s">
        <v>382</v>
      </c>
      <c r="H79" s="181"/>
      <c r="I79" s="182"/>
      <c r="J79" s="182"/>
      <c r="K79" s="182" t="s">
        <v>360</v>
      </c>
      <c r="L79" s="182"/>
      <c r="M79" s="363"/>
      <c r="N79" s="181">
        <f>SUMIFS('FCST data'!Q:Q,'FCST data'!$D:$D,$F79,'FCST data'!$K:$K,$G79,'FCST data'!$N:$N,'SSD_eMMC_non volatile'!$K79)+SUMIFS('FCST data'!Q:Q,'FCST data'!$D:$D,$F79,'FCST data'!$K:$K,$G79,'FCST data'!$N:$N,"1TB + 256GB SSD")</f>
        <v>150</v>
      </c>
      <c r="O79" s="181">
        <f>SUMIFS('FCST data'!R:R,'FCST data'!$D:$D,$F79,'FCST data'!$K:$K,$G79,'FCST data'!$N:$N,'SSD_eMMC_non volatile'!$K79)+SUMIFS('FCST data'!R:R,'FCST data'!$D:$D,$F79,'FCST data'!$K:$K,$G79,'FCST data'!$N:$N,"1TB + 256GB SSD")</f>
        <v>550</v>
      </c>
      <c r="P79" s="181">
        <f>SUMIFS('FCST data'!S:S,'FCST data'!$D:$D,$F79,'FCST data'!$K:$K,$G79,'FCST data'!$N:$N,'SSD_eMMC_non volatile'!$K79)+SUMIFS('FCST data'!S:S,'FCST data'!$D:$D,$F79,'FCST data'!$K:$K,$G79,'FCST data'!$N:$N,"1TB + 256GB SSD")</f>
        <v>0</v>
      </c>
      <c r="Q79" s="181">
        <f>SUMIFS('FCST data'!T:T,'FCST data'!$D:$D,$F79,'FCST data'!$K:$K,$G79,'FCST data'!$N:$N,'SSD_eMMC_non volatile'!$K79)+SUMIFS('FCST data'!T:T,'FCST data'!$D:$D,$F79,'FCST data'!$K:$K,$G79,'FCST data'!$N:$N,"1TB + 256GB SSD")</f>
        <v>0</v>
      </c>
      <c r="R79" s="181">
        <f>SUMIFS('FCST data'!U:U,'FCST data'!$D:$D,$F79,'FCST data'!$K:$K,$G79,'FCST data'!$N:$N,'SSD_eMMC_non volatile'!$K79)+SUMIFS('FCST data'!U:U,'FCST data'!$D:$D,$F79,'FCST data'!$K:$K,$G79,'FCST data'!$N:$N,"1TB + 256GB SSD")</f>
        <v>0</v>
      </c>
      <c r="S79" s="181">
        <f>SUMIFS('FCST data'!V:V,'FCST data'!$D:$D,$F79,'FCST data'!$K:$K,$G79,'FCST data'!$N:$N,'SSD_eMMC_non volatile'!$K79)+SUMIFS('FCST data'!V:V,'FCST data'!$D:$D,$F79,'FCST data'!$K:$K,$G79,'FCST data'!$N:$N,"1TB + 256GB SSD")</f>
        <v>0</v>
      </c>
      <c r="T79" s="181">
        <f>SUMIFS('FCST data'!W:W,'FCST data'!$D:$D,$F79,'FCST data'!$K:$K,$G79,'FCST data'!$N:$N,'SSD_eMMC_non volatile'!$K79)+SUMIFS('FCST data'!W:W,'FCST data'!$D:$D,$F79,'FCST data'!$K:$K,$G79,'FCST data'!$N:$N,"1TB + 256GB SSD")</f>
        <v>0</v>
      </c>
      <c r="U79" s="181">
        <f>SUMIFS('FCST data'!X:X,'FCST data'!$D:$D,$F79,'FCST data'!$K:$K,$G79,'FCST data'!$N:$N,'SSD_eMMC_non volatile'!$K79)+SUMIFS('FCST data'!X:X,'FCST data'!$D:$D,$F79,'FCST data'!$K:$K,$G79,'FCST data'!$N:$N,"1TB + 256GB SSD")</f>
        <v>0</v>
      </c>
      <c r="V79" s="181">
        <f>SUMIFS('FCST data'!Y:Y,'FCST data'!$D:$D,$F79,'FCST data'!$K:$K,$G79,'FCST data'!$N:$N,'SSD_eMMC_non volatile'!$K79)+SUMIFS('FCST data'!Y:Y,'FCST data'!$D:$D,$F79,'FCST data'!$K:$K,$G79,'FCST data'!$N:$N,"1TB + 256GB SSD")</f>
        <v>0</v>
      </c>
      <c r="W79" s="181">
        <f>SUMIFS('FCST data'!Z:Z,'FCST data'!$D:$D,$F79,'FCST data'!$K:$K,$G79,'FCST data'!$N:$N,'SSD_eMMC_non volatile'!$K79)+SUMIFS('FCST data'!Z:Z,'FCST data'!$D:$D,$F79,'FCST data'!$K:$K,$G79,'FCST data'!$N:$N,"1TB + 256GB SSD")</f>
        <v>0</v>
      </c>
      <c r="X79" s="181">
        <f>SUMIFS('FCST data'!AA:AA,'FCST data'!$D:$D,$F79,'FCST data'!$K:$K,$G79,'FCST data'!$N:$N,'SSD_eMMC_non volatile'!$K79)+SUMIFS('FCST data'!AA:AA,'FCST data'!$D:$D,$F79,'FCST data'!$K:$K,$G79,'FCST data'!$N:$N,"1TB + 256GB SSD")</f>
        <v>0</v>
      </c>
      <c r="Y79" s="181">
        <f>SUMIFS('FCST data'!AB:AB,'FCST data'!$D:$D,$F79,'FCST data'!$K:$K,$G79,'FCST data'!$N:$N,'SSD_eMMC_non volatile'!$K79)+SUMIFS('FCST data'!AB:AB,'FCST data'!$D:$D,$F79,'FCST data'!$K:$K,$G79,'FCST data'!$N:$N,"1TB + 256GB SSD")</f>
        <v>0</v>
      </c>
      <c r="Z79" s="148"/>
      <c r="AA79" s="320"/>
      <c r="AB79" s="17">
        <f>E79-SUM(AA80:AA84)</f>
        <v>0</v>
      </c>
      <c r="AD79" s="320"/>
      <c r="AE79" s="17">
        <v>0</v>
      </c>
    </row>
    <row r="80" spans="2:31" ht="14.4" hidden="1">
      <c r="C80" s="283"/>
      <c r="D80" s="284"/>
      <c r="E80" s="285"/>
      <c r="F80" s="151" t="s">
        <v>198</v>
      </c>
      <c r="G80" s="199" t="s">
        <v>382</v>
      </c>
      <c r="H80" s="284" t="s">
        <v>724</v>
      </c>
      <c r="I80" s="287" t="s">
        <v>725</v>
      </c>
      <c r="J80" s="287" t="s">
        <v>115</v>
      </c>
      <c r="K80" s="287" t="s">
        <v>117</v>
      </c>
      <c r="L80" s="294">
        <v>1</v>
      </c>
      <c r="M80" s="362" t="s">
        <v>645</v>
      </c>
      <c r="N80" s="291"/>
      <c r="O80" s="291"/>
      <c r="P80" s="291"/>
      <c r="Q80" s="291"/>
      <c r="R80" s="291"/>
      <c r="S80" s="291"/>
      <c r="T80" s="291"/>
      <c r="U80" s="291"/>
      <c r="V80" s="291"/>
      <c r="W80" s="291"/>
      <c r="X80" s="291"/>
      <c r="Y80" s="291"/>
      <c r="Z80" s="177">
        <f>SUM(N80:Y80)*L80</f>
        <v>0</v>
      </c>
      <c r="AA80" s="8">
        <f>SUM(N80:Y80)</f>
        <v>0</v>
      </c>
      <c r="AD80" s="8">
        <v>0</v>
      </c>
      <c r="AE80" s="17">
        <v>0</v>
      </c>
    </row>
    <row r="81" spans="2:31" ht="14.4" hidden="1">
      <c r="B81" s="395" t="s">
        <v>763</v>
      </c>
      <c r="C81" s="283"/>
      <c r="D81" s="284"/>
      <c r="E81" s="285"/>
      <c r="F81" s="151" t="s">
        <v>198</v>
      </c>
      <c r="G81" s="199" t="s">
        <v>382</v>
      </c>
      <c r="H81" s="348" t="s">
        <v>723</v>
      </c>
      <c r="I81" s="349" t="s">
        <v>245</v>
      </c>
      <c r="J81" s="349" t="s">
        <v>115</v>
      </c>
      <c r="K81" s="349" t="s">
        <v>117</v>
      </c>
      <c r="L81" s="396">
        <v>2</v>
      </c>
      <c r="M81" s="361" t="s">
        <v>271</v>
      </c>
      <c r="N81" s="291"/>
      <c r="O81" s="291"/>
      <c r="P81" s="291"/>
      <c r="Q81" s="291"/>
      <c r="R81" s="291"/>
      <c r="S81" s="291"/>
      <c r="T81" s="291"/>
      <c r="U81" s="291"/>
      <c r="V81" s="291"/>
      <c r="W81" s="291"/>
      <c r="X81" s="291"/>
      <c r="Y81" s="291"/>
      <c r="Z81" s="177">
        <f>SUM(N81:Y81)*L81</f>
        <v>0</v>
      </c>
      <c r="AA81" s="8">
        <f>SUM(N81:Y81)</f>
        <v>0</v>
      </c>
      <c r="AD81" s="8">
        <v>1000</v>
      </c>
      <c r="AE81" s="17">
        <v>0</v>
      </c>
    </row>
    <row r="82" spans="2:31" ht="14.4" hidden="1">
      <c r="C82" s="283"/>
      <c r="D82" s="284"/>
      <c r="E82" s="285"/>
      <c r="F82" s="151" t="s">
        <v>198</v>
      </c>
      <c r="G82" s="199" t="s">
        <v>382</v>
      </c>
      <c r="H82" s="284" t="s">
        <v>723</v>
      </c>
      <c r="I82" s="284" t="s">
        <v>465</v>
      </c>
      <c r="J82" s="284" t="s">
        <v>115</v>
      </c>
      <c r="K82" s="287" t="s">
        <v>117</v>
      </c>
      <c r="L82" s="294">
        <v>2</v>
      </c>
      <c r="M82" s="362" t="s">
        <v>533</v>
      </c>
      <c r="N82" s="291">
        <v>150</v>
      </c>
      <c r="O82" s="291">
        <v>550</v>
      </c>
      <c r="P82" s="291">
        <v>0</v>
      </c>
      <c r="Q82" s="291">
        <v>0</v>
      </c>
      <c r="R82" s="291"/>
      <c r="S82" s="291"/>
      <c r="T82" s="291"/>
      <c r="U82" s="291"/>
      <c r="V82" s="291"/>
      <c r="W82" s="291"/>
      <c r="X82" s="291"/>
      <c r="Y82" s="291"/>
      <c r="Z82" s="177">
        <f>SUM(N82:Y82)*L82</f>
        <v>1400</v>
      </c>
      <c r="AA82" s="8">
        <f>SUM(N82:Y82)</f>
        <v>700</v>
      </c>
      <c r="AD82" s="8">
        <v>4150</v>
      </c>
      <c r="AE82" s="17">
        <v>650</v>
      </c>
    </row>
    <row r="83" spans="2:31" ht="14.4" hidden="1">
      <c r="B83" s="395" t="s">
        <v>763</v>
      </c>
      <c r="C83" s="283"/>
      <c r="D83" s="284"/>
      <c r="E83" s="285"/>
      <c r="F83" s="151" t="s">
        <v>198</v>
      </c>
      <c r="G83" s="199" t="s">
        <v>382</v>
      </c>
      <c r="H83" s="348" t="s">
        <v>723</v>
      </c>
      <c r="I83" s="349" t="s">
        <v>27</v>
      </c>
      <c r="J83" s="349" t="s">
        <v>115</v>
      </c>
      <c r="K83" s="349" t="s">
        <v>117</v>
      </c>
      <c r="L83" s="396">
        <v>2</v>
      </c>
      <c r="M83" s="361" t="s">
        <v>270</v>
      </c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  <c r="Z83" s="177">
        <f>SUM(N83:Y83)*L83</f>
        <v>0</v>
      </c>
      <c r="AA83" s="8">
        <f>SUM(N83:Y83)</f>
        <v>0</v>
      </c>
      <c r="AD83" s="8">
        <v>5100</v>
      </c>
      <c r="AE83" s="17">
        <v>0</v>
      </c>
    </row>
    <row r="84" spans="2:31" ht="14.4">
      <c r="C84" s="283"/>
      <c r="D84" s="284"/>
      <c r="E84" s="285"/>
      <c r="F84" s="151" t="s">
        <v>198</v>
      </c>
      <c r="G84" s="199" t="s">
        <v>382</v>
      </c>
      <c r="H84" s="284" t="s">
        <v>723</v>
      </c>
      <c r="I84" s="287" t="s">
        <v>305</v>
      </c>
      <c r="J84" s="287" t="s">
        <v>115</v>
      </c>
      <c r="K84" s="287" t="s">
        <v>117</v>
      </c>
      <c r="L84" s="294">
        <v>2</v>
      </c>
      <c r="M84" s="362"/>
      <c r="N84" s="291"/>
      <c r="O84" s="291"/>
      <c r="P84" s="291"/>
      <c r="Q84" s="291"/>
      <c r="R84" s="291"/>
      <c r="S84" s="291"/>
      <c r="T84" s="291"/>
      <c r="U84" s="291"/>
      <c r="V84" s="291"/>
      <c r="W84" s="291"/>
      <c r="X84" s="291"/>
      <c r="Y84" s="291"/>
      <c r="Z84" s="177">
        <f>SUM(N84:Y84)*L84</f>
        <v>0</v>
      </c>
      <c r="AA84" s="8">
        <f>SUM(N84:Y84)</f>
        <v>0</v>
      </c>
      <c r="AD84" s="8">
        <v>0</v>
      </c>
      <c r="AE84" s="17">
        <v>0</v>
      </c>
    </row>
    <row r="85" spans="2:31" ht="15.6" hidden="1">
      <c r="C85" s="314"/>
      <c r="D85" s="174" t="s">
        <v>22</v>
      </c>
      <c r="E85" s="181">
        <f>SUM(N85:Y85)</f>
        <v>50</v>
      </c>
      <c r="F85" s="175" t="s">
        <v>198</v>
      </c>
      <c r="G85" s="183" t="s">
        <v>382</v>
      </c>
      <c r="H85" s="181"/>
      <c r="I85" s="182"/>
      <c r="J85" s="182"/>
      <c r="K85" s="182" t="s">
        <v>369</v>
      </c>
      <c r="L85" s="182"/>
      <c r="M85" s="358"/>
      <c r="N85" s="181">
        <f>SUMIFS('FCST data'!Q:Q,'FCST data'!$D:$D,$F85,'FCST data'!$K:$K,$G85,'FCST data'!$N:$N,'SSD_eMMC_non volatile'!$K85)</f>
        <v>0</v>
      </c>
      <c r="O85" s="181">
        <f>SUMIFS('FCST data'!R:R,'FCST data'!$D:$D,$F85,'FCST data'!$K:$K,$G85,'FCST data'!$N:$N,'SSD_eMMC_non volatile'!$K85)</f>
        <v>50</v>
      </c>
      <c r="P85" s="181">
        <f>SUMIFS('FCST data'!S:S,'FCST data'!$D:$D,$F85,'FCST data'!$K:$K,$G85,'FCST data'!$N:$N,'SSD_eMMC_non volatile'!$K85)</f>
        <v>0</v>
      </c>
      <c r="Q85" s="181">
        <f>SUMIFS('FCST data'!T:T,'FCST data'!$D:$D,$F85,'FCST data'!$K:$K,$G85,'FCST data'!$N:$N,'SSD_eMMC_non volatile'!$K85)</f>
        <v>0</v>
      </c>
      <c r="R85" s="181">
        <f>SUMIFS('FCST data'!U:U,'FCST data'!$D:$D,$F85,'FCST data'!$K:$K,$G85,'FCST data'!$N:$N,'SSD_eMMC_non volatile'!$K85)</f>
        <v>0</v>
      </c>
      <c r="S85" s="181">
        <f>SUMIFS('FCST data'!V:V,'FCST data'!$D:$D,$F85,'FCST data'!$K:$K,$G85,'FCST data'!$N:$N,'SSD_eMMC_non volatile'!$K85)</f>
        <v>0</v>
      </c>
      <c r="T85" s="181">
        <f>SUMIFS('FCST data'!W:W,'FCST data'!$D:$D,$F85,'FCST data'!$K:$K,$G85,'FCST data'!$N:$N,'SSD_eMMC_non volatile'!$K85)</f>
        <v>0</v>
      </c>
      <c r="U85" s="181">
        <f>SUMIFS('FCST data'!X:X,'FCST data'!$D:$D,$F85,'FCST data'!$K:$K,$G85,'FCST data'!$N:$N,'SSD_eMMC_non volatile'!$K85)</f>
        <v>0</v>
      </c>
      <c r="V85" s="181">
        <f>SUMIFS('FCST data'!Y:Y,'FCST data'!$D:$D,$F85,'FCST data'!$K:$K,$G85,'FCST data'!$N:$N,'SSD_eMMC_non volatile'!$K85)</f>
        <v>0</v>
      </c>
      <c r="W85" s="181">
        <f>SUMIFS('FCST data'!Z:Z,'FCST data'!$D:$D,$F85,'FCST data'!$K:$K,$G85,'FCST data'!$N:$N,'SSD_eMMC_non volatile'!$K85)</f>
        <v>0</v>
      </c>
      <c r="X85" s="181">
        <f>SUMIFS('FCST data'!AA:AA,'FCST data'!$D:$D,$F85,'FCST data'!$K:$K,$G85,'FCST data'!$N:$N,'SSD_eMMC_non volatile'!$K85)</f>
        <v>0</v>
      </c>
      <c r="Y85" s="181">
        <f>SUMIFS('FCST data'!AB:AB,'FCST data'!$D:$D,$F85,'FCST data'!$K:$K,$G85,'FCST data'!$N:$N,'SSD_eMMC_non volatile'!$K85)</f>
        <v>0</v>
      </c>
      <c r="Z85" s="148"/>
      <c r="AA85" s="320"/>
      <c r="AB85" s="17">
        <f>E85-SUM(AA86:AA87)</f>
        <v>0</v>
      </c>
      <c r="AD85" s="320"/>
      <c r="AE85" s="17">
        <v>0</v>
      </c>
    </row>
    <row r="86" spans="2:31" ht="14.4" hidden="1">
      <c r="C86" s="283"/>
      <c r="D86" s="284"/>
      <c r="E86" s="285"/>
      <c r="F86" s="151" t="s">
        <v>198</v>
      </c>
      <c r="G86" s="199" t="s">
        <v>538</v>
      </c>
      <c r="H86" s="284" t="s">
        <v>724</v>
      </c>
      <c r="I86" s="287" t="s">
        <v>725</v>
      </c>
      <c r="J86" s="287" t="s">
        <v>115</v>
      </c>
      <c r="K86" s="287" t="s">
        <v>118</v>
      </c>
      <c r="L86" s="386">
        <v>2</v>
      </c>
      <c r="M86" s="362" t="s">
        <v>577</v>
      </c>
      <c r="N86" s="291"/>
      <c r="O86" s="291">
        <v>50</v>
      </c>
      <c r="P86" s="291">
        <v>0</v>
      </c>
      <c r="Q86" s="291">
        <v>0</v>
      </c>
      <c r="R86" s="291"/>
      <c r="S86" s="291"/>
      <c r="T86" s="291"/>
      <c r="U86" s="291"/>
      <c r="V86" s="291"/>
      <c r="W86" s="291"/>
      <c r="X86" s="291"/>
      <c r="Y86" s="291"/>
      <c r="Z86" s="177">
        <f>SUM(N86:Y86)*L86</f>
        <v>100</v>
      </c>
      <c r="AA86" s="8">
        <f>SUM(N86:Y86)</f>
        <v>50</v>
      </c>
      <c r="AD86" s="8">
        <v>1600</v>
      </c>
      <c r="AE86" s="17">
        <v>0</v>
      </c>
    </row>
    <row r="87" spans="2:31" ht="14.4" hidden="1">
      <c r="B87" s="395" t="s">
        <v>763</v>
      </c>
      <c r="C87" s="283"/>
      <c r="D87" s="284"/>
      <c r="E87" s="285"/>
      <c r="F87" s="151" t="s">
        <v>198</v>
      </c>
      <c r="G87" s="199" t="s">
        <v>382</v>
      </c>
      <c r="H87" s="348" t="s">
        <v>723</v>
      </c>
      <c r="I87" s="349" t="s">
        <v>245</v>
      </c>
      <c r="J87" s="349" t="s">
        <v>115</v>
      </c>
      <c r="K87" s="349" t="s">
        <v>118</v>
      </c>
      <c r="L87" s="396">
        <v>2</v>
      </c>
      <c r="M87" s="361" t="s">
        <v>263</v>
      </c>
      <c r="N87" s="340"/>
      <c r="O87" s="340"/>
      <c r="P87" s="340"/>
      <c r="Q87" s="340"/>
      <c r="R87" s="340"/>
      <c r="S87" s="340"/>
      <c r="T87" s="340"/>
      <c r="U87" s="340"/>
      <c r="V87" s="340"/>
      <c r="W87" s="340"/>
      <c r="X87" s="340"/>
      <c r="Y87" s="340"/>
      <c r="Z87" s="177">
        <f>SUM(N87:Y87)*L87</f>
        <v>0</v>
      </c>
      <c r="AA87" s="8">
        <f>SUM(N87:Y87)</f>
        <v>0</v>
      </c>
      <c r="AD87" s="8">
        <v>1000</v>
      </c>
      <c r="AE87" s="17">
        <v>0</v>
      </c>
    </row>
    <row r="88" spans="2:31" ht="15.6" hidden="1">
      <c r="C88" s="314"/>
      <c r="D88" s="174" t="s">
        <v>22</v>
      </c>
      <c r="E88" s="181">
        <f>SUM(N88:Y88)</f>
        <v>0</v>
      </c>
      <c r="F88" s="175" t="s">
        <v>198</v>
      </c>
      <c r="G88" s="183" t="s">
        <v>382</v>
      </c>
      <c r="H88" s="181"/>
      <c r="I88" s="182"/>
      <c r="J88" s="182"/>
      <c r="K88" s="182" t="s">
        <v>535</v>
      </c>
      <c r="L88" s="182"/>
      <c r="M88" s="358"/>
      <c r="N88" s="181">
        <f>SUMIFS('FCST data'!Q:Q,'FCST data'!$D:$D,$F88,'FCST data'!$K:$K,$G88,'FCST data'!$N:$N,'SSD_eMMC_non volatile'!$K88)</f>
        <v>0</v>
      </c>
      <c r="O88" s="181">
        <f>SUMIFS('FCST data'!R:R,'FCST data'!$D:$D,$F88,'FCST data'!$K:$K,$G88,'FCST data'!$N:$N,'SSD_eMMC_non volatile'!$K88)</f>
        <v>0</v>
      </c>
      <c r="P88" s="181">
        <f>SUMIFS('FCST data'!S:S,'FCST data'!$D:$D,$F88,'FCST data'!$K:$K,$G88,'FCST data'!$N:$N,'SSD_eMMC_non volatile'!$K88)</f>
        <v>0</v>
      </c>
      <c r="Q88" s="181">
        <f>SUMIFS('FCST data'!T:T,'FCST data'!$D:$D,$F88,'FCST data'!$K:$K,$G88,'FCST data'!$N:$N,'SSD_eMMC_non volatile'!$K88)</f>
        <v>0</v>
      </c>
      <c r="R88" s="181">
        <f>SUMIFS('FCST data'!U:U,'FCST data'!$D:$D,$F88,'FCST data'!$K:$K,$G88,'FCST data'!$N:$N,'SSD_eMMC_non volatile'!$K88)</f>
        <v>0</v>
      </c>
      <c r="S88" s="181">
        <f>SUMIFS('FCST data'!V:V,'FCST data'!$D:$D,$F88,'FCST data'!$K:$K,$G88,'FCST data'!$N:$N,'SSD_eMMC_non volatile'!$K88)</f>
        <v>0</v>
      </c>
      <c r="T88" s="181">
        <f>SUMIFS('FCST data'!W:W,'FCST data'!$D:$D,$F88,'FCST data'!$K:$K,$G88,'FCST data'!$N:$N,'SSD_eMMC_non volatile'!$K88)</f>
        <v>0</v>
      </c>
      <c r="U88" s="181">
        <f>SUMIFS('FCST data'!X:X,'FCST data'!$D:$D,$F88,'FCST data'!$K:$K,$G88,'FCST data'!$N:$N,'SSD_eMMC_non volatile'!$K88)</f>
        <v>0</v>
      </c>
      <c r="V88" s="181">
        <f>SUMIFS('FCST data'!Y:Y,'FCST data'!$D:$D,$F88,'FCST data'!$K:$K,$G88,'FCST data'!$N:$N,'SSD_eMMC_non volatile'!$K88)</f>
        <v>0</v>
      </c>
      <c r="W88" s="181">
        <f>SUMIFS('FCST data'!Z:Z,'FCST data'!$D:$D,$F88,'FCST data'!$K:$K,$G88,'FCST data'!$N:$N,'SSD_eMMC_non volatile'!$K88)</f>
        <v>0</v>
      </c>
      <c r="X88" s="181">
        <f>SUMIFS('FCST data'!AA:AA,'FCST data'!$D:$D,$F88,'FCST data'!$K:$K,$G88,'FCST data'!$N:$N,'SSD_eMMC_non volatile'!$K88)</f>
        <v>0</v>
      </c>
      <c r="Y88" s="181">
        <f>SUMIFS('FCST data'!AB:AB,'FCST data'!$D:$D,$F88,'FCST data'!$K:$K,$G88,'FCST data'!$N:$N,'SSD_eMMC_non volatile'!$K88)</f>
        <v>0</v>
      </c>
      <c r="Z88" s="148"/>
      <c r="AA88" s="320"/>
      <c r="AB88" s="17">
        <f>E88-SUM(AA89:AA90)</f>
        <v>0</v>
      </c>
      <c r="AD88" s="320"/>
      <c r="AE88" s="17">
        <v>0</v>
      </c>
    </row>
    <row r="89" spans="2:31" ht="14.4" hidden="1">
      <c r="C89" s="283"/>
      <c r="D89" s="284"/>
      <c r="E89" s="285"/>
      <c r="F89" s="151" t="s">
        <v>198</v>
      </c>
      <c r="G89" s="199" t="s">
        <v>538</v>
      </c>
      <c r="H89" s="284" t="s">
        <v>724</v>
      </c>
      <c r="I89" s="287" t="s">
        <v>725</v>
      </c>
      <c r="J89" s="287" t="s">
        <v>115</v>
      </c>
      <c r="K89" s="287" t="s">
        <v>114</v>
      </c>
      <c r="L89" s="386">
        <v>2</v>
      </c>
      <c r="M89" s="362" t="s">
        <v>578</v>
      </c>
      <c r="N89" s="291"/>
      <c r="O89" s="291"/>
      <c r="P89" s="291"/>
      <c r="Q89" s="291"/>
      <c r="R89" s="291"/>
      <c r="S89" s="291"/>
      <c r="T89" s="291"/>
      <c r="U89" s="291"/>
      <c r="V89" s="291"/>
      <c r="W89" s="291"/>
      <c r="X89" s="291"/>
      <c r="Y89" s="291"/>
      <c r="Z89" s="177">
        <f>SUM(N89:Y89)*L89</f>
        <v>0</v>
      </c>
      <c r="AA89" s="8">
        <f>SUM(N89:Y89)</f>
        <v>0</v>
      </c>
      <c r="AD89" s="8">
        <v>100</v>
      </c>
      <c r="AE89" s="17">
        <v>0</v>
      </c>
    </row>
    <row r="90" spans="2:31" ht="14.4">
      <c r="C90" s="283"/>
      <c r="D90" s="284"/>
      <c r="E90" s="285"/>
      <c r="F90" s="151" t="s">
        <v>198</v>
      </c>
      <c r="G90" s="199" t="s">
        <v>382</v>
      </c>
      <c r="H90" s="284" t="s">
        <v>723</v>
      </c>
      <c r="I90" s="287" t="s">
        <v>305</v>
      </c>
      <c r="J90" s="287" t="s">
        <v>115</v>
      </c>
      <c r="K90" s="287" t="s">
        <v>114</v>
      </c>
      <c r="L90" s="352">
        <v>2</v>
      </c>
      <c r="M90" s="362"/>
      <c r="N90" s="340"/>
      <c r="O90" s="340"/>
      <c r="P90" s="340"/>
      <c r="Q90" s="340"/>
      <c r="R90" s="340"/>
      <c r="S90" s="340"/>
      <c r="T90" s="340"/>
      <c r="U90" s="340"/>
      <c r="V90" s="340"/>
      <c r="W90" s="340"/>
      <c r="X90" s="340"/>
      <c r="Y90" s="340"/>
      <c r="Z90" s="177">
        <f>SUM(N90:Y90)*L90</f>
        <v>0</v>
      </c>
      <c r="AA90" s="8">
        <f>SUM(N90:Y90)</f>
        <v>0</v>
      </c>
      <c r="AD90" s="8">
        <v>0</v>
      </c>
      <c r="AE90" s="17">
        <v>0</v>
      </c>
    </row>
    <row r="91" spans="2:31" ht="15.6" hidden="1">
      <c r="C91" s="314"/>
      <c r="D91" s="174" t="s">
        <v>22</v>
      </c>
      <c r="E91" s="181">
        <f>SUM(N91:Y91)</f>
        <v>0</v>
      </c>
      <c r="F91" s="175" t="s">
        <v>623</v>
      </c>
      <c r="G91" s="183" t="s">
        <v>382</v>
      </c>
      <c r="H91" s="181"/>
      <c r="I91" s="182"/>
      <c r="J91" s="182"/>
      <c r="K91" s="182" t="s">
        <v>692</v>
      </c>
      <c r="L91" s="182"/>
      <c r="M91" s="363"/>
      <c r="N91" s="181">
        <f>SUMIFS('FCST data'!Q:Q,'FCST data'!$D:$D,$F91,'FCST data'!$K:$K,$G91,'FCST data'!$N:$N,'SSD_eMMC_non volatile'!$K91)+SUMIFS('FCST data'!Q:Q,'FCST data'!$D:$D,$F91,'FCST data'!$K:$K,$G91,'FCST data'!$N:$N,"1TB + 256GB SSD")</f>
        <v>0</v>
      </c>
      <c r="O91" s="181">
        <f>SUMIFS('FCST data'!R:R,'FCST data'!$D:$D,$F91,'FCST data'!$K:$K,$G91,'FCST data'!$N:$N,'SSD_eMMC_non volatile'!$K91)+SUMIFS('FCST data'!R:R,'FCST data'!$D:$D,$F91,'FCST data'!$K:$K,$G91,'FCST data'!$N:$N,"1TB + 256GB SSD")</f>
        <v>0</v>
      </c>
      <c r="P91" s="181">
        <f>SUMIFS('FCST data'!S:S,'FCST data'!$D:$D,$F91,'FCST data'!$K:$K,$G91,'FCST data'!$N:$N,'SSD_eMMC_non volatile'!$K91)+SUMIFS('FCST data'!S:S,'FCST data'!$D:$D,$F91,'FCST data'!$K:$K,$G91,'FCST data'!$N:$N,"1TB + 256GB SSD")</f>
        <v>0</v>
      </c>
      <c r="Q91" s="181">
        <f>SUMIFS('FCST data'!T:T,'FCST data'!$D:$D,$F91,'FCST data'!$K:$K,$G91,'FCST data'!$N:$N,'SSD_eMMC_non volatile'!$K91)+SUMIFS('FCST data'!T:T,'FCST data'!$D:$D,$F91,'FCST data'!$K:$K,$G91,'FCST data'!$N:$N,"1TB + 256GB SSD")</f>
        <v>0</v>
      </c>
      <c r="R91" s="181">
        <f>SUMIFS('FCST data'!U:U,'FCST data'!$D:$D,$F91,'FCST data'!$K:$K,$G91,'FCST data'!$N:$N,'SSD_eMMC_non volatile'!$K91)+SUMIFS('FCST data'!U:U,'FCST data'!$D:$D,$F91,'FCST data'!$K:$K,$G91,'FCST data'!$N:$N,"1TB + 256GB SSD")</f>
        <v>0</v>
      </c>
      <c r="S91" s="181">
        <f>SUMIFS('FCST data'!V:V,'FCST data'!$D:$D,$F91,'FCST data'!$K:$K,$G91,'FCST data'!$N:$N,'SSD_eMMC_non volatile'!$K91)+SUMIFS('FCST data'!V:V,'FCST data'!$D:$D,$F91,'FCST data'!$K:$K,$G91,'FCST data'!$N:$N,"1TB + 256GB SSD")</f>
        <v>0</v>
      </c>
      <c r="T91" s="181">
        <f>SUMIFS('FCST data'!W:W,'FCST data'!$D:$D,$F91,'FCST data'!$K:$K,$G91,'FCST data'!$N:$N,'SSD_eMMC_non volatile'!$K91)+SUMIFS('FCST data'!W:W,'FCST data'!$D:$D,$F91,'FCST data'!$K:$K,$G91,'FCST data'!$N:$N,"1TB + 256GB SSD")</f>
        <v>0</v>
      </c>
      <c r="U91" s="181">
        <f>SUMIFS('FCST data'!X:X,'FCST data'!$D:$D,$F91,'FCST data'!$K:$K,$G91,'FCST data'!$N:$N,'SSD_eMMC_non volatile'!$K91)+SUMIFS('FCST data'!X:X,'FCST data'!$D:$D,$F91,'FCST data'!$K:$K,$G91,'FCST data'!$N:$N,"1TB + 256GB SSD")</f>
        <v>0</v>
      </c>
      <c r="V91" s="181">
        <f>SUMIFS('FCST data'!Y:Y,'FCST data'!$D:$D,$F91,'FCST data'!$K:$K,$G91,'FCST data'!$N:$N,'SSD_eMMC_non volatile'!$K91)+SUMIFS('FCST data'!Y:Y,'FCST data'!$D:$D,$F91,'FCST data'!$K:$K,$G91,'FCST data'!$N:$N,"1TB + 256GB SSD")</f>
        <v>0</v>
      </c>
      <c r="W91" s="181">
        <f>SUMIFS('FCST data'!Z:Z,'FCST data'!$D:$D,$F91,'FCST data'!$K:$K,$G91,'FCST data'!$N:$N,'SSD_eMMC_non volatile'!$K91)+SUMIFS('FCST data'!Z:Z,'FCST data'!$D:$D,$F91,'FCST data'!$K:$K,$G91,'FCST data'!$N:$N,"1TB + 256GB SSD")</f>
        <v>0</v>
      </c>
      <c r="X91" s="181">
        <f>SUMIFS('FCST data'!AA:AA,'FCST data'!$D:$D,$F91,'FCST data'!$K:$K,$G91,'FCST data'!$N:$N,'SSD_eMMC_non volatile'!$K91)+SUMIFS('FCST data'!AA:AA,'FCST data'!$D:$D,$F91,'FCST data'!$K:$K,$G91,'FCST data'!$N:$N,"1TB + 256GB SSD")</f>
        <v>0</v>
      </c>
      <c r="Y91" s="181">
        <f>SUMIFS('FCST data'!AB:AB,'FCST data'!$D:$D,$F91,'FCST data'!$K:$K,$G91,'FCST data'!$N:$N,'SSD_eMMC_non volatile'!$K91)+SUMIFS('FCST data'!AB:AB,'FCST data'!$D:$D,$F91,'FCST data'!$K:$K,$G91,'FCST data'!$N:$N,"1TB + 256GB SSD")</f>
        <v>0</v>
      </c>
      <c r="Z91" s="148"/>
      <c r="AA91" s="320"/>
      <c r="AB91" s="17">
        <f>E91-SUM(AA92:AA93)</f>
        <v>0</v>
      </c>
      <c r="AD91" s="320"/>
      <c r="AE91" s="17">
        <v>0</v>
      </c>
    </row>
    <row r="92" spans="2:31" ht="14.4" hidden="1">
      <c r="C92" s="283"/>
      <c r="D92" s="284"/>
      <c r="E92" s="285"/>
      <c r="F92" s="151" t="s">
        <v>623</v>
      </c>
      <c r="G92" s="199" t="s">
        <v>382</v>
      </c>
      <c r="H92" s="284" t="s">
        <v>724</v>
      </c>
      <c r="I92" s="287" t="s">
        <v>725</v>
      </c>
      <c r="J92" s="287" t="s">
        <v>115</v>
      </c>
      <c r="K92" s="287" t="s">
        <v>118</v>
      </c>
      <c r="L92" s="386">
        <v>2</v>
      </c>
      <c r="M92" s="362"/>
      <c r="N92" s="291"/>
      <c r="O92" s="291"/>
      <c r="P92" s="291"/>
      <c r="Q92" s="291"/>
      <c r="R92" s="291"/>
      <c r="S92" s="291"/>
      <c r="T92" s="291"/>
      <c r="U92" s="291"/>
      <c r="V92" s="291"/>
      <c r="W92" s="291"/>
      <c r="X92" s="291"/>
      <c r="Y92" s="291"/>
      <c r="Z92" s="177">
        <f>SUM(N92:Y92)*L92</f>
        <v>0</v>
      </c>
      <c r="AA92" s="8">
        <f>SUM(N92:Y92)</f>
        <v>0</v>
      </c>
      <c r="AD92" s="8">
        <v>350</v>
      </c>
      <c r="AE92" s="17">
        <v>0</v>
      </c>
    </row>
    <row r="93" spans="2:31" ht="14.4">
      <c r="C93" s="283"/>
      <c r="D93" s="284"/>
      <c r="E93" s="285"/>
      <c r="F93" s="151" t="s">
        <v>623</v>
      </c>
      <c r="G93" s="199" t="s">
        <v>382</v>
      </c>
      <c r="H93" s="284" t="s">
        <v>723</v>
      </c>
      <c r="I93" s="287" t="s">
        <v>305</v>
      </c>
      <c r="J93" s="287" t="s">
        <v>115</v>
      </c>
      <c r="K93" s="287" t="s">
        <v>118</v>
      </c>
      <c r="L93" s="294">
        <v>2</v>
      </c>
      <c r="M93" s="362"/>
      <c r="N93" s="291"/>
      <c r="O93" s="291"/>
      <c r="P93" s="291"/>
      <c r="Q93" s="291"/>
      <c r="R93" s="291"/>
      <c r="S93" s="291"/>
      <c r="T93" s="291"/>
      <c r="U93" s="291"/>
      <c r="V93" s="291"/>
      <c r="W93" s="291"/>
      <c r="X93" s="291"/>
      <c r="Y93" s="291"/>
      <c r="Z93" s="177">
        <f>SUM(N93:Y93)*L93</f>
        <v>0</v>
      </c>
      <c r="AA93" s="8">
        <f>SUM(N93:Y93)</f>
        <v>0</v>
      </c>
      <c r="AD93" s="8">
        <v>0</v>
      </c>
      <c r="AE93" s="17">
        <v>0</v>
      </c>
    </row>
    <row r="94" spans="2:31" ht="15.6" hidden="1">
      <c r="C94" s="314"/>
      <c r="D94" s="174" t="s">
        <v>22</v>
      </c>
      <c r="E94" s="181">
        <f>SUM(N94:Y94)</f>
        <v>0</v>
      </c>
      <c r="F94" s="175" t="s">
        <v>207</v>
      </c>
      <c r="G94" s="183" t="s">
        <v>382</v>
      </c>
      <c r="H94" s="181"/>
      <c r="I94" s="182"/>
      <c r="J94" s="182"/>
      <c r="K94" s="182" t="s">
        <v>369</v>
      </c>
      <c r="L94" s="182"/>
      <c r="M94" s="363"/>
      <c r="N94" s="181">
        <f>SUMIFS('FCST data'!Q:Q,'FCST data'!$D:$D,$F94,'FCST data'!$K:$K,$G94,'FCST data'!$N:$N,'SSD_eMMC_non volatile'!$K94)</f>
        <v>0</v>
      </c>
      <c r="O94" s="181">
        <f>SUMIFS('FCST data'!R:R,'FCST data'!$D:$D,$F94,'FCST data'!$K:$K,$G94,'FCST data'!$N:$N,'SSD_eMMC_non volatile'!$K94)</f>
        <v>0</v>
      </c>
      <c r="P94" s="181">
        <f>SUMIFS('FCST data'!S:S,'FCST data'!$D:$D,$F94,'FCST data'!$K:$K,$G94,'FCST data'!$N:$N,'SSD_eMMC_non volatile'!$K94)</f>
        <v>0</v>
      </c>
      <c r="Q94" s="181">
        <f>SUMIFS('FCST data'!T:T,'FCST data'!$D:$D,$F94,'FCST data'!$K:$K,$G94,'FCST data'!$N:$N,'SSD_eMMC_non volatile'!$K94)</f>
        <v>0</v>
      </c>
      <c r="R94" s="181">
        <f>SUMIFS('FCST data'!U:U,'FCST data'!$D:$D,$F94,'FCST data'!$K:$K,$G94,'FCST data'!$N:$N,'SSD_eMMC_non volatile'!$K94)</f>
        <v>0</v>
      </c>
      <c r="S94" s="181">
        <f>SUMIFS('FCST data'!V:V,'FCST data'!$D:$D,$F94,'FCST data'!$K:$K,$G94,'FCST data'!$N:$N,'SSD_eMMC_non volatile'!$K94)</f>
        <v>0</v>
      </c>
      <c r="T94" s="181">
        <f>SUMIFS('FCST data'!W:W,'FCST data'!$D:$D,$F94,'FCST data'!$K:$K,$G94,'FCST data'!$N:$N,'SSD_eMMC_non volatile'!$K94)</f>
        <v>0</v>
      </c>
      <c r="U94" s="181">
        <f>SUMIFS('FCST data'!X:X,'FCST data'!$D:$D,$F94,'FCST data'!$K:$K,$G94,'FCST data'!$N:$N,'SSD_eMMC_non volatile'!$K94)</f>
        <v>0</v>
      </c>
      <c r="V94" s="181">
        <f>SUMIFS('FCST data'!Y:Y,'FCST data'!$D:$D,$F94,'FCST data'!$K:$K,$G94,'FCST data'!$N:$N,'SSD_eMMC_non volatile'!$K94)</f>
        <v>0</v>
      </c>
      <c r="W94" s="181">
        <f>SUMIFS('FCST data'!Z:Z,'FCST data'!$D:$D,$F94,'FCST data'!$K:$K,$G94,'FCST data'!$N:$N,'SSD_eMMC_non volatile'!$K94)</f>
        <v>0</v>
      </c>
      <c r="X94" s="181">
        <f>SUMIFS('FCST data'!AA:AA,'FCST data'!$D:$D,$F94,'FCST data'!$K:$K,$G94,'FCST data'!$N:$N,'SSD_eMMC_non volatile'!$K94)</f>
        <v>0</v>
      </c>
      <c r="Y94" s="181">
        <f>SUMIFS('FCST data'!AB:AB,'FCST data'!$D:$D,$F94,'FCST data'!$K:$K,$G94,'FCST data'!$N:$N,'SSD_eMMC_non volatile'!$K94)</f>
        <v>0</v>
      </c>
      <c r="Z94" s="148"/>
      <c r="AA94" s="320"/>
      <c r="AB94" s="17">
        <f>E94-SUM(AA95:AA96)</f>
        <v>0</v>
      </c>
      <c r="AD94" s="320"/>
      <c r="AE94" s="17">
        <v>0</v>
      </c>
    </row>
    <row r="95" spans="2:31" ht="14.4" hidden="1">
      <c r="C95" s="283"/>
      <c r="D95" s="284"/>
      <c r="E95" s="285"/>
      <c r="F95" s="151" t="s">
        <v>207</v>
      </c>
      <c r="G95" s="199" t="s">
        <v>382</v>
      </c>
      <c r="H95" s="284" t="s">
        <v>724</v>
      </c>
      <c r="I95" s="287" t="s">
        <v>725</v>
      </c>
      <c r="J95" s="287" t="s">
        <v>115</v>
      </c>
      <c r="K95" s="287" t="s">
        <v>118</v>
      </c>
      <c r="L95" s="386">
        <v>2</v>
      </c>
      <c r="M95" s="362" t="s">
        <v>579</v>
      </c>
      <c r="N95" s="291"/>
      <c r="O95" s="291"/>
      <c r="P95" s="291"/>
      <c r="Q95" s="291"/>
      <c r="R95" s="291"/>
      <c r="S95" s="291"/>
      <c r="T95" s="291"/>
      <c r="U95" s="291"/>
      <c r="V95" s="291"/>
      <c r="W95" s="291"/>
      <c r="X95" s="291"/>
      <c r="Y95" s="291"/>
      <c r="Z95" s="177">
        <f>SUM(N95:Y95)*L95</f>
        <v>0</v>
      </c>
      <c r="AA95" s="8">
        <f>SUM(N95:Y95)</f>
        <v>0</v>
      </c>
      <c r="AD95" s="8">
        <v>200</v>
      </c>
      <c r="AE95" s="17">
        <v>0</v>
      </c>
    </row>
    <row r="96" spans="2:31" ht="14.4" hidden="1">
      <c r="B96" s="395" t="s">
        <v>763</v>
      </c>
      <c r="C96" s="283"/>
      <c r="D96" s="284"/>
      <c r="E96" s="285"/>
      <c r="F96" s="151" t="s">
        <v>207</v>
      </c>
      <c r="G96" s="199" t="s">
        <v>382</v>
      </c>
      <c r="H96" s="348" t="s">
        <v>723</v>
      </c>
      <c r="I96" s="349" t="s">
        <v>245</v>
      </c>
      <c r="J96" s="349" t="s">
        <v>115</v>
      </c>
      <c r="K96" s="349" t="s">
        <v>118</v>
      </c>
      <c r="L96" s="396">
        <v>2</v>
      </c>
      <c r="M96" s="361" t="s">
        <v>263</v>
      </c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177">
        <f>SUM(N96:Y96)*L96</f>
        <v>0</v>
      </c>
      <c r="AA96" s="8">
        <f>SUM(N96:Y96)</f>
        <v>0</v>
      </c>
      <c r="AD96" s="8">
        <v>300</v>
      </c>
      <c r="AE96" s="17">
        <v>0</v>
      </c>
    </row>
    <row r="97" spans="3:31" ht="15.6" hidden="1">
      <c r="C97" s="314"/>
      <c r="D97" s="174" t="s">
        <v>22</v>
      </c>
      <c r="E97" s="181">
        <f>SUM(N97:Y97)</f>
        <v>0</v>
      </c>
      <c r="F97" s="175" t="s">
        <v>207</v>
      </c>
      <c r="G97" s="183" t="s">
        <v>382</v>
      </c>
      <c r="H97" s="181"/>
      <c r="I97" s="182"/>
      <c r="J97" s="182"/>
      <c r="K97" s="182" t="s">
        <v>535</v>
      </c>
      <c r="L97" s="182"/>
      <c r="M97" s="363"/>
      <c r="N97" s="181">
        <f>SUMIFS('FCST data'!Q:Q,'FCST data'!$D:$D,$F97,'FCST data'!$K:$K,$G97,'FCST data'!$N:$N,'SSD_eMMC_non volatile'!$K97)</f>
        <v>0</v>
      </c>
      <c r="O97" s="181">
        <f>SUMIFS('FCST data'!R:R,'FCST data'!$D:$D,$F97,'FCST data'!$K:$K,$G97,'FCST data'!$N:$N,'SSD_eMMC_non volatile'!$K97)</f>
        <v>0</v>
      </c>
      <c r="P97" s="181">
        <f>SUMIFS('FCST data'!S:S,'FCST data'!$D:$D,$F97,'FCST data'!$K:$K,$G97,'FCST data'!$N:$N,'SSD_eMMC_non volatile'!$K97)</f>
        <v>0</v>
      </c>
      <c r="Q97" s="181">
        <f>SUMIFS('FCST data'!T:T,'FCST data'!$D:$D,$F97,'FCST data'!$K:$K,$G97,'FCST data'!$N:$N,'SSD_eMMC_non volatile'!$K97)</f>
        <v>0</v>
      </c>
      <c r="R97" s="181">
        <f>SUMIFS('FCST data'!U:U,'FCST data'!$D:$D,$F97,'FCST data'!$K:$K,$G97,'FCST data'!$N:$N,'SSD_eMMC_non volatile'!$K97)</f>
        <v>0</v>
      </c>
      <c r="S97" s="181">
        <f>SUMIFS('FCST data'!V:V,'FCST data'!$D:$D,$F97,'FCST data'!$K:$K,$G97,'FCST data'!$N:$N,'SSD_eMMC_non volatile'!$K97)</f>
        <v>0</v>
      </c>
      <c r="T97" s="181">
        <f>SUMIFS('FCST data'!W:W,'FCST data'!$D:$D,$F97,'FCST data'!$K:$K,$G97,'FCST data'!$N:$N,'SSD_eMMC_non volatile'!$K97)</f>
        <v>0</v>
      </c>
      <c r="U97" s="181">
        <f>SUMIFS('FCST data'!X:X,'FCST data'!$D:$D,$F97,'FCST data'!$K:$K,$G97,'FCST data'!$N:$N,'SSD_eMMC_non volatile'!$K97)</f>
        <v>0</v>
      </c>
      <c r="V97" s="181">
        <f>SUMIFS('FCST data'!Y:Y,'FCST data'!$D:$D,$F97,'FCST data'!$K:$K,$G97,'FCST data'!$N:$N,'SSD_eMMC_non volatile'!$K97)</f>
        <v>0</v>
      </c>
      <c r="W97" s="181">
        <f>SUMIFS('FCST data'!Z:Z,'FCST data'!$D:$D,$F97,'FCST data'!$K:$K,$G97,'FCST data'!$N:$N,'SSD_eMMC_non volatile'!$K97)</f>
        <v>0</v>
      </c>
      <c r="X97" s="181">
        <f>SUMIFS('FCST data'!AA:AA,'FCST data'!$D:$D,$F97,'FCST data'!$K:$K,$G97,'FCST data'!$N:$N,'SSD_eMMC_non volatile'!$K97)</f>
        <v>0</v>
      </c>
      <c r="Y97" s="181">
        <f>SUMIFS('FCST data'!AB:AB,'FCST data'!$D:$D,$F97,'FCST data'!$K:$K,$G97,'FCST data'!$N:$N,'SSD_eMMC_non volatile'!$K97)</f>
        <v>0</v>
      </c>
      <c r="Z97" s="148"/>
      <c r="AA97" s="320"/>
      <c r="AB97" s="17">
        <f>E97-SUM(AA98:AA99)</f>
        <v>0</v>
      </c>
      <c r="AD97" s="320"/>
      <c r="AE97" s="17">
        <v>0</v>
      </c>
    </row>
    <row r="98" spans="3:31" ht="14.4" hidden="1">
      <c r="C98" s="283"/>
      <c r="D98" s="284"/>
      <c r="E98" s="285"/>
      <c r="F98" s="151" t="s">
        <v>207</v>
      </c>
      <c r="G98" s="199" t="s">
        <v>382</v>
      </c>
      <c r="H98" s="284" t="s">
        <v>724</v>
      </c>
      <c r="I98" s="287" t="s">
        <v>725</v>
      </c>
      <c r="J98" s="287" t="s">
        <v>115</v>
      </c>
      <c r="K98" s="287" t="s">
        <v>114</v>
      </c>
      <c r="L98" s="386">
        <v>2</v>
      </c>
      <c r="M98" s="362" t="s">
        <v>578</v>
      </c>
      <c r="N98" s="291"/>
      <c r="O98" s="291"/>
      <c r="P98" s="291"/>
      <c r="Q98" s="291"/>
      <c r="R98" s="291"/>
      <c r="S98" s="291"/>
      <c r="T98" s="291"/>
      <c r="U98" s="291"/>
      <c r="V98" s="291"/>
      <c r="W98" s="291"/>
      <c r="X98" s="291"/>
      <c r="Y98" s="291"/>
      <c r="Z98" s="177">
        <f>SUM(N98:Y98)*L98</f>
        <v>0</v>
      </c>
      <c r="AA98" s="8">
        <f>SUM(N98:Y98)</f>
        <v>0</v>
      </c>
      <c r="AD98" s="8">
        <v>650</v>
      </c>
      <c r="AE98" s="17">
        <v>0</v>
      </c>
    </row>
    <row r="99" spans="3:31" ht="14.4">
      <c r="C99" s="283"/>
      <c r="D99" s="284"/>
      <c r="E99" s="285"/>
      <c r="F99" s="151" t="s">
        <v>207</v>
      </c>
      <c r="G99" s="199" t="s">
        <v>382</v>
      </c>
      <c r="H99" s="284" t="s">
        <v>723</v>
      </c>
      <c r="I99" s="287" t="s">
        <v>305</v>
      </c>
      <c r="J99" s="287" t="s">
        <v>115</v>
      </c>
      <c r="K99" s="287" t="s">
        <v>114</v>
      </c>
      <c r="L99" s="352">
        <v>2</v>
      </c>
      <c r="M99" s="362"/>
      <c r="N99" s="340"/>
      <c r="O99" s="340"/>
      <c r="P99" s="340"/>
      <c r="Q99" s="340"/>
      <c r="R99" s="340"/>
      <c r="S99" s="340"/>
      <c r="T99" s="340"/>
      <c r="U99" s="340"/>
      <c r="V99" s="340"/>
      <c r="W99" s="340"/>
      <c r="X99" s="340"/>
      <c r="Y99" s="340"/>
      <c r="Z99" s="177">
        <f>SUM(N99:Y99)*L99</f>
        <v>0</v>
      </c>
      <c r="AA99" s="8">
        <f>SUM(N99:Y99)</f>
        <v>0</v>
      </c>
      <c r="AD99" s="8">
        <v>0</v>
      </c>
      <c r="AE99" s="17">
        <v>0</v>
      </c>
    </row>
    <row r="100" spans="3:31" ht="15.6" hidden="1">
      <c r="C100" s="314"/>
      <c r="D100" s="174" t="s">
        <v>22</v>
      </c>
      <c r="E100" s="181">
        <f>SUM(N100:Y100)</f>
        <v>0</v>
      </c>
      <c r="F100" s="183" t="s">
        <v>411</v>
      </c>
      <c r="G100" s="183" t="s">
        <v>527</v>
      </c>
      <c r="H100" s="181"/>
      <c r="I100" s="182"/>
      <c r="J100" s="182"/>
      <c r="K100" s="182" t="s">
        <v>369</v>
      </c>
      <c r="L100" s="182"/>
      <c r="M100" s="363"/>
      <c r="N100" s="181">
        <f>SUMIFS('FCST data'!Q:Q,'FCST data'!$D:$D,$F100,'FCST data'!$K:$K,$G100,'FCST data'!$N:$N,'SSD_eMMC_non volatile'!$K100)</f>
        <v>0</v>
      </c>
      <c r="O100" s="181">
        <f>SUMIFS('FCST data'!R:R,'FCST data'!$D:$D,$F100,'FCST data'!$K:$K,$G100,'FCST data'!$N:$N,'SSD_eMMC_non volatile'!$K100)</f>
        <v>0</v>
      </c>
      <c r="P100" s="181">
        <f>SUMIFS('FCST data'!S:S,'FCST data'!$D:$D,$F100,'FCST data'!$K:$K,$G100,'FCST data'!$N:$N,'SSD_eMMC_non volatile'!$K100)</f>
        <v>0</v>
      </c>
      <c r="Q100" s="181">
        <f>SUMIFS('FCST data'!T:T,'FCST data'!$D:$D,$F100,'FCST data'!$K:$K,$G100,'FCST data'!$N:$N,'SSD_eMMC_non volatile'!$K100)</f>
        <v>0</v>
      </c>
      <c r="R100" s="181">
        <f>SUMIFS('FCST data'!U:U,'FCST data'!$D:$D,$F100,'FCST data'!$K:$K,$G100,'FCST data'!$N:$N,'SSD_eMMC_non volatile'!$K100)</f>
        <v>0</v>
      </c>
      <c r="S100" s="181">
        <f>SUMIFS('FCST data'!V:V,'FCST data'!$D:$D,$F100,'FCST data'!$K:$K,$G100,'FCST data'!$N:$N,'SSD_eMMC_non volatile'!$K100)</f>
        <v>0</v>
      </c>
      <c r="T100" s="181">
        <f>SUMIFS('FCST data'!W:W,'FCST data'!$D:$D,$F100,'FCST data'!$K:$K,$G100,'FCST data'!$N:$N,'SSD_eMMC_non volatile'!$K100)</f>
        <v>0</v>
      </c>
      <c r="U100" s="181">
        <f>SUMIFS('FCST data'!X:X,'FCST data'!$D:$D,$F100,'FCST data'!$K:$K,$G100,'FCST data'!$N:$N,'SSD_eMMC_non volatile'!$K100)</f>
        <v>0</v>
      </c>
      <c r="V100" s="181">
        <f>SUMIFS('FCST data'!Y:Y,'FCST data'!$D:$D,$F100,'FCST data'!$K:$K,$G100,'FCST data'!$N:$N,'SSD_eMMC_non volatile'!$K100)</f>
        <v>0</v>
      </c>
      <c r="W100" s="181">
        <f>SUMIFS('FCST data'!Z:Z,'FCST data'!$D:$D,$F100,'FCST data'!$K:$K,$G100,'FCST data'!$N:$N,'SSD_eMMC_non volatile'!$K100)</f>
        <v>0</v>
      </c>
      <c r="X100" s="181">
        <f>SUMIFS('FCST data'!AA:AA,'FCST data'!$D:$D,$F100,'FCST data'!$K:$K,$G100,'FCST data'!$N:$N,'SSD_eMMC_non volatile'!$K100)</f>
        <v>0</v>
      </c>
      <c r="Y100" s="181">
        <f>SUMIFS('FCST data'!AB:AB,'FCST data'!$D:$D,$F100,'FCST data'!$K:$K,$G100,'FCST data'!$N:$N,'SSD_eMMC_non volatile'!$K100)</f>
        <v>0</v>
      </c>
      <c r="Z100" s="148"/>
      <c r="AA100" s="320"/>
      <c r="AB100" s="17">
        <f>E100-SUM(AA101:AA102)</f>
        <v>0</v>
      </c>
      <c r="AD100" s="320"/>
      <c r="AE100" s="17">
        <v>0</v>
      </c>
    </row>
    <row r="101" spans="3:31" ht="14.4" hidden="1">
      <c r="C101" s="283"/>
      <c r="D101" s="284"/>
      <c r="E101" s="285"/>
      <c r="F101" s="199" t="s">
        <v>411</v>
      </c>
      <c r="G101" s="199" t="s">
        <v>527</v>
      </c>
      <c r="H101" s="284" t="s">
        <v>724</v>
      </c>
      <c r="I101" s="287" t="s">
        <v>725</v>
      </c>
      <c r="J101" s="287" t="s">
        <v>115</v>
      </c>
      <c r="K101" s="287" t="s">
        <v>118</v>
      </c>
      <c r="L101" s="386">
        <v>1</v>
      </c>
      <c r="M101" s="362" t="s">
        <v>580</v>
      </c>
      <c r="N101" s="291"/>
      <c r="O101" s="291"/>
      <c r="P101" s="291"/>
      <c r="Q101" s="291"/>
      <c r="R101" s="291"/>
      <c r="S101" s="291"/>
      <c r="T101" s="291"/>
      <c r="U101" s="291"/>
      <c r="V101" s="291"/>
      <c r="W101" s="291"/>
      <c r="X101" s="291"/>
      <c r="Y101" s="291"/>
      <c r="Z101" s="177">
        <f>SUM(N101:Y101)*L101</f>
        <v>0</v>
      </c>
      <c r="AA101" s="8">
        <f>SUM(N101:Y101)</f>
        <v>0</v>
      </c>
      <c r="AD101" s="8">
        <v>750</v>
      </c>
      <c r="AE101" s="17">
        <v>0</v>
      </c>
    </row>
    <row r="102" spans="3:31" ht="14.4">
      <c r="C102" s="283"/>
      <c r="D102" s="284"/>
      <c r="E102" s="285"/>
      <c r="F102" s="199" t="s">
        <v>411</v>
      </c>
      <c r="G102" s="199" t="s">
        <v>527</v>
      </c>
      <c r="H102" s="284" t="s">
        <v>723</v>
      </c>
      <c r="I102" s="287" t="s">
        <v>305</v>
      </c>
      <c r="J102" s="287" t="s">
        <v>115</v>
      </c>
      <c r="K102" s="287" t="s">
        <v>118</v>
      </c>
      <c r="L102" s="294">
        <v>2</v>
      </c>
      <c r="M102" s="362"/>
      <c r="N102" s="291"/>
      <c r="O102" s="291"/>
      <c r="P102" s="291"/>
      <c r="Q102" s="291"/>
      <c r="R102" s="291"/>
      <c r="S102" s="291"/>
      <c r="T102" s="291"/>
      <c r="U102" s="291"/>
      <c r="V102" s="291"/>
      <c r="W102" s="291"/>
      <c r="X102" s="291"/>
      <c r="Y102" s="291"/>
      <c r="Z102" s="177">
        <f>SUM(N102:Y102)*L102</f>
        <v>0</v>
      </c>
      <c r="AA102" s="8">
        <f>SUM(N102:Y102)</f>
        <v>0</v>
      </c>
      <c r="AD102" s="8">
        <v>0</v>
      </c>
      <c r="AE102" s="17">
        <v>0</v>
      </c>
    </row>
    <row r="103" spans="3:31" ht="15.6" hidden="1">
      <c r="C103" s="314"/>
      <c r="D103" s="174" t="s">
        <v>22</v>
      </c>
      <c r="E103" s="181">
        <f>SUM(N103:Y103)</f>
        <v>0</v>
      </c>
      <c r="F103" s="183" t="s">
        <v>411</v>
      </c>
      <c r="G103" s="183" t="s">
        <v>528</v>
      </c>
      <c r="H103" s="181"/>
      <c r="I103" s="182"/>
      <c r="J103" s="182"/>
      <c r="K103" s="182" t="s">
        <v>413</v>
      </c>
      <c r="L103" s="182"/>
      <c r="M103" s="363"/>
      <c r="N103" s="181">
        <f>SUMIFS('FCST data'!Q:Q,'FCST data'!$D:$D,$F103,'FCST data'!$K:$K,$G103,'FCST data'!$N:$N,'SSD_eMMC_non volatile'!$K103)</f>
        <v>0</v>
      </c>
      <c r="O103" s="181">
        <f>SUMIFS('FCST data'!R:R,'FCST data'!$D:$D,$F103,'FCST data'!$K:$K,$G103,'FCST data'!$N:$N,'SSD_eMMC_non volatile'!$K103)</f>
        <v>0</v>
      </c>
      <c r="P103" s="181">
        <f>SUMIFS('FCST data'!S:S,'FCST data'!$D:$D,$F103,'FCST data'!$K:$K,$G103,'FCST data'!$N:$N,'SSD_eMMC_non volatile'!$K103)</f>
        <v>0</v>
      </c>
      <c r="Q103" s="181">
        <f>SUMIFS('FCST data'!T:T,'FCST data'!$D:$D,$F103,'FCST data'!$K:$K,$G103,'FCST data'!$N:$N,'SSD_eMMC_non volatile'!$K103)</f>
        <v>0</v>
      </c>
      <c r="R103" s="181">
        <f>SUMIFS('FCST data'!U:U,'FCST data'!$D:$D,$F103,'FCST data'!$K:$K,$G103,'FCST data'!$N:$N,'SSD_eMMC_non volatile'!$K103)</f>
        <v>0</v>
      </c>
      <c r="S103" s="181">
        <f>SUMIFS('FCST data'!V:V,'FCST data'!$D:$D,$F103,'FCST data'!$K:$K,$G103,'FCST data'!$N:$N,'SSD_eMMC_non volatile'!$K103)</f>
        <v>0</v>
      </c>
      <c r="T103" s="181">
        <f>SUMIFS('FCST data'!W:W,'FCST data'!$D:$D,$F103,'FCST data'!$K:$K,$G103,'FCST data'!$N:$N,'SSD_eMMC_non volatile'!$K103)</f>
        <v>0</v>
      </c>
      <c r="U103" s="181">
        <f>SUMIFS('FCST data'!X:X,'FCST data'!$D:$D,$F103,'FCST data'!$K:$K,$G103,'FCST data'!$N:$N,'SSD_eMMC_non volatile'!$K103)</f>
        <v>0</v>
      </c>
      <c r="V103" s="181">
        <f>SUMIFS('FCST data'!Y:Y,'FCST data'!$D:$D,$F103,'FCST data'!$K:$K,$G103,'FCST data'!$N:$N,'SSD_eMMC_non volatile'!$K103)</f>
        <v>0</v>
      </c>
      <c r="W103" s="181">
        <f>SUMIFS('FCST data'!Z:Z,'FCST data'!$D:$D,$F103,'FCST data'!$K:$K,$G103,'FCST data'!$N:$N,'SSD_eMMC_non volatile'!$K103)</f>
        <v>0</v>
      </c>
      <c r="X103" s="181">
        <f>SUMIFS('FCST data'!AA:AA,'FCST data'!$D:$D,$F103,'FCST data'!$K:$K,$G103,'FCST data'!$N:$N,'SSD_eMMC_non volatile'!$K103)</f>
        <v>0</v>
      </c>
      <c r="Y103" s="181">
        <f>SUMIFS('FCST data'!AB:AB,'FCST data'!$D:$D,$F103,'FCST data'!$K:$K,$G103,'FCST data'!$N:$N,'SSD_eMMC_non volatile'!$K103)</f>
        <v>0</v>
      </c>
      <c r="Z103" s="148"/>
      <c r="AA103" s="320"/>
      <c r="AB103" s="17">
        <f>E103-SUM(AA104:AA105)</f>
        <v>0</v>
      </c>
      <c r="AD103" s="320"/>
      <c r="AE103" s="17">
        <v>0</v>
      </c>
    </row>
    <row r="104" spans="3:31" ht="14.4" hidden="1">
      <c r="C104" s="283"/>
      <c r="D104" s="284"/>
      <c r="E104" s="285"/>
      <c r="F104" s="199" t="s">
        <v>411</v>
      </c>
      <c r="G104" s="199" t="s">
        <v>528</v>
      </c>
      <c r="H104" s="284" t="s">
        <v>724</v>
      </c>
      <c r="I104" s="287" t="s">
        <v>725</v>
      </c>
      <c r="J104" s="287" t="s">
        <v>115</v>
      </c>
      <c r="K104" s="287" t="s">
        <v>118</v>
      </c>
      <c r="L104" s="386">
        <v>1</v>
      </c>
      <c r="M104" s="362" t="s">
        <v>580</v>
      </c>
      <c r="N104" s="291"/>
      <c r="O104" s="291"/>
      <c r="P104" s="291"/>
      <c r="Q104" s="291"/>
      <c r="R104" s="291"/>
      <c r="S104" s="291"/>
      <c r="T104" s="291"/>
      <c r="U104" s="291"/>
      <c r="V104" s="291"/>
      <c r="W104" s="291"/>
      <c r="X104" s="291"/>
      <c r="Y104" s="291"/>
      <c r="Z104" s="177">
        <f>SUM(N104:Y104)*L104</f>
        <v>0</v>
      </c>
      <c r="AA104" s="8">
        <f>SUM(N104:Y104)</f>
        <v>0</v>
      </c>
      <c r="AD104" s="8">
        <v>440</v>
      </c>
      <c r="AE104" s="17">
        <v>0</v>
      </c>
    </row>
    <row r="105" spans="3:31" ht="14.4">
      <c r="C105" s="283"/>
      <c r="D105" s="284"/>
      <c r="E105" s="285"/>
      <c r="F105" s="199" t="s">
        <v>411</v>
      </c>
      <c r="G105" s="199" t="s">
        <v>528</v>
      </c>
      <c r="H105" s="284" t="s">
        <v>723</v>
      </c>
      <c r="I105" s="287" t="s">
        <v>305</v>
      </c>
      <c r="J105" s="287" t="s">
        <v>115</v>
      </c>
      <c r="K105" s="287" t="s">
        <v>118</v>
      </c>
      <c r="L105" s="294">
        <v>2</v>
      </c>
      <c r="M105" s="362"/>
      <c r="N105" s="291"/>
      <c r="O105" s="291"/>
      <c r="P105" s="291"/>
      <c r="Q105" s="291"/>
      <c r="R105" s="291"/>
      <c r="S105" s="291"/>
      <c r="T105" s="291"/>
      <c r="U105" s="291"/>
      <c r="V105" s="291"/>
      <c r="W105" s="291"/>
      <c r="X105" s="291"/>
      <c r="Y105" s="291"/>
      <c r="Z105" s="177">
        <f>SUM(N105:Y105)*L105</f>
        <v>0</v>
      </c>
      <c r="AA105" s="8">
        <f>SUM(N105:Y105)</f>
        <v>0</v>
      </c>
      <c r="AD105" s="8">
        <v>0</v>
      </c>
      <c r="AE105" s="17">
        <v>0</v>
      </c>
    </row>
    <row r="106" spans="3:31" ht="15.6" hidden="1">
      <c r="C106" s="314"/>
      <c r="D106" s="174" t="s">
        <v>22</v>
      </c>
      <c r="E106" s="181">
        <f>SUM(N106:Y106)</f>
        <v>0</v>
      </c>
      <c r="F106" s="183" t="s">
        <v>244</v>
      </c>
      <c r="G106" s="183" t="s">
        <v>527</v>
      </c>
      <c r="H106" s="181"/>
      <c r="I106" s="182"/>
      <c r="J106" s="182"/>
      <c r="K106" s="182" t="s">
        <v>369</v>
      </c>
      <c r="L106" s="182"/>
      <c r="M106" s="363"/>
      <c r="N106" s="181">
        <f>SUMIFS('FCST data'!Q:Q,'FCST data'!$D:$D,$F106,'FCST data'!$K:$K,$G106,'FCST data'!$N:$N,'SSD_eMMC_non volatile'!$K106)</f>
        <v>0</v>
      </c>
      <c r="O106" s="181">
        <f>SUMIFS('FCST data'!R:R,'FCST data'!$D:$D,$F106,'FCST data'!$K:$K,$G106,'FCST data'!$N:$N,'SSD_eMMC_non volatile'!$K106)</f>
        <v>0</v>
      </c>
      <c r="P106" s="181">
        <f>SUMIFS('FCST data'!S:S,'FCST data'!$D:$D,$F106,'FCST data'!$K:$K,$G106,'FCST data'!$N:$N,'SSD_eMMC_non volatile'!$K106)</f>
        <v>0</v>
      </c>
      <c r="Q106" s="181">
        <f>SUMIFS('FCST data'!T:T,'FCST data'!$D:$D,$F106,'FCST data'!$K:$K,$G106,'FCST data'!$N:$N,'SSD_eMMC_non volatile'!$K106)</f>
        <v>0</v>
      </c>
      <c r="R106" s="181">
        <f>SUMIFS('FCST data'!U:U,'FCST data'!$D:$D,$F106,'FCST data'!$K:$K,$G106,'FCST data'!$N:$N,'SSD_eMMC_non volatile'!$K106)</f>
        <v>0</v>
      </c>
      <c r="S106" s="181">
        <f>SUMIFS('FCST data'!V:V,'FCST data'!$D:$D,$F106,'FCST data'!$K:$K,$G106,'FCST data'!$N:$N,'SSD_eMMC_non volatile'!$K106)</f>
        <v>0</v>
      </c>
      <c r="T106" s="181">
        <f>SUMIFS('FCST data'!W:W,'FCST data'!$D:$D,$F106,'FCST data'!$K:$K,$G106,'FCST data'!$N:$N,'SSD_eMMC_non volatile'!$K106)</f>
        <v>0</v>
      </c>
      <c r="U106" s="181">
        <f>SUMIFS('FCST data'!X:X,'FCST data'!$D:$D,$F106,'FCST data'!$K:$K,$G106,'FCST data'!$N:$N,'SSD_eMMC_non volatile'!$K106)</f>
        <v>0</v>
      </c>
      <c r="V106" s="181">
        <f>SUMIFS('FCST data'!Y:Y,'FCST data'!$D:$D,$F106,'FCST data'!$K:$K,$G106,'FCST data'!$N:$N,'SSD_eMMC_non volatile'!$K106)</f>
        <v>0</v>
      </c>
      <c r="W106" s="181">
        <f>SUMIFS('FCST data'!Z:Z,'FCST data'!$D:$D,$F106,'FCST data'!$K:$K,$G106,'FCST data'!$N:$N,'SSD_eMMC_non volatile'!$K106)</f>
        <v>0</v>
      </c>
      <c r="X106" s="181">
        <f>SUMIFS('FCST data'!AA:AA,'FCST data'!$D:$D,$F106,'FCST data'!$K:$K,$G106,'FCST data'!$N:$N,'SSD_eMMC_non volatile'!$K106)</f>
        <v>0</v>
      </c>
      <c r="Y106" s="181">
        <f>SUMIFS('FCST data'!AB:AB,'FCST data'!$D:$D,$F106,'FCST data'!$K:$K,$G106,'FCST data'!$N:$N,'SSD_eMMC_non volatile'!$K106)</f>
        <v>0</v>
      </c>
      <c r="Z106" s="148"/>
      <c r="AA106" s="320"/>
      <c r="AB106" s="17">
        <f>E106-SUM(AA107:AA108)</f>
        <v>0</v>
      </c>
      <c r="AD106" s="320"/>
      <c r="AE106" s="17">
        <v>0</v>
      </c>
    </row>
    <row r="107" spans="3:31" ht="14.4" hidden="1">
      <c r="C107" s="283"/>
      <c r="D107" s="284"/>
      <c r="E107" s="285"/>
      <c r="F107" s="199" t="s">
        <v>244</v>
      </c>
      <c r="G107" s="199" t="s">
        <v>527</v>
      </c>
      <c r="H107" s="284" t="s">
        <v>724</v>
      </c>
      <c r="I107" s="287" t="s">
        <v>725</v>
      </c>
      <c r="J107" s="287" t="s">
        <v>115</v>
      </c>
      <c r="K107" s="287" t="s">
        <v>118</v>
      </c>
      <c r="L107" s="386">
        <v>1</v>
      </c>
      <c r="M107" s="362" t="s">
        <v>580</v>
      </c>
      <c r="N107" s="291"/>
      <c r="O107" s="291"/>
      <c r="P107" s="291"/>
      <c r="Q107" s="291"/>
      <c r="R107" s="291"/>
      <c r="S107" s="291"/>
      <c r="T107" s="291"/>
      <c r="U107" s="291"/>
      <c r="V107" s="291"/>
      <c r="W107" s="291"/>
      <c r="X107" s="291"/>
      <c r="Y107" s="291"/>
      <c r="Z107" s="177">
        <f>SUM(N107:Y107)*L107</f>
        <v>0</v>
      </c>
      <c r="AA107" s="8">
        <f>SUM(N107:Y107)</f>
        <v>0</v>
      </c>
      <c r="AD107" s="8">
        <v>1500</v>
      </c>
      <c r="AE107" s="17">
        <v>0</v>
      </c>
    </row>
    <row r="108" spans="3:31" ht="14.4">
      <c r="C108" s="283"/>
      <c r="D108" s="284"/>
      <c r="E108" s="285"/>
      <c r="F108" s="199" t="s">
        <v>244</v>
      </c>
      <c r="G108" s="199" t="s">
        <v>527</v>
      </c>
      <c r="H108" s="284" t="s">
        <v>723</v>
      </c>
      <c r="I108" s="287" t="s">
        <v>305</v>
      </c>
      <c r="J108" s="287" t="s">
        <v>115</v>
      </c>
      <c r="K108" s="287" t="s">
        <v>118</v>
      </c>
      <c r="L108" s="294">
        <v>2</v>
      </c>
      <c r="M108" s="362"/>
      <c r="N108" s="291"/>
      <c r="O108" s="291"/>
      <c r="P108" s="291"/>
      <c r="Q108" s="291"/>
      <c r="R108" s="291"/>
      <c r="S108" s="291"/>
      <c r="T108" s="291"/>
      <c r="U108" s="291"/>
      <c r="V108" s="291"/>
      <c r="W108" s="291"/>
      <c r="X108" s="291"/>
      <c r="Y108" s="291"/>
      <c r="Z108" s="177">
        <f>SUM(N108:Y108)*L108</f>
        <v>0</v>
      </c>
      <c r="AA108" s="8">
        <f>SUM(N108:Y108)</f>
        <v>0</v>
      </c>
      <c r="AD108" s="8">
        <v>0</v>
      </c>
      <c r="AE108" s="17">
        <v>0</v>
      </c>
    </row>
    <row r="109" spans="3:31" ht="15.6" hidden="1">
      <c r="C109" s="314"/>
      <c r="D109" s="174" t="s">
        <v>22</v>
      </c>
      <c r="E109" s="181">
        <f>SUM(N109:Y109)</f>
        <v>0</v>
      </c>
      <c r="F109" s="183" t="s">
        <v>446</v>
      </c>
      <c r="G109" s="183" t="s">
        <v>441</v>
      </c>
      <c r="H109" s="181"/>
      <c r="I109" s="182"/>
      <c r="J109" s="182"/>
      <c r="K109" s="182" t="s">
        <v>369</v>
      </c>
      <c r="L109" s="182"/>
      <c r="M109" s="363"/>
      <c r="N109" s="181">
        <f>SUMIFS('FCST data'!Q:Q,'FCST data'!$D:$D,$F109,'FCST data'!$K:$K,$G109,'FCST data'!$N:$N,'SSD_eMMC_non volatile'!$K109)</f>
        <v>0</v>
      </c>
      <c r="O109" s="181">
        <f>SUMIFS('FCST data'!R:R,'FCST data'!$D:$D,$F109,'FCST data'!$K:$K,$G109,'FCST data'!$N:$N,'SSD_eMMC_non volatile'!$K109)</f>
        <v>0</v>
      </c>
      <c r="P109" s="181">
        <f>SUMIFS('FCST data'!S:S,'FCST data'!$D:$D,$F109,'FCST data'!$K:$K,$G109,'FCST data'!$N:$N,'SSD_eMMC_non volatile'!$K109)</f>
        <v>0</v>
      </c>
      <c r="Q109" s="181">
        <f>SUMIFS('FCST data'!T:T,'FCST data'!$D:$D,$F109,'FCST data'!$K:$K,$G109,'FCST data'!$N:$N,'SSD_eMMC_non volatile'!$K109)</f>
        <v>0</v>
      </c>
      <c r="R109" s="181">
        <f>SUMIFS('FCST data'!U:U,'FCST data'!$D:$D,$F109,'FCST data'!$K:$K,$G109,'FCST data'!$N:$N,'SSD_eMMC_non volatile'!$K109)</f>
        <v>0</v>
      </c>
      <c r="S109" s="181">
        <f>SUMIFS('FCST data'!V:V,'FCST data'!$D:$D,$F109,'FCST data'!$K:$K,$G109,'FCST data'!$N:$N,'SSD_eMMC_non volatile'!$K109)</f>
        <v>0</v>
      </c>
      <c r="T109" s="181">
        <f>SUMIFS('FCST data'!W:W,'FCST data'!$D:$D,$F109,'FCST data'!$K:$K,$G109,'FCST data'!$N:$N,'SSD_eMMC_non volatile'!$K109)</f>
        <v>0</v>
      </c>
      <c r="U109" s="181">
        <f>SUMIFS('FCST data'!X:X,'FCST data'!$D:$D,$F109,'FCST data'!$K:$K,$G109,'FCST data'!$N:$N,'SSD_eMMC_non volatile'!$K109)</f>
        <v>0</v>
      </c>
      <c r="V109" s="181">
        <f>SUMIFS('FCST data'!Y:Y,'FCST data'!$D:$D,$F109,'FCST data'!$K:$K,$G109,'FCST data'!$N:$N,'SSD_eMMC_non volatile'!$K109)</f>
        <v>0</v>
      </c>
      <c r="W109" s="181">
        <f>SUMIFS('FCST data'!Z:Z,'FCST data'!$D:$D,$F109,'FCST data'!$K:$K,$G109,'FCST data'!$N:$N,'SSD_eMMC_non volatile'!$K109)</f>
        <v>0</v>
      </c>
      <c r="X109" s="181">
        <f>SUMIFS('FCST data'!AA:AA,'FCST data'!$D:$D,$F109,'FCST data'!$K:$K,$G109,'FCST data'!$N:$N,'SSD_eMMC_non volatile'!$K109)</f>
        <v>0</v>
      </c>
      <c r="Y109" s="181">
        <f>SUMIFS('FCST data'!AB:AB,'FCST data'!$D:$D,$F109,'FCST data'!$K:$K,$G109,'FCST data'!$N:$N,'SSD_eMMC_non volatile'!$K109)</f>
        <v>0</v>
      </c>
      <c r="Z109" s="148"/>
      <c r="AA109" s="320"/>
      <c r="AB109" s="17">
        <f>E109-SUM(AA110:AA111)</f>
        <v>0</v>
      </c>
      <c r="AD109" s="320"/>
      <c r="AE109" s="17">
        <v>0</v>
      </c>
    </row>
    <row r="110" spans="3:31" ht="14.4" hidden="1">
      <c r="C110" s="283"/>
      <c r="D110" s="284"/>
      <c r="E110" s="285"/>
      <c r="F110" s="199" t="s">
        <v>446</v>
      </c>
      <c r="G110" s="199" t="s">
        <v>441</v>
      </c>
      <c r="H110" s="284" t="s">
        <v>724</v>
      </c>
      <c r="I110" s="287" t="s">
        <v>725</v>
      </c>
      <c r="J110" s="287" t="s">
        <v>115</v>
      </c>
      <c r="K110" s="287" t="s">
        <v>118</v>
      </c>
      <c r="L110" s="386">
        <v>1</v>
      </c>
      <c r="M110" s="362" t="s">
        <v>580</v>
      </c>
      <c r="N110" s="291"/>
      <c r="O110" s="291"/>
      <c r="P110" s="291"/>
      <c r="Q110" s="291"/>
      <c r="R110" s="291"/>
      <c r="S110" s="291"/>
      <c r="T110" s="291"/>
      <c r="U110" s="291"/>
      <c r="V110" s="291"/>
      <c r="W110" s="291"/>
      <c r="X110" s="291"/>
      <c r="Y110" s="291"/>
      <c r="Z110" s="177">
        <f>SUM(N110:Y110)*L110</f>
        <v>0</v>
      </c>
      <c r="AA110" s="8">
        <f>SUM(N110:Y110)</f>
        <v>0</v>
      </c>
      <c r="AD110" s="8">
        <v>250</v>
      </c>
      <c r="AE110" s="17">
        <v>0</v>
      </c>
    </row>
    <row r="111" spans="3:31" ht="14.4">
      <c r="C111" s="283"/>
      <c r="D111" s="284"/>
      <c r="E111" s="285"/>
      <c r="F111" s="199" t="s">
        <v>446</v>
      </c>
      <c r="G111" s="199" t="s">
        <v>441</v>
      </c>
      <c r="H111" s="284" t="s">
        <v>723</v>
      </c>
      <c r="I111" s="287" t="s">
        <v>305</v>
      </c>
      <c r="J111" s="287" t="s">
        <v>115</v>
      </c>
      <c r="K111" s="287" t="s">
        <v>118</v>
      </c>
      <c r="L111" s="294">
        <v>2</v>
      </c>
      <c r="M111" s="362"/>
      <c r="N111" s="291"/>
      <c r="O111" s="291"/>
      <c r="P111" s="291"/>
      <c r="Q111" s="291"/>
      <c r="R111" s="291"/>
      <c r="S111" s="291"/>
      <c r="T111" s="291"/>
      <c r="U111" s="291"/>
      <c r="V111" s="291"/>
      <c r="W111" s="291"/>
      <c r="X111" s="291"/>
      <c r="Y111" s="291"/>
      <c r="Z111" s="177">
        <f>SUM(N111:Y111)*L111</f>
        <v>0</v>
      </c>
      <c r="AA111" s="8">
        <f>SUM(N111:Y111)</f>
        <v>0</v>
      </c>
      <c r="AD111" s="8">
        <v>0</v>
      </c>
      <c r="AE111" s="17">
        <v>0</v>
      </c>
    </row>
    <row r="112" spans="3:31" ht="15.6" hidden="1">
      <c r="C112" s="314"/>
      <c r="D112" s="174" t="s">
        <v>22</v>
      </c>
      <c r="E112" s="148">
        <f>SUM(N112:Y112)</f>
        <v>22800</v>
      </c>
      <c r="F112" s="175" t="s">
        <v>445</v>
      </c>
      <c r="G112" s="175" t="s">
        <v>619</v>
      </c>
      <c r="H112" s="148"/>
      <c r="I112" s="176"/>
      <c r="J112" s="176"/>
      <c r="K112" s="182" t="s">
        <v>360</v>
      </c>
      <c r="L112" s="176"/>
      <c r="M112" s="363"/>
      <c r="N112" s="181">
        <f>SUMIFS('FCST data'!Q:Q,'FCST data'!$D:$D,$F112,'FCST data'!$K:$K,$G112,'FCST data'!$N:$N,'SSD_eMMC_non volatile'!$K112)</f>
        <v>0</v>
      </c>
      <c r="O112" s="181">
        <f>SUMIFS('FCST data'!R:R,'FCST data'!$D:$D,$F112,'FCST data'!$K:$K,$G112,'FCST data'!$N:$N,'SSD_eMMC_non volatile'!$K112)</f>
        <v>0</v>
      </c>
      <c r="P112" s="181">
        <f>SUMIFS('FCST data'!S:S,'FCST data'!$D:$D,$F112,'FCST data'!$K:$K,$G112,'FCST data'!$N:$N,'SSD_eMMC_non volatile'!$K112)</f>
        <v>0</v>
      </c>
      <c r="Q112" s="181">
        <f>SUMIFS('FCST data'!T:T,'FCST data'!$D:$D,$F112,'FCST data'!$K:$K,$G112,'FCST data'!$N:$N,'SSD_eMMC_non volatile'!$K112)</f>
        <v>0</v>
      </c>
      <c r="R112" s="181">
        <f>SUMIFS('FCST data'!U:U,'FCST data'!$D:$D,$F112,'FCST data'!$K:$K,$G112,'FCST data'!$N:$N,'SSD_eMMC_non volatile'!$K112)</f>
        <v>600</v>
      </c>
      <c r="S112" s="181">
        <f>SUMIFS('FCST data'!V:V,'FCST data'!$D:$D,$F112,'FCST data'!$K:$K,$G112,'FCST data'!$N:$N,'SSD_eMMC_non volatile'!$K112)</f>
        <v>4200</v>
      </c>
      <c r="T112" s="181">
        <f>SUMIFS('FCST data'!W:W,'FCST data'!$D:$D,$F112,'FCST data'!$K:$K,$G112,'FCST data'!$N:$N,'SSD_eMMC_non volatile'!$K112)</f>
        <v>6000</v>
      </c>
      <c r="U112" s="181">
        <f>SUMIFS('FCST data'!X:X,'FCST data'!$D:$D,$F112,'FCST data'!$K:$K,$G112,'FCST data'!$N:$N,'SSD_eMMC_non volatile'!$K112)</f>
        <v>6000</v>
      </c>
      <c r="V112" s="181">
        <f>SUMIFS('FCST data'!Y:Y,'FCST data'!$D:$D,$F112,'FCST data'!$K:$K,$G112,'FCST data'!$N:$N,'SSD_eMMC_non volatile'!$K112)</f>
        <v>6000</v>
      </c>
      <c r="W112" s="181">
        <f>SUMIFS('FCST data'!Z:Z,'FCST data'!$D:$D,$F112,'FCST data'!$K:$K,$G112,'FCST data'!$N:$N,'SSD_eMMC_non volatile'!$K112)</f>
        <v>0</v>
      </c>
      <c r="X112" s="181">
        <f>SUMIFS('FCST data'!AA:AA,'FCST data'!$D:$D,$F112,'FCST data'!$K:$K,$G112,'FCST data'!$N:$N,'SSD_eMMC_non volatile'!$K112)</f>
        <v>0</v>
      </c>
      <c r="Y112" s="181">
        <f>SUMIFS('FCST data'!AB:AB,'FCST data'!$D:$D,$F112,'FCST data'!$K:$K,$G112,'FCST data'!$N:$N,'SSD_eMMC_non volatile'!$K112)</f>
        <v>0</v>
      </c>
      <c r="Z112" s="148"/>
      <c r="AA112" s="320"/>
      <c r="AB112" s="17">
        <f>E112-SUM(AA113:AA114)</f>
        <v>0</v>
      </c>
      <c r="AD112" s="320"/>
      <c r="AE112" s="17">
        <v>0</v>
      </c>
    </row>
    <row r="113" spans="3:31" ht="14.4" hidden="1">
      <c r="C113" s="283"/>
      <c r="D113" s="284"/>
      <c r="E113" s="285"/>
      <c r="F113" s="151" t="s">
        <v>445</v>
      </c>
      <c r="G113" s="151" t="s">
        <v>619</v>
      </c>
      <c r="H113" s="284" t="s">
        <v>724</v>
      </c>
      <c r="I113" s="287" t="s">
        <v>725</v>
      </c>
      <c r="J113" s="287" t="s">
        <v>115</v>
      </c>
      <c r="K113" s="287" t="s">
        <v>117</v>
      </c>
      <c r="L113" s="294">
        <v>1</v>
      </c>
      <c r="M113" s="362" t="s">
        <v>412</v>
      </c>
      <c r="N113" s="291"/>
      <c r="O113" s="291"/>
      <c r="P113" s="291"/>
      <c r="Q113" s="291"/>
      <c r="R113" s="291">
        <v>550</v>
      </c>
      <c r="S113" s="291"/>
      <c r="T113" s="291"/>
      <c r="U113" s="291"/>
      <c r="V113" s="291"/>
      <c r="W113" s="291"/>
      <c r="X113" s="291"/>
      <c r="Y113" s="291"/>
      <c r="Z113" s="177">
        <f>SUM(N113:Y113)*L113</f>
        <v>550</v>
      </c>
      <c r="AA113" s="8">
        <f>SUM(N113:Y113)</f>
        <v>550</v>
      </c>
      <c r="AD113" s="8">
        <v>1300</v>
      </c>
      <c r="AE113" s="17">
        <v>0</v>
      </c>
    </row>
    <row r="114" spans="3:31" ht="14.4">
      <c r="C114" s="283"/>
      <c r="D114" s="284"/>
      <c r="E114" s="285"/>
      <c r="F114" s="151" t="s">
        <v>445</v>
      </c>
      <c r="G114" s="151" t="s">
        <v>619</v>
      </c>
      <c r="H114" s="284" t="s">
        <v>723</v>
      </c>
      <c r="I114" s="287" t="s">
        <v>305</v>
      </c>
      <c r="J114" s="287" t="s">
        <v>115</v>
      </c>
      <c r="K114" s="287" t="s">
        <v>117</v>
      </c>
      <c r="L114" s="294">
        <v>2</v>
      </c>
      <c r="M114" s="362"/>
      <c r="N114" s="291"/>
      <c r="O114" s="291"/>
      <c r="P114" s="291"/>
      <c r="Q114" s="291"/>
      <c r="R114" s="340">
        <v>50</v>
      </c>
      <c r="S114" s="340">
        <v>4200</v>
      </c>
      <c r="T114" s="340">
        <v>6000</v>
      </c>
      <c r="U114" s="340">
        <v>6000</v>
      </c>
      <c r="V114" s="340">
        <v>6000</v>
      </c>
      <c r="W114" s="340"/>
      <c r="X114" s="291"/>
      <c r="Y114" s="291"/>
      <c r="Z114" s="177">
        <f>SUM(N114:Y114)*L114</f>
        <v>44500</v>
      </c>
      <c r="AA114" s="8">
        <f>SUM(N114:Y114)</f>
        <v>22250</v>
      </c>
      <c r="AD114" s="8">
        <v>0</v>
      </c>
      <c r="AE114" s="17">
        <v>0</v>
      </c>
    </row>
    <row r="115" spans="3:31" ht="15.6" hidden="1">
      <c r="C115" s="314"/>
      <c r="D115" s="174" t="s">
        <v>22</v>
      </c>
      <c r="E115" s="148">
        <f>SUM(N115:Y115)</f>
        <v>1100</v>
      </c>
      <c r="F115" s="175" t="s">
        <v>445</v>
      </c>
      <c r="G115" s="175" t="s">
        <v>619</v>
      </c>
      <c r="H115" s="148"/>
      <c r="I115" s="176"/>
      <c r="J115" s="176"/>
      <c r="K115" s="182" t="s">
        <v>369</v>
      </c>
      <c r="L115" s="176"/>
      <c r="M115" s="363"/>
      <c r="N115" s="181">
        <f>SUMIFS('FCST data'!Q:Q,'FCST data'!$D:$D,$F115,'FCST data'!$K:$K,$G115,'FCST data'!$N:$N,'SSD_eMMC_non volatile'!$K115)</f>
        <v>0</v>
      </c>
      <c r="O115" s="181">
        <f>SUMIFS('FCST data'!R:R,'FCST data'!$D:$D,$F115,'FCST data'!$K:$K,$G115,'FCST data'!$N:$N,'SSD_eMMC_non volatile'!$K115)</f>
        <v>0</v>
      </c>
      <c r="P115" s="181">
        <f>SUMIFS('FCST data'!S:S,'FCST data'!$D:$D,$F115,'FCST data'!$K:$K,$G115,'FCST data'!$N:$N,'SSD_eMMC_non volatile'!$K115)</f>
        <v>0</v>
      </c>
      <c r="Q115" s="181">
        <f>SUMIFS('FCST data'!T:T,'FCST data'!$D:$D,$F115,'FCST data'!$K:$K,$G115,'FCST data'!$N:$N,'SSD_eMMC_non volatile'!$K115)</f>
        <v>0</v>
      </c>
      <c r="R115" s="181">
        <f>SUMIFS('FCST data'!U:U,'FCST data'!$D:$D,$F115,'FCST data'!$K:$K,$G115,'FCST data'!$N:$N,'SSD_eMMC_non volatile'!$K115)</f>
        <v>100</v>
      </c>
      <c r="S115" s="181">
        <f>SUMIFS('FCST data'!V:V,'FCST data'!$D:$D,$F115,'FCST data'!$K:$K,$G115,'FCST data'!$N:$N,'SSD_eMMC_non volatile'!$K115)</f>
        <v>100</v>
      </c>
      <c r="T115" s="181">
        <f>SUMIFS('FCST data'!W:W,'FCST data'!$D:$D,$F115,'FCST data'!$K:$K,$G115,'FCST data'!$N:$N,'SSD_eMMC_non volatile'!$K115)</f>
        <v>300</v>
      </c>
      <c r="U115" s="181">
        <f>SUMIFS('FCST data'!X:X,'FCST data'!$D:$D,$F115,'FCST data'!$K:$K,$G115,'FCST data'!$N:$N,'SSD_eMMC_non volatile'!$K115)</f>
        <v>300</v>
      </c>
      <c r="V115" s="181">
        <f>SUMIFS('FCST data'!Y:Y,'FCST data'!$D:$D,$F115,'FCST data'!$K:$K,$G115,'FCST data'!$N:$N,'SSD_eMMC_non volatile'!$K115)</f>
        <v>300</v>
      </c>
      <c r="W115" s="181">
        <f>SUMIFS('FCST data'!Z:Z,'FCST data'!$D:$D,$F115,'FCST data'!$K:$K,$G115,'FCST data'!$N:$N,'SSD_eMMC_non volatile'!$K115)</f>
        <v>0</v>
      </c>
      <c r="X115" s="181">
        <f>SUMIFS('FCST data'!AA:AA,'FCST data'!$D:$D,$F115,'FCST data'!$K:$K,$G115,'FCST data'!$N:$N,'SSD_eMMC_non volatile'!$K115)</f>
        <v>0</v>
      </c>
      <c r="Y115" s="181">
        <f>SUMIFS('FCST data'!AB:AB,'FCST data'!$D:$D,$F115,'FCST data'!$K:$K,$G115,'FCST data'!$N:$N,'SSD_eMMC_non volatile'!$K115)</f>
        <v>0</v>
      </c>
      <c r="Z115" s="148"/>
      <c r="AA115" s="320"/>
      <c r="AB115" s="17">
        <f>E115-SUM(AA116:AA117)</f>
        <v>0</v>
      </c>
      <c r="AD115" s="320"/>
      <c r="AE115" s="17">
        <v>0</v>
      </c>
    </row>
    <row r="116" spans="3:31" ht="14.4" hidden="1">
      <c r="C116" s="283"/>
      <c r="D116" s="284"/>
      <c r="E116" s="285"/>
      <c r="F116" s="151" t="s">
        <v>445</v>
      </c>
      <c r="G116" s="151" t="s">
        <v>619</v>
      </c>
      <c r="H116" s="284" t="s">
        <v>724</v>
      </c>
      <c r="I116" s="287" t="s">
        <v>725</v>
      </c>
      <c r="J116" s="287" t="s">
        <v>115</v>
      </c>
      <c r="K116" s="287" t="s">
        <v>118</v>
      </c>
      <c r="L116" s="387">
        <v>1</v>
      </c>
      <c r="M116" s="362" t="s">
        <v>647</v>
      </c>
      <c r="N116" s="291"/>
      <c r="O116" s="291"/>
      <c r="P116" s="291"/>
      <c r="Q116" s="291"/>
      <c r="R116" s="291">
        <v>100</v>
      </c>
      <c r="S116" s="291">
        <v>100</v>
      </c>
      <c r="T116" s="291">
        <v>300</v>
      </c>
      <c r="U116" s="291">
        <v>300</v>
      </c>
      <c r="V116" s="291">
        <v>300</v>
      </c>
      <c r="W116" s="291"/>
      <c r="X116" s="291"/>
      <c r="Y116" s="291"/>
      <c r="Z116" s="177">
        <f>SUM(N116:Y116)*L116</f>
        <v>1100</v>
      </c>
      <c r="AA116" s="8">
        <f>SUM(N116:Y116)</f>
        <v>1100</v>
      </c>
      <c r="AD116" s="8">
        <v>1300</v>
      </c>
      <c r="AE116" s="17">
        <v>0</v>
      </c>
    </row>
    <row r="117" spans="3:31" ht="14.4">
      <c r="C117" s="283"/>
      <c r="D117" s="284"/>
      <c r="E117" s="285"/>
      <c r="F117" s="151" t="s">
        <v>445</v>
      </c>
      <c r="G117" s="151" t="s">
        <v>619</v>
      </c>
      <c r="H117" s="284" t="s">
        <v>723</v>
      </c>
      <c r="I117" s="287" t="s">
        <v>305</v>
      </c>
      <c r="J117" s="287" t="s">
        <v>115</v>
      </c>
      <c r="K117" s="287" t="s">
        <v>118</v>
      </c>
      <c r="L117" s="294">
        <v>2</v>
      </c>
      <c r="M117" s="362"/>
      <c r="N117" s="291"/>
      <c r="O117" s="291"/>
      <c r="P117" s="291"/>
      <c r="Q117" s="291"/>
      <c r="R117" s="291"/>
      <c r="S117" s="291"/>
      <c r="T117" s="291"/>
      <c r="U117" s="291"/>
      <c r="V117" s="291"/>
      <c r="W117" s="291"/>
      <c r="X117" s="291"/>
      <c r="Y117" s="291"/>
      <c r="Z117" s="177">
        <f>SUM(N117:Y117)*L117</f>
        <v>0</v>
      </c>
      <c r="AA117" s="8">
        <f>SUM(N117:Y117)</f>
        <v>0</v>
      </c>
      <c r="AD117" s="8">
        <v>0</v>
      </c>
      <c r="AE117" s="17">
        <v>0</v>
      </c>
    </row>
    <row r="118" spans="3:31" ht="15.6" hidden="1">
      <c r="C118" s="314"/>
      <c r="D118" s="174" t="s">
        <v>22</v>
      </c>
      <c r="E118" s="148">
        <f>SUM(N118:Y118)</f>
        <v>1820</v>
      </c>
      <c r="F118" s="175" t="s">
        <v>445</v>
      </c>
      <c r="G118" s="175" t="s">
        <v>620</v>
      </c>
      <c r="H118" s="148"/>
      <c r="I118" s="176"/>
      <c r="J118" s="176"/>
      <c r="K118" s="182" t="s">
        <v>360</v>
      </c>
      <c r="L118" s="176"/>
      <c r="M118" s="363"/>
      <c r="N118" s="181">
        <f>SUMIFS('FCST data'!Q:Q,'FCST data'!$D:$D,$F118,'FCST data'!$K:$K,$G118,'FCST data'!$N:$N,'SSD_eMMC_non volatile'!$K118)</f>
        <v>0</v>
      </c>
      <c r="O118" s="181">
        <f>SUMIFS('FCST data'!R:R,'FCST data'!$D:$D,$F118,'FCST data'!$K:$K,$G118,'FCST data'!$N:$N,'SSD_eMMC_non volatile'!$K118)</f>
        <v>0</v>
      </c>
      <c r="P118" s="181">
        <f>SUMIFS('FCST data'!S:S,'FCST data'!$D:$D,$F118,'FCST data'!$K:$K,$G118,'FCST data'!$N:$N,'SSD_eMMC_non volatile'!$K118)</f>
        <v>0</v>
      </c>
      <c r="Q118" s="181">
        <f>SUMIFS('FCST data'!T:T,'FCST data'!$D:$D,$F118,'FCST data'!$K:$K,$G118,'FCST data'!$N:$N,'SSD_eMMC_non volatile'!$K118)</f>
        <v>0</v>
      </c>
      <c r="R118" s="181">
        <f>SUMIFS('FCST data'!U:U,'FCST data'!$D:$D,$F118,'FCST data'!$K:$K,$G118,'FCST data'!$N:$N,'SSD_eMMC_non volatile'!$K118)</f>
        <v>180</v>
      </c>
      <c r="S118" s="181">
        <f>SUMIFS('FCST data'!V:V,'FCST data'!$D:$D,$F118,'FCST data'!$K:$K,$G118,'FCST data'!$N:$N,'SSD_eMMC_non volatile'!$K118)</f>
        <v>200</v>
      </c>
      <c r="T118" s="181">
        <f>SUMIFS('FCST data'!W:W,'FCST data'!$D:$D,$F118,'FCST data'!$K:$K,$G118,'FCST data'!$N:$N,'SSD_eMMC_non volatile'!$K118)</f>
        <v>480</v>
      </c>
      <c r="U118" s="181">
        <f>SUMIFS('FCST data'!X:X,'FCST data'!$D:$D,$F118,'FCST data'!$K:$K,$G118,'FCST data'!$N:$N,'SSD_eMMC_non volatile'!$K118)</f>
        <v>480</v>
      </c>
      <c r="V118" s="181">
        <f>SUMIFS('FCST data'!Y:Y,'FCST data'!$D:$D,$F118,'FCST data'!$K:$K,$G118,'FCST data'!$N:$N,'SSD_eMMC_non volatile'!$K118)</f>
        <v>480</v>
      </c>
      <c r="W118" s="181">
        <f>SUMIFS('FCST data'!Z:Z,'FCST data'!$D:$D,$F118,'FCST data'!$K:$K,$G118,'FCST data'!$N:$N,'SSD_eMMC_non volatile'!$K118)</f>
        <v>0</v>
      </c>
      <c r="X118" s="181">
        <f>SUMIFS('FCST data'!AA:AA,'FCST data'!$D:$D,$F118,'FCST data'!$K:$K,$G118,'FCST data'!$N:$N,'SSD_eMMC_non volatile'!$K118)</f>
        <v>0</v>
      </c>
      <c r="Y118" s="181">
        <f>SUMIFS('FCST data'!AB:AB,'FCST data'!$D:$D,$F118,'FCST data'!$K:$K,$G118,'FCST data'!$N:$N,'SSD_eMMC_non volatile'!$K118)</f>
        <v>0</v>
      </c>
      <c r="Z118" s="148"/>
      <c r="AA118" s="320"/>
      <c r="AB118" s="17">
        <f>E118-SUM(AA119:AA120)</f>
        <v>0</v>
      </c>
      <c r="AD118" s="320"/>
      <c r="AE118" s="17">
        <v>0</v>
      </c>
    </row>
    <row r="119" spans="3:31" ht="14.4" hidden="1">
      <c r="C119" s="283"/>
      <c r="D119" s="284"/>
      <c r="E119" s="285"/>
      <c r="F119" s="151" t="s">
        <v>445</v>
      </c>
      <c r="G119" s="151" t="s">
        <v>620</v>
      </c>
      <c r="H119" s="284" t="s">
        <v>724</v>
      </c>
      <c r="I119" s="287" t="s">
        <v>725</v>
      </c>
      <c r="J119" s="287" t="s">
        <v>115</v>
      </c>
      <c r="K119" s="287" t="s">
        <v>117</v>
      </c>
      <c r="L119" s="294">
        <v>1</v>
      </c>
      <c r="M119" s="362" t="s">
        <v>412</v>
      </c>
      <c r="N119" s="291"/>
      <c r="O119" s="291"/>
      <c r="P119" s="291"/>
      <c r="Q119" s="291"/>
      <c r="R119" s="291">
        <v>130</v>
      </c>
      <c r="S119" s="291"/>
      <c r="T119" s="291"/>
      <c r="U119" s="291"/>
      <c r="V119" s="291"/>
      <c r="W119" s="291"/>
      <c r="X119" s="291"/>
      <c r="Y119" s="291"/>
      <c r="Z119" s="177">
        <f>SUM(N119:Y119)*L119</f>
        <v>130</v>
      </c>
      <c r="AA119" s="8">
        <f>SUM(N119:Y119)</f>
        <v>130</v>
      </c>
      <c r="AD119" s="8">
        <v>200</v>
      </c>
      <c r="AE119" s="17">
        <v>0</v>
      </c>
    </row>
    <row r="120" spans="3:31" ht="14.4">
      <c r="C120" s="283"/>
      <c r="D120" s="284"/>
      <c r="E120" s="285"/>
      <c r="F120" s="151" t="s">
        <v>445</v>
      </c>
      <c r="G120" s="151" t="s">
        <v>620</v>
      </c>
      <c r="H120" s="284" t="s">
        <v>723</v>
      </c>
      <c r="I120" s="287" t="s">
        <v>305</v>
      </c>
      <c r="J120" s="287" t="s">
        <v>115</v>
      </c>
      <c r="K120" s="287" t="s">
        <v>117</v>
      </c>
      <c r="L120" s="294">
        <v>2</v>
      </c>
      <c r="M120" s="362"/>
      <c r="N120" s="291"/>
      <c r="O120" s="291"/>
      <c r="P120" s="291"/>
      <c r="Q120" s="291"/>
      <c r="R120" s="340">
        <v>50</v>
      </c>
      <c r="S120" s="340">
        <v>200</v>
      </c>
      <c r="T120" s="340">
        <v>480</v>
      </c>
      <c r="U120" s="340">
        <v>480</v>
      </c>
      <c r="V120" s="340">
        <v>480</v>
      </c>
      <c r="W120" s="291"/>
      <c r="X120" s="291"/>
      <c r="Y120" s="291"/>
      <c r="Z120" s="177">
        <f>SUM(N120:Y120)*L120</f>
        <v>3380</v>
      </c>
      <c r="AA120" s="8">
        <f>SUM(N120:Y120)</f>
        <v>1690</v>
      </c>
      <c r="AD120" s="8">
        <v>0</v>
      </c>
      <c r="AE120" s="17">
        <v>0</v>
      </c>
    </row>
    <row r="121" spans="3:31" ht="15.6" hidden="1">
      <c r="C121" s="314"/>
      <c r="D121" s="174" t="s">
        <v>22</v>
      </c>
      <c r="E121" s="148">
        <f>SUM(N121:Y121)</f>
        <v>150</v>
      </c>
      <c r="F121" s="175" t="s">
        <v>445</v>
      </c>
      <c r="G121" s="175" t="s">
        <v>620</v>
      </c>
      <c r="H121" s="148"/>
      <c r="I121" s="176"/>
      <c r="J121" s="176"/>
      <c r="K121" s="182" t="s">
        <v>369</v>
      </c>
      <c r="L121" s="176"/>
      <c r="M121" s="363"/>
      <c r="N121" s="181">
        <f>SUMIFS('FCST data'!Q:Q,'FCST data'!$D:$D,$F121,'FCST data'!$K:$K,$G121,'FCST data'!$N:$N,'SSD_eMMC_non volatile'!$K121)</f>
        <v>0</v>
      </c>
      <c r="O121" s="181">
        <f>SUMIFS('FCST data'!R:R,'FCST data'!$D:$D,$F121,'FCST data'!$K:$K,$G121,'FCST data'!$N:$N,'SSD_eMMC_non volatile'!$K121)</f>
        <v>0</v>
      </c>
      <c r="P121" s="181">
        <f>SUMIFS('FCST data'!S:S,'FCST data'!$D:$D,$F121,'FCST data'!$K:$K,$G121,'FCST data'!$N:$N,'SSD_eMMC_non volatile'!$K121)</f>
        <v>0</v>
      </c>
      <c r="Q121" s="181">
        <f>SUMIFS('FCST data'!T:T,'FCST data'!$D:$D,$F121,'FCST data'!$K:$K,$G121,'FCST data'!$N:$N,'SSD_eMMC_non volatile'!$K121)</f>
        <v>0</v>
      </c>
      <c r="R121" s="181">
        <f>SUMIFS('FCST data'!U:U,'FCST data'!$D:$D,$F121,'FCST data'!$K:$K,$G121,'FCST data'!$N:$N,'SSD_eMMC_non volatile'!$K121)</f>
        <v>0</v>
      </c>
      <c r="S121" s="181">
        <f>SUMIFS('FCST data'!V:V,'FCST data'!$D:$D,$F121,'FCST data'!$K:$K,$G121,'FCST data'!$N:$N,'SSD_eMMC_non volatile'!$K121)</f>
        <v>0</v>
      </c>
      <c r="T121" s="181">
        <f>SUMIFS('FCST data'!W:W,'FCST data'!$D:$D,$F121,'FCST data'!$K:$K,$G121,'FCST data'!$N:$N,'SSD_eMMC_non volatile'!$K121)</f>
        <v>50</v>
      </c>
      <c r="U121" s="181">
        <f>SUMIFS('FCST data'!X:X,'FCST data'!$D:$D,$F121,'FCST data'!$K:$K,$G121,'FCST data'!$N:$N,'SSD_eMMC_non volatile'!$K121)</f>
        <v>50</v>
      </c>
      <c r="V121" s="181">
        <f>SUMIFS('FCST data'!Y:Y,'FCST data'!$D:$D,$F121,'FCST data'!$K:$K,$G121,'FCST data'!$N:$N,'SSD_eMMC_non volatile'!$K121)</f>
        <v>50</v>
      </c>
      <c r="W121" s="181">
        <f>SUMIFS('FCST data'!Z:Z,'FCST data'!$D:$D,$F121,'FCST data'!$K:$K,$G121,'FCST data'!$N:$N,'SSD_eMMC_non volatile'!$K121)</f>
        <v>0</v>
      </c>
      <c r="X121" s="181">
        <f>SUMIFS('FCST data'!AA:AA,'FCST data'!$D:$D,$F121,'FCST data'!$K:$K,$G121,'FCST data'!$N:$N,'SSD_eMMC_non volatile'!$K121)</f>
        <v>0</v>
      </c>
      <c r="Y121" s="181">
        <f>SUMIFS('FCST data'!AB:AB,'FCST data'!$D:$D,$F121,'FCST data'!$K:$K,$G121,'FCST data'!$N:$N,'SSD_eMMC_non volatile'!$K121)</f>
        <v>0</v>
      </c>
      <c r="Z121" s="148"/>
      <c r="AA121" s="320"/>
      <c r="AB121" s="17">
        <f>E121-SUM(AA122:AA123)</f>
        <v>0</v>
      </c>
      <c r="AD121" s="8"/>
    </row>
    <row r="122" spans="3:31" ht="14.4" hidden="1">
      <c r="C122" s="283"/>
      <c r="D122" s="284"/>
      <c r="E122" s="285"/>
      <c r="F122" s="151" t="s">
        <v>445</v>
      </c>
      <c r="G122" s="151" t="s">
        <v>620</v>
      </c>
      <c r="H122" s="284" t="s">
        <v>724</v>
      </c>
      <c r="I122" s="287" t="s">
        <v>725</v>
      </c>
      <c r="J122" s="287" t="s">
        <v>115</v>
      </c>
      <c r="K122" s="287" t="s">
        <v>118</v>
      </c>
      <c r="L122" s="387">
        <v>1</v>
      </c>
      <c r="M122" s="362" t="s">
        <v>647</v>
      </c>
      <c r="N122" s="291"/>
      <c r="O122" s="291"/>
      <c r="P122" s="291"/>
      <c r="Q122" s="291"/>
      <c r="R122" s="291"/>
      <c r="S122" s="291"/>
      <c r="T122" s="291">
        <v>50</v>
      </c>
      <c r="U122" s="291">
        <v>50</v>
      </c>
      <c r="V122" s="291">
        <v>50</v>
      </c>
      <c r="W122" s="291"/>
      <c r="X122" s="291"/>
      <c r="Y122" s="291"/>
      <c r="Z122" s="177">
        <f>SUM(N122:Y122)*L122</f>
        <v>150</v>
      </c>
      <c r="AA122" s="8">
        <f>SUM(N122:Y122)</f>
        <v>150</v>
      </c>
      <c r="AD122" s="8"/>
    </row>
    <row r="123" spans="3:31" ht="14.4">
      <c r="C123" s="283"/>
      <c r="D123" s="284"/>
      <c r="E123" s="285"/>
      <c r="F123" s="151" t="s">
        <v>445</v>
      </c>
      <c r="G123" s="151" t="s">
        <v>620</v>
      </c>
      <c r="H123" s="284" t="s">
        <v>723</v>
      </c>
      <c r="I123" s="287" t="s">
        <v>305</v>
      </c>
      <c r="J123" s="287" t="s">
        <v>115</v>
      </c>
      <c r="K123" s="287" t="s">
        <v>118</v>
      </c>
      <c r="L123" s="294">
        <v>2</v>
      </c>
      <c r="M123" s="362"/>
      <c r="N123" s="291"/>
      <c r="O123" s="291"/>
      <c r="P123" s="291"/>
      <c r="Q123" s="291"/>
      <c r="R123" s="291"/>
      <c r="S123" s="291"/>
      <c r="T123" s="291"/>
      <c r="U123" s="291"/>
      <c r="V123" s="291"/>
      <c r="W123" s="291"/>
      <c r="X123" s="291"/>
      <c r="Y123" s="291"/>
      <c r="Z123" s="177">
        <f>SUM(N123:Y123)*L123</f>
        <v>0</v>
      </c>
      <c r="AA123" s="8">
        <f>SUM(N123:Y123)</f>
        <v>0</v>
      </c>
      <c r="AD123" s="8"/>
    </row>
    <row r="124" spans="3:31" ht="15.6" hidden="1">
      <c r="C124" s="314"/>
      <c r="D124" s="174" t="s">
        <v>22</v>
      </c>
      <c r="E124" s="148">
        <f>SUM(N124:Y124)</f>
        <v>70</v>
      </c>
      <c r="F124" s="175" t="s">
        <v>444</v>
      </c>
      <c r="G124" s="175" t="s">
        <v>621</v>
      </c>
      <c r="H124" s="148"/>
      <c r="I124" s="176"/>
      <c r="J124" s="176"/>
      <c r="K124" s="182" t="s">
        <v>360</v>
      </c>
      <c r="L124" s="176"/>
      <c r="M124" s="363"/>
      <c r="N124" s="181">
        <f>SUMIFS('FCST data'!Q:Q,'FCST data'!$D:$D,$F124,'FCST data'!$K:$K,$G124,'FCST data'!$N:$N,'SSD_eMMC_non volatile'!$K124)</f>
        <v>0</v>
      </c>
      <c r="O124" s="181">
        <f>SUMIFS('FCST data'!R:R,'FCST data'!$D:$D,$F124,'FCST data'!$K:$K,$G124,'FCST data'!$N:$N,'SSD_eMMC_non volatile'!$K124)</f>
        <v>70</v>
      </c>
      <c r="P124" s="181">
        <f>SUMIFS('FCST data'!S:S,'FCST data'!$D:$D,$F124,'FCST data'!$K:$K,$G124,'FCST data'!$N:$N,'SSD_eMMC_non volatile'!$K124)</f>
        <v>0</v>
      </c>
      <c r="Q124" s="181">
        <f>SUMIFS('FCST data'!T:T,'FCST data'!$D:$D,$F124,'FCST data'!$K:$K,$G124,'FCST data'!$N:$N,'SSD_eMMC_non volatile'!$K124)</f>
        <v>0</v>
      </c>
      <c r="R124" s="181">
        <f>SUMIFS('FCST data'!U:U,'FCST data'!$D:$D,$F124,'FCST data'!$K:$K,$G124,'FCST data'!$N:$N,'SSD_eMMC_non volatile'!$K124)</f>
        <v>0</v>
      </c>
      <c r="S124" s="181">
        <f>SUMIFS('FCST data'!V:V,'FCST data'!$D:$D,$F124,'FCST data'!$K:$K,$G124,'FCST data'!$N:$N,'SSD_eMMC_non volatile'!$K124)</f>
        <v>0</v>
      </c>
      <c r="T124" s="181">
        <f>SUMIFS('FCST data'!W:W,'FCST data'!$D:$D,$F124,'FCST data'!$K:$K,$G124,'FCST data'!$N:$N,'SSD_eMMC_non volatile'!$K124)</f>
        <v>0</v>
      </c>
      <c r="U124" s="181">
        <f>SUMIFS('FCST data'!X:X,'FCST data'!$D:$D,$F124,'FCST data'!$K:$K,$G124,'FCST data'!$N:$N,'SSD_eMMC_non volatile'!$K124)</f>
        <v>0</v>
      </c>
      <c r="V124" s="181">
        <f>SUMIFS('FCST data'!Y:Y,'FCST data'!$D:$D,$F124,'FCST data'!$K:$K,$G124,'FCST data'!$N:$N,'SSD_eMMC_non volatile'!$K124)</f>
        <v>0</v>
      </c>
      <c r="W124" s="181">
        <f>SUMIFS('FCST data'!Z:Z,'FCST data'!$D:$D,$F124,'FCST data'!$K:$K,$G124,'FCST data'!$N:$N,'SSD_eMMC_non volatile'!$K124)</f>
        <v>0</v>
      </c>
      <c r="X124" s="181">
        <f>SUMIFS('FCST data'!AA:AA,'FCST data'!$D:$D,$F124,'FCST data'!$K:$K,$G124,'FCST data'!$N:$N,'SSD_eMMC_non volatile'!$K124)</f>
        <v>0</v>
      </c>
      <c r="Y124" s="181">
        <f>SUMIFS('FCST data'!AB:AB,'FCST data'!$D:$D,$F124,'FCST data'!$K:$K,$G124,'FCST data'!$N:$N,'SSD_eMMC_non volatile'!$K124)</f>
        <v>0</v>
      </c>
      <c r="Z124" s="148"/>
      <c r="AA124" s="320"/>
      <c r="AB124" s="17">
        <f>E124-SUM(AA125:AA126)</f>
        <v>0</v>
      </c>
      <c r="AD124" s="320"/>
      <c r="AE124" s="17">
        <v>0</v>
      </c>
    </row>
    <row r="125" spans="3:31" ht="14.4" hidden="1">
      <c r="C125" s="283"/>
      <c r="D125" s="284"/>
      <c r="E125" s="285"/>
      <c r="F125" s="151" t="s">
        <v>444</v>
      </c>
      <c r="G125" s="151" t="s">
        <v>621</v>
      </c>
      <c r="H125" s="284" t="s">
        <v>724</v>
      </c>
      <c r="I125" s="287" t="s">
        <v>725</v>
      </c>
      <c r="J125" s="287" t="s">
        <v>115</v>
      </c>
      <c r="K125" s="287" t="s">
        <v>117</v>
      </c>
      <c r="L125" s="387">
        <v>1</v>
      </c>
      <c r="M125" s="362" t="s">
        <v>646</v>
      </c>
      <c r="N125" s="291"/>
      <c r="O125" s="291">
        <v>70</v>
      </c>
      <c r="P125" s="291">
        <v>0</v>
      </c>
      <c r="Q125" s="291"/>
      <c r="R125" s="291"/>
      <c r="S125" s="291"/>
      <c r="T125" s="291"/>
      <c r="U125" s="291"/>
      <c r="V125" s="291"/>
      <c r="W125" s="291"/>
      <c r="X125" s="291"/>
      <c r="Y125" s="291"/>
      <c r="Z125" s="177">
        <f>SUM(N125:Y125)*L125</f>
        <v>70</v>
      </c>
      <c r="AA125" s="8">
        <f>SUM(N125:Y125)</f>
        <v>70</v>
      </c>
      <c r="AD125" s="8">
        <v>730</v>
      </c>
      <c r="AE125" s="17">
        <v>0</v>
      </c>
    </row>
    <row r="126" spans="3:31" ht="14.4">
      <c r="C126" s="283"/>
      <c r="D126" s="284"/>
      <c r="E126" s="285"/>
      <c r="F126" s="151" t="s">
        <v>444</v>
      </c>
      <c r="G126" s="151" t="s">
        <v>621</v>
      </c>
      <c r="H126" s="284" t="s">
        <v>723</v>
      </c>
      <c r="I126" s="287" t="s">
        <v>305</v>
      </c>
      <c r="J126" s="287" t="s">
        <v>115</v>
      </c>
      <c r="K126" s="287" t="s">
        <v>117</v>
      </c>
      <c r="L126" s="294">
        <v>2</v>
      </c>
      <c r="M126" s="362"/>
      <c r="N126" s="291"/>
      <c r="O126" s="291"/>
      <c r="P126" s="291"/>
      <c r="Q126" s="291"/>
      <c r="R126" s="291"/>
      <c r="S126" s="291"/>
      <c r="T126" s="291"/>
      <c r="U126" s="291"/>
      <c r="V126" s="291"/>
      <c r="W126" s="291"/>
      <c r="X126" s="291"/>
      <c r="Y126" s="291"/>
      <c r="Z126" s="177">
        <f>SUM(N126:Y126)*L126</f>
        <v>0</v>
      </c>
      <c r="AA126" s="8">
        <f>SUM(N126:Y126)</f>
        <v>0</v>
      </c>
      <c r="AD126" s="8">
        <v>0</v>
      </c>
      <c r="AE126" s="17">
        <v>0</v>
      </c>
    </row>
    <row r="127" spans="3:31" ht="15.6" hidden="1">
      <c r="C127" s="314"/>
      <c r="D127" s="174" t="s">
        <v>22</v>
      </c>
      <c r="E127" s="148">
        <f>SUM(N127:Y127)</f>
        <v>30</v>
      </c>
      <c r="F127" s="175" t="s">
        <v>444</v>
      </c>
      <c r="G127" s="175" t="s">
        <v>621</v>
      </c>
      <c r="H127" s="148"/>
      <c r="I127" s="176"/>
      <c r="J127" s="176"/>
      <c r="K127" s="182" t="s">
        <v>369</v>
      </c>
      <c r="L127" s="176"/>
      <c r="M127" s="363"/>
      <c r="N127" s="181">
        <f>SUMIFS('FCST data'!Q:Q,'FCST data'!$D:$D,$F127,'FCST data'!$K:$K,$G127,'FCST data'!$N:$N,'SSD_eMMC_non volatile'!$K127)</f>
        <v>0</v>
      </c>
      <c r="O127" s="181">
        <f>SUMIFS('FCST data'!R:R,'FCST data'!$D:$D,$F127,'FCST data'!$K:$K,$G127,'FCST data'!$N:$N,'SSD_eMMC_non volatile'!$K127)</f>
        <v>30</v>
      </c>
      <c r="P127" s="181">
        <f>SUMIFS('FCST data'!S:S,'FCST data'!$D:$D,$F127,'FCST data'!$K:$K,$G127,'FCST data'!$N:$N,'SSD_eMMC_non volatile'!$K127)</f>
        <v>0</v>
      </c>
      <c r="Q127" s="181">
        <f>SUMIFS('FCST data'!T:T,'FCST data'!$D:$D,$F127,'FCST data'!$K:$K,$G127,'FCST data'!$N:$N,'SSD_eMMC_non volatile'!$K127)</f>
        <v>0</v>
      </c>
      <c r="R127" s="181">
        <f>SUMIFS('FCST data'!U:U,'FCST data'!$D:$D,$F127,'FCST data'!$K:$K,$G127,'FCST data'!$N:$N,'SSD_eMMC_non volatile'!$K127)</f>
        <v>0</v>
      </c>
      <c r="S127" s="181">
        <f>SUMIFS('FCST data'!V:V,'FCST data'!$D:$D,$F127,'FCST data'!$K:$K,$G127,'FCST data'!$N:$N,'SSD_eMMC_non volatile'!$K127)</f>
        <v>0</v>
      </c>
      <c r="T127" s="181">
        <f>SUMIFS('FCST data'!W:W,'FCST data'!$D:$D,$F127,'FCST data'!$K:$K,$G127,'FCST data'!$N:$N,'SSD_eMMC_non volatile'!$K127)</f>
        <v>0</v>
      </c>
      <c r="U127" s="181">
        <f>SUMIFS('FCST data'!X:X,'FCST data'!$D:$D,$F127,'FCST data'!$K:$K,$G127,'FCST data'!$N:$N,'SSD_eMMC_non volatile'!$K127)</f>
        <v>0</v>
      </c>
      <c r="V127" s="181">
        <f>SUMIFS('FCST data'!Y:Y,'FCST data'!$D:$D,$F127,'FCST data'!$K:$K,$G127,'FCST data'!$N:$N,'SSD_eMMC_non volatile'!$K127)</f>
        <v>0</v>
      </c>
      <c r="W127" s="181">
        <f>SUMIFS('FCST data'!Z:Z,'FCST data'!$D:$D,$F127,'FCST data'!$K:$K,$G127,'FCST data'!$N:$N,'SSD_eMMC_non volatile'!$K127)</f>
        <v>0</v>
      </c>
      <c r="X127" s="181">
        <f>SUMIFS('FCST data'!AA:AA,'FCST data'!$D:$D,$F127,'FCST data'!$K:$K,$G127,'FCST data'!$N:$N,'SSD_eMMC_non volatile'!$K127)</f>
        <v>0</v>
      </c>
      <c r="Y127" s="181">
        <f>SUMIFS('FCST data'!AB:AB,'FCST data'!$D:$D,$F127,'FCST data'!$K:$K,$G127,'FCST data'!$N:$N,'SSD_eMMC_non volatile'!$K127)</f>
        <v>0</v>
      </c>
      <c r="Z127" s="148"/>
      <c r="AA127" s="320"/>
      <c r="AB127" s="17">
        <f>E127-SUM(AA128:AA129)</f>
        <v>0</v>
      </c>
      <c r="AD127" s="320"/>
      <c r="AE127" s="17">
        <v>0</v>
      </c>
    </row>
    <row r="128" spans="3:31" ht="14.4" hidden="1">
      <c r="C128" s="283"/>
      <c r="D128" s="284"/>
      <c r="E128" s="285"/>
      <c r="F128" s="151" t="s">
        <v>444</v>
      </c>
      <c r="G128" s="151" t="s">
        <v>621</v>
      </c>
      <c r="H128" s="284" t="s">
        <v>724</v>
      </c>
      <c r="I128" s="287" t="s">
        <v>725</v>
      </c>
      <c r="J128" s="287" t="s">
        <v>115</v>
      </c>
      <c r="K128" s="287" t="s">
        <v>118</v>
      </c>
      <c r="L128" s="387">
        <v>1</v>
      </c>
      <c r="M128" s="362" t="s">
        <v>647</v>
      </c>
      <c r="N128" s="291"/>
      <c r="O128" s="291">
        <v>30</v>
      </c>
      <c r="P128" s="291">
        <v>0</v>
      </c>
      <c r="Q128" s="291">
        <v>0</v>
      </c>
      <c r="R128" s="291"/>
      <c r="S128" s="291"/>
      <c r="T128" s="291"/>
      <c r="U128" s="291"/>
      <c r="V128" s="291"/>
      <c r="W128" s="291"/>
      <c r="X128" s="291"/>
      <c r="Y128" s="291"/>
      <c r="Z128" s="177">
        <f>SUM(N128:Y128)*L128</f>
        <v>30</v>
      </c>
      <c r="AA128" s="8">
        <f>SUM(N128:Y128)</f>
        <v>30</v>
      </c>
      <c r="AD128" s="8">
        <v>120</v>
      </c>
      <c r="AE128" s="17">
        <v>0</v>
      </c>
    </row>
    <row r="129" spans="3:31" ht="14.4">
      <c r="C129" s="283"/>
      <c r="D129" s="284"/>
      <c r="E129" s="285"/>
      <c r="F129" s="151" t="s">
        <v>444</v>
      </c>
      <c r="G129" s="151" t="s">
        <v>621</v>
      </c>
      <c r="H129" s="284" t="s">
        <v>723</v>
      </c>
      <c r="I129" s="287" t="s">
        <v>305</v>
      </c>
      <c r="J129" s="287" t="s">
        <v>115</v>
      </c>
      <c r="K129" s="287" t="s">
        <v>118</v>
      </c>
      <c r="L129" s="294">
        <v>2</v>
      </c>
      <c r="M129" s="362"/>
      <c r="N129" s="291"/>
      <c r="O129" s="291"/>
      <c r="P129" s="291"/>
      <c r="Q129" s="291"/>
      <c r="R129" s="291"/>
      <c r="S129" s="291"/>
      <c r="T129" s="291"/>
      <c r="U129" s="291"/>
      <c r="V129" s="291"/>
      <c r="W129" s="291"/>
      <c r="X129" s="291"/>
      <c r="Y129" s="291"/>
      <c r="Z129" s="177">
        <f>SUM(N129:Y129)*L129</f>
        <v>0</v>
      </c>
      <c r="AA129" s="8">
        <f>SUM(N129:Y129)</f>
        <v>0</v>
      </c>
      <c r="AD129" s="8">
        <v>0</v>
      </c>
      <c r="AE129" s="17">
        <v>0</v>
      </c>
    </row>
    <row r="130" spans="3:31" ht="15.6" hidden="1">
      <c r="C130" s="314"/>
      <c r="D130" s="174" t="s">
        <v>22</v>
      </c>
      <c r="E130" s="148">
        <f>SUM(N130:Y130)</f>
        <v>0</v>
      </c>
      <c r="F130" s="175" t="s">
        <v>444</v>
      </c>
      <c r="G130" s="175" t="s">
        <v>622</v>
      </c>
      <c r="H130" s="148"/>
      <c r="I130" s="176"/>
      <c r="J130" s="176"/>
      <c r="K130" s="182" t="s">
        <v>360</v>
      </c>
      <c r="L130" s="176"/>
      <c r="M130" s="363"/>
      <c r="N130" s="181">
        <f>SUMIFS('FCST data'!Q:Q,'FCST data'!$D:$D,$F130,'FCST data'!$K:$K,$G130,'FCST data'!$N:$N,'SSD_eMMC_non volatile'!$K130)</f>
        <v>0</v>
      </c>
      <c r="O130" s="181">
        <f>SUMIFS('FCST data'!R:R,'FCST data'!$D:$D,$F130,'FCST data'!$K:$K,$G130,'FCST data'!$N:$N,'SSD_eMMC_non volatile'!$K130)</f>
        <v>0</v>
      </c>
      <c r="P130" s="181">
        <f>SUMIFS('FCST data'!S:S,'FCST data'!$D:$D,$F130,'FCST data'!$K:$K,$G130,'FCST data'!$N:$N,'SSD_eMMC_non volatile'!$K130)</f>
        <v>0</v>
      </c>
      <c r="Q130" s="181">
        <f>SUMIFS('FCST data'!T:T,'FCST data'!$D:$D,$F130,'FCST data'!$K:$K,$G130,'FCST data'!$N:$N,'SSD_eMMC_non volatile'!$K130)</f>
        <v>0</v>
      </c>
      <c r="R130" s="181">
        <f>SUMIFS('FCST data'!U:U,'FCST data'!$D:$D,$F130,'FCST data'!$K:$K,$G130,'FCST data'!$N:$N,'SSD_eMMC_non volatile'!$K130)</f>
        <v>0</v>
      </c>
      <c r="S130" s="181">
        <f>SUMIFS('FCST data'!V:V,'FCST data'!$D:$D,$F130,'FCST data'!$K:$K,$G130,'FCST data'!$N:$N,'SSD_eMMC_non volatile'!$K130)</f>
        <v>0</v>
      </c>
      <c r="T130" s="181">
        <f>SUMIFS('FCST data'!W:W,'FCST data'!$D:$D,$F130,'FCST data'!$K:$K,$G130,'FCST data'!$N:$N,'SSD_eMMC_non volatile'!$K130)</f>
        <v>0</v>
      </c>
      <c r="U130" s="181">
        <f>SUMIFS('FCST data'!X:X,'FCST data'!$D:$D,$F130,'FCST data'!$K:$K,$G130,'FCST data'!$N:$N,'SSD_eMMC_non volatile'!$K130)</f>
        <v>0</v>
      </c>
      <c r="V130" s="181">
        <f>SUMIFS('FCST data'!Y:Y,'FCST data'!$D:$D,$F130,'FCST data'!$K:$K,$G130,'FCST data'!$N:$N,'SSD_eMMC_non volatile'!$K130)</f>
        <v>0</v>
      </c>
      <c r="W130" s="181">
        <f>SUMIFS('FCST data'!Z:Z,'FCST data'!$D:$D,$F130,'FCST data'!$K:$K,$G130,'FCST data'!$N:$N,'SSD_eMMC_non volatile'!$K130)</f>
        <v>0</v>
      </c>
      <c r="X130" s="181">
        <f>SUMIFS('FCST data'!AA:AA,'FCST data'!$D:$D,$F130,'FCST data'!$K:$K,$G130,'FCST data'!$N:$N,'SSD_eMMC_non volatile'!$K130)</f>
        <v>0</v>
      </c>
      <c r="Y130" s="181">
        <f>SUMIFS('FCST data'!AB:AB,'FCST data'!$D:$D,$F130,'FCST data'!$K:$K,$G130,'FCST data'!$N:$N,'SSD_eMMC_non volatile'!$K130)</f>
        <v>0</v>
      </c>
      <c r="Z130" s="148"/>
      <c r="AA130" s="320"/>
      <c r="AB130" s="17">
        <f>E130-SUM(AA131:AA132)</f>
        <v>0</v>
      </c>
      <c r="AD130" s="320"/>
      <c r="AE130" s="17">
        <v>0</v>
      </c>
    </row>
    <row r="131" spans="3:31" ht="14.4" hidden="1">
      <c r="C131" s="283"/>
      <c r="D131" s="284"/>
      <c r="E131" s="285"/>
      <c r="F131" s="151" t="s">
        <v>444</v>
      </c>
      <c r="G131" s="151" t="s">
        <v>622</v>
      </c>
      <c r="H131" s="284" t="s">
        <v>724</v>
      </c>
      <c r="I131" s="287" t="s">
        <v>725</v>
      </c>
      <c r="J131" s="287" t="s">
        <v>115</v>
      </c>
      <c r="K131" s="287" t="s">
        <v>117</v>
      </c>
      <c r="L131" s="387">
        <v>1</v>
      </c>
      <c r="M131" s="362"/>
      <c r="N131" s="291">
        <v>0</v>
      </c>
      <c r="O131" s="291">
        <v>0</v>
      </c>
      <c r="P131" s="291">
        <v>0</v>
      </c>
      <c r="Q131" s="291"/>
      <c r="R131" s="291"/>
      <c r="S131" s="291"/>
      <c r="T131" s="291"/>
      <c r="U131" s="291"/>
      <c r="V131" s="291"/>
      <c r="W131" s="291"/>
      <c r="X131" s="291"/>
      <c r="Y131" s="291"/>
      <c r="Z131" s="177">
        <f>SUM(N131:Y131)*L131</f>
        <v>0</v>
      </c>
      <c r="AA131" s="8">
        <f>SUM(N131:Y131)</f>
        <v>0</v>
      </c>
      <c r="AD131" s="8">
        <v>2000</v>
      </c>
      <c r="AE131" s="17">
        <v>200</v>
      </c>
    </row>
    <row r="132" spans="3:31" ht="14.4">
      <c r="C132" s="283"/>
      <c r="D132" s="284"/>
      <c r="E132" s="285"/>
      <c r="F132" s="151" t="s">
        <v>444</v>
      </c>
      <c r="G132" s="151" t="s">
        <v>622</v>
      </c>
      <c r="H132" s="284" t="s">
        <v>723</v>
      </c>
      <c r="I132" s="287" t="s">
        <v>305</v>
      </c>
      <c r="J132" s="287" t="s">
        <v>115</v>
      </c>
      <c r="K132" s="287" t="s">
        <v>117</v>
      </c>
      <c r="L132" s="294">
        <v>2</v>
      </c>
      <c r="M132" s="362"/>
      <c r="N132" s="291"/>
      <c r="O132" s="291"/>
      <c r="P132" s="291"/>
      <c r="Q132" s="291"/>
      <c r="R132" s="291"/>
      <c r="S132" s="291"/>
      <c r="T132" s="291"/>
      <c r="U132" s="291"/>
      <c r="V132" s="291"/>
      <c r="W132" s="291"/>
      <c r="X132" s="291"/>
      <c r="Y132" s="291"/>
      <c r="Z132" s="177">
        <f>SUM(N132:Y132)*L132</f>
        <v>0</v>
      </c>
      <c r="AA132" s="8">
        <f>SUM(N132:Y132)</f>
        <v>0</v>
      </c>
      <c r="AD132" s="8">
        <v>0</v>
      </c>
      <c r="AE132" s="17">
        <v>0</v>
      </c>
    </row>
    <row r="133" spans="3:31" ht="15.6" hidden="1">
      <c r="C133" s="314"/>
      <c r="D133" s="174" t="s">
        <v>22</v>
      </c>
      <c r="E133" s="148">
        <f>SUM(N133:Y133)</f>
        <v>600</v>
      </c>
      <c r="F133" s="175" t="s">
        <v>444</v>
      </c>
      <c r="G133" s="175" t="s">
        <v>622</v>
      </c>
      <c r="H133" s="148"/>
      <c r="I133" s="176"/>
      <c r="J133" s="176"/>
      <c r="K133" s="182" t="s">
        <v>369</v>
      </c>
      <c r="L133" s="176"/>
      <c r="M133" s="363"/>
      <c r="N133" s="181">
        <f>SUMIFS('FCST data'!Q:Q,'FCST data'!$D:$D,$F133,'FCST data'!$K:$K,$G133,'FCST data'!$N:$N,'SSD_eMMC_non volatile'!$K133)</f>
        <v>200</v>
      </c>
      <c r="O133" s="181">
        <f>SUMIFS('FCST data'!R:R,'FCST data'!$D:$D,$F133,'FCST data'!$K:$K,$G133,'FCST data'!$N:$N,'SSD_eMMC_non volatile'!$K133)</f>
        <v>200</v>
      </c>
      <c r="P133" s="181">
        <f>SUMIFS('FCST data'!S:S,'FCST data'!$D:$D,$F133,'FCST data'!$K:$K,$G133,'FCST data'!$N:$N,'SSD_eMMC_non volatile'!$K133)</f>
        <v>200</v>
      </c>
      <c r="Q133" s="181">
        <f>SUMIFS('FCST data'!T:T,'FCST data'!$D:$D,$F133,'FCST data'!$K:$K,$G133,'FCST data'!$N:$N,'SSD_eMMC_non volatile'!$K133)</f>
        <v>0</v>
      </c>
      <c r="R133" s="181">
        <f>SUMIFS('FCST data'!U:U,'FCST data'!$D:$D,$F133,'FCST data'!$K:$K,$G133,'FCST data'!$N:$N,'SSD_eMMC_non volatile'!$K133)</f>
        <v>0</v>
      </c>
      <c r="S133" s="181">
        <f>SUMIFS('FCST data'!V:V,'FCST data'!$D:$D,$F133,'FCST data'!$K:$K,$G133,'FCST data'!$N:$N,'SSD_eMMC_non volatile'!$K133)</f>
        <v>0</v>
      </c>
      <c r="T133" s="181">
        <f>SUMIFS('FCST data'!W:W,'FCST data'!$D:$D,$F133,'FCST data'!$K:$K,$G133,'FCST data'!$N:$N,'SSD_eMMC_non volatile'!$K133)</f>
        <v>0</v>
      </c>
      <c r="U133" s="181">
        <f>SUMIFS('FCST data'!X:X,'FCST data'!$D:$D,$F133,'FCST data'!$K:$K,$G133,'FCST data'!$N:$N,'SSD_eMMC_non volatile'!$K133)</f>
        <v>0</v>
      </c>
      <c r="V133" s="181">
        <f>SUMIFS('FCST data'!Y:Y,'FCST data'!$D:$D,$F133,'FCST data'!$K:$K,$G133,'FCST data'!$N:$N,'SSD_eMMC_non volatile'!$K133)</f>
        <v>0</v>
      </c>
      <c r="W133" s="181">
        <f>SUMIFS('FCST data'!Z:Z,'FCST data'!$D:$D,$F133,'FCST data'!$K:$K,$G133,'FCST data'!$N:$N,'SSD_eMMC_non volatile'!$K133)</f>
        <v>0</v>
      </c>
      <c r="X133" s="181">
        <f>SUMIFS('FCST data'!AA:AA,'FCST data'!$D:$D,$F133,'FCST data'!$K:$K,$G133,'FCST data'!$N:$N,'SSD_eMMC_non volatile'!$K133)</f>
        <v>0</v>
      </c>
      <c r="Y133" s="181">
        <f>SUMIFS('FCST data'!AB:AB,'FCST data'!$D:$D,$F133,'FCST data'!$K:$K,$G133,'FCST data'!$N:$N,'SSD_eMMC_non volatile'!$K133)</f>
        <v>0</v>
      </c>
      <c r="Z133" s="148"/>
      <c r="AA133" s="320"/>
      <c r="AB133" s="17">
        <f>E133-SUM(AA134:AA135)</f>
        <v>0</v>
      </c>
      <c r="AD133" s="320"/>
      <c r="AE133" s="17">
        <v>0</v>
      </c>
    </row>
    <row r="134" spans="3:31" ht="14.4" hidden="1">
      <c r="C134" s="283"/>
      <c r="D134" s="284"/>
      <c r="E134" s="285"/>
      <c r="F134" s="151" t="s">
        <v>444</v>
      </c>
      <c r="G134" s="151" t="s">
        <v>622</v>
      </c>
      <c r="H134" s="284" t="s">
        <v>724</v>
      </c>
      <c r="I134" s="287" t="s">
        <v>725</v>
      </c>
      <c r="J134" s="287" t="s">
        <v>115</v>
      </c>
      <c r="K134" s="287" t="s">
        <v>118</v>
      </c>
      <c r="L134" s="387">
        <v>1</v>
      </c>
      <c r="M134" s="362" t="s">
        <v>647</v>
      </c>
      <c r="N134" s="291">
        <v>200</v>
      </c>
      <c r="O134" s="291">
        <v>200</v>
      </c>
      <c r="P134" s="291">
        <v>200</v>
      </c>
      <c r="Q134" s="291"/>
      <c r="R134" s="291"/>
      <c r="S134" s="291"/>
      <c r="T134" s="291"/>
      <c r="U134" s="291"/>
      <c r="V134" s="291"/>
      <c r="W134" s="291"/>
      <c r="X134" s="291"/>
      <c r="Y134" s="291"/>
      <c r="Z134" s="177">
        <f>SUM(N134:Y134)*L134</f>
        <v>600</v>
      </c>
      <c r="AA134" s="8">
        <f>SUM(N134:Y134)</f>
        <v>600</v>
      </c>
      <c r="AD134" s="8">
        <v>2000</v>
      </c>
      <c r="AE134" s="17">
        <v>200</v>
      </c>
    </row>
    <row r="135" spans="3:31" ht="14.4">
      <c r="C135" s="283"/>
      <c r="D135" s="284"/>
      <c r="E135" s="285"/>
      <c r="F135" s="151" t="s">
        <v>444</v>
      </c>
      <c r="G135" s="151" t="s">
        <v>622</v>
      </c>
      <c r="H135" s="284" t="s">
        <v>723</v>
      </c>
      <c r="I135" s="287" t="s">
        <v>305</v>
      </c>
      <c r="J135" s="287" t="s">
        <v>115</v>
      </c>
      <c r="K135" s="287" t="s">
        <v>118</v>
      </c>
      <c r="L135" s="294">
        <v>2</v>
      </c>
      <c r="M135" s="362"/>
      <c r="N135" s="291"/>
      <c r="O135" s="291"/>
      <c r="P135" s="291"/>
      <c r="Q135" s="291"/>
      <c r="R135" s="291"/>
      <c r="S135" s="291"/>
      <c r="T135" s="291"/>
      <c r="U135" s="291"/>
      <c r="V135" s="291"/>
      <c r="W135" s="291"/>
      <c r="X135" s="291"/>
      <c r="Y135" s="291"/>
      <c r="Z135" s="177">
        <f>SUM(N135:Y135)*L135</f>
        <v>0</v>
      </c>
      <c r="AA135" s="8">
        <f>SUM(N135:Y135)</f>
        <v>0</v>
      </c>
      <c r="AD135" s="8">
        <v>0</v>
      </c>
      <c r="AE135" s="17">
        <v>0</v>
      </c>
    </row>
    <row r="136" spans="3:31" ht="15.6" hidden="1">
      <c r="C136" s="314"/>
      <c r="D136" s="174" t="s">
        <v>22</v>
      </c>
      <c r="E136" s="148">
        <f>SUM(N136:Y136)</f>
        <v>0</v>
      </c>
      <c r="F136" s="175" t="s">
        <v>444</v>
      </c>
      <c r="G136" s="175" t="s">
        <v>622</v>
      </c>
      <c r="H136" s="148"/>
      <c r="I136" s="176"/>
      <c r="J136" s="176"/>
      <c r="K136" s="182" t="s">
        <v>887</v>
      </c>
      <c r="L136" s="176"/>
      <c r="M136" s="363"/>
      <c r="N136" s="181">
        <f>SUMIFS('FCST data'!Q:Q,'FCST data'!$D:$D,$F136,'FCST data'!$K:$K,$G136,'FCST data'!$N:$N,'SSD_eMMC_non volatile'!$K136)</f>
        <v>0</v>
      </c>
      <c r="O136" s="181">
        <f>SUMIFS('FCST data'!R:R,'FCST data'!$D:$D,$F136,'FCST data'!$K:$K,$G136,'FCST data'!$N:$N,'SSD_eMMC_non volatile'!$K136)</f>
        <v>0</v>
      </c>
      <c r="P136" s="181">
        <f>SUMIFS('FCST data'!S:S,'FCST data'!$D:$D,$F136,'FCST data'!$K:$K,$G136,'FCST data'!$N:$N,'SSD_eMMC_non volatile'!$K136)</f>
        <v>0</v>
      </c>
      <c r="Q136" s="181">
        <f>SUMIFS('FCST data'!T:T,'FCST data'!$D:$D,$F136,'FCST data'!$K:$K,$G136,'FCST data'!$N:$N,'SSD_eMMC_non volatile'!$K136)</f>
        <v>0</v>
      </c>
      <c r="R136" s="181">
        <f>SUMIFS('FCST data'!U:U,'FCST data'!$D:$D,$F136,'FCST data'!$K:$K,$G136,'FCST data'!$N:$N,'SSD_eMMC_non volatile'!$K136)</f>
        <v>0</v>
      </c>
      <c r="S136" s="181">
        <f>SUMIFS('FCST data'!V:V,'FCST data'!$D:$D,$F136,'FCST data'!$K:$K,$G136,'FCST data'!$N:$N,'SSD_eMMC_non volatile'!$K136)</f>
        <v>0</v>
      </c>
      <c r="T136" s="181">
        <f>SUMIFS('FCST data'!W:W,'FCST data'!$D:$D,$F136,'FCST data'!$K:$K,$G136,'FCST data'!$N:$N,'SSD_eMMC_non volatile'!$K136)</f>
        <v>0</v>
      </c>
      <c r="U136" s="181">
        <f>SUMIFS('FCST data'!X:X,'FCST data'!$D:$D,$F136,'FCST data'!$K:$K,$G136,'FCST data'!$N:$N,'SSD_eMMC_non volatile'!$K136)</f>
        <v>0</v>
      </c>
      <c r="V136" s="181">
        <f>SUMIFS('FCST data'!Y:Y,'FCST data'!$D:$D,$F136,'FCST data'!$K:$K,$G136,'FCST data'!$N:$N,'SSD_eMMC_non volatile'!$K136)</f>
        <v>0</v>
      </c>
      <c r="W136" s="181">
        <f>SUMIFS('FCST data'!Z:Z,'FCST data'!$D:$D,$F136,'FCST data'!$K:$K,$G136,'FCST data'!$N:$N,'SSD_eMMC_non volatile'!$K136)</f>
        <v>0</v>
      </c>
      <c r="X136" s="181">
        <f>SUMIFS('FCST data'!AA:AA,'FCST data'!$D:$D,$F136,'FCST data'!$K:$K,$G136,'FCST data'!$N:$N,'SSD_eMMC_non volatile'!$K136)</f>
        <v>0</v>
      </c>
      <c r="Y136" s="181">
        <f>SUMIFS('FCST data'!AB:AB,'FCST data'!$D:$D,$F136,'FCST data'!$K:$K,$G136,'FCST data'!$N:$N,'SSD_eMMC_non volatile'!$K136)</f>
        <v>0</v>
      </c>
      <c r="Z136" s="148"/>
      <c r="AA136" s="320"/>
      <c r="AB136" s="17">
        <f>E136-SUM(AA137:AA138)</f>
        <v>0</v>
      </c>
      <c r="AD136" s="320"/>
      <c r="AE136" s="17">
        <v>0</v>
      </c>
    </row>
    <row r="137" spans="3:31" ht="14.4" hidden="1">
      <c r="C137" s="283"/>
      <c r="D137" s="284"/>
      <c r="E137" s="285"/>
      <c r="F137" s="151" t="s">
        <v>444</v>
      </c>
      <c r="G137" s="151" t="s">
        <v>622</v>
      </c>
      <c r="H137" s="284" t="s">
        <v>724</v>
      </c>
      <c r="I137" s="287" t="s">
        <v>725</v>
      </c>
      <c r="J137" s="287" t="s">
        <v>115</v>
      </c>
      <c r="K137" s="287" t="s">
        <v>114</v>
      </c>
      <c r="L137" s="387">
        <v>1</v>
      </c>
      <c r="M137" s="362"/>
      <c r="N137" s="291">
        <v>0</v>
      </c>
      <c r="O137" s="291">
        <v>0</v>
      </c>
      <c r="P137" s="291">
        <v>0</v>
      </c>
      <c r="Q137" s="291"/>
      <c r="R137" s="291"/>
      <c r="S137" s="291"/>
      <c r="T137" s="291"/>
      <c r="U137" s="291"/>
      <c r="V137" s="291"/>
      <c r="W137" s="291"/>
      <c r="X137" s="291"/>
      <c r="Y137" s="291"/>
      <c r="Z137" s="177">
        <f>SUM(N137:Y137)*L137</f>
        <v>0</v>
      </c>
      <c r="AA137" s="8">
        <f>SUM(N137:Y137)</f>
        <v>0</v>
      </c>
      <c r="AD137" s="8">
        <v>2000</v>
      </c>
      <c r="AE137" s="17">
        <v>200</v>
      </c>
    </row>
    <row r="138" spans="3:31" ht="14.4">
      <c r="C138" s="283"/>
      <c r="D138" s="284"/>
      <c r="E138" s="285"/>
      <c r="F138" s="151" t="s">
        <v>444</v>
      </c>
      <c r="G138" s="151" t="s">
        <v>622</v>
      </c>
      <c r="H138" s="284" t="s">
        <v>723</v>
      </c>
      <c r="I138" s="287" t="s">
        <v>305</v>
      </c>
      <c r="J138" s="287" t="s">
        <v>115</v>
      </c>
      <c r="K138" s="287" t="s">
        <v>114</v>
      </c>
      <c r="L138" s="294">
        <v>2</v>
      </c>
      <c r="M138" s="362"/>
      <c r="N138" s="291"/>
      <c r="O138" s="291"/>
      <c r="P138" s="291"/>
      <c r="Q138" s="291"/>
      <c r="R138" s="291"/>
      <c r="S138" s="291"/>
      <c r="T138" s="291"/>
      <c r="U138" s="291"/>
      <c r="V138" s="291"/>
      <c r="W138" s="291"/>
      <c r="X138" s="291"/>
      <c r="Y138" s="291"/>
      <c r="Z138" s="177">
        <f>SUM(N138:Y138)*L138</f>
        <v>0</v>
      </c>
      <c r="AA138" s="8">
        <f>SUM(N138:Y138)</f>
        <v>0</v>
      </c>
      <c r="AD138" s="8">
        <v>0</v>
      </c>
      <c r="AE138" s="17">
        <v>0</v>
      </c>
    </row>
    <row r="139" spans="3:31" ht="15.6" hidden="1">
      <c r="C139" s="314"/>
      <c r="D139" s="174" t="s">
        <v>22</v>
      </c>
      <c r="E139" s="148">
        <f>SUM(N139:Y139)</f>
        <v>0</v>
      </c>
      <c r="F139" s="175" t="s">
        <v>624</v>
      </c>
      <c r="G139" s="175" t="s">
        <v>390</v>
      </c>
      <c r="H139" s="148"/>
      <c r="I139" s="176"/>
      <c r="J139" s="176"/>
      <c r="K139" s="182" t="s">
        <v>360</v>
      </c>
      <c r="L139" s="176"/>
      <c r="M139" s="363"/>
      <c r="N139" s="181">
        <f>SUMIFS('FCST data'!Q:Q,'FCST data'!$D:$D,$F139,'FCST data'!$K:$K,$G139,'FCST data'!$N:$N,'SSD_eMMC_non volatile'!$K139)</f>
        <v>0</v>
      </c>
      <c r="O139" s="181">
        <f>SUMIFS('FCST data'!R:R,'FCST data'!$D:$D,$F139,'FCST data'!$K:$K,$G139,'FCST data'!$N:$N,'SSD_eMMC_non volatile'!$K139)</f>
        <v>0</v>
      </c>
      <c r="P139" s="181">
        <f>SUMIFS('FCST data'!S:S,'FCST data'!$D:$D,$F139,'FCST data'!$K:$K,$G139,'FCST data'!$N:$N,'SSD_eMMC_non volatile'!$K139)</f>
        <v>0</v>
      </c>
      <c r="Q139" s="181">
        <f>SUMIFS('FCST data'!T:T,'FCST data'!$D:$D,$F139,'FCST data'!$K:$K,$G139,'FCST data'!$N:$N,'SSD_eMMC_non volatile'!$K139)</f>
        <v>0</v>
      </c>
      <c r="R139" s="181">
        <f>SUMIFS('FCST data'!U:U,'FCST data'!$D:$D,$F139,'FCST data'!$K:$K,$G139,'FCST data'!$N:$N,'SSD_eMMC_non volatile'!$K139)</f>
        <v>0</v>
      </c>
      <c r="S139" s="181">
        <f>SUMIFS('FCST data'!V:V,'FCST data'!$D:$D,$F139,'FCST data'!$K:$K,$G139,'FCST data'!$N:$N,'SSD_eMMC_non volatile'!$K139)</f>
        <v>0</v>
      </c>
      <c r="T139" s="181">
        <f>SUMIFS('FCST data'!W:W,'FCST data'!$D:$D,$F139,'FCST data'!$K:$K,$G139,'FCST data'!$N:$N,'SSD_eMMC_non volatile'!$K139)</f>
        <v>0</v>
      </c>
      <c r="U139" s="181">
        <f>SUMIFS('FCST data'!X:X,'FCST data'!$D:$D,$F139,'FCST data'!$K:$K,$G139,'FCST data'!$N:$N,'SSD_eMMC_non volatile'!$K139)</f>
        <v>0</v>
      </c>
      <c r="V139" s="181">
        <f>SUMIFS('FCST data'!Y:Y,'FCST data'!$D:$D,$F139,'FCST data'!$K:$K,$G139,'FCST data'!$N:$N,'SSD_eMMC_non volatile'!$K139)</f>
        <v>0</v>
      </c>
      <c r="W139" s="181">
        <f>SUMIFS('FCST data'!Z:Z,'FCST data'!$D:$D,$F139,'FCST data'!$K:$K,$G139,'FCST data'!$N:$N,'SSD_eMMC_non volatile'!$K139)</f>
        <v>0</v>
      </c>
      <c r="X139" s="181">
        <f>SUMIFS('FCST data'!AA:AA,'FCST data'!$D:$D,$F139,'FCST data'!$K:$K,$G139,'FCST data'!$N:$N,'SSD_eMMC_non volatile'!$K139)</f>
        <v>0</v>
      </c>
      <c r="Y139" s="181">
        <f>SUMIFS('FCST data'!AB:AB,'FCST data'!$D:$D,$F139,'FCST data'!$K:$K,$G139,'FCST data'!$N:$N,'SSD_eMMC_non volatile'!$K139)</f>
        <v>0</v>
      </c>
      <c r="Z139" s="148"/>
      <c r="AA139" s="320"/>
      <c r="AB139" s="17">
        <f>E139-SUM(AA140:AA141)</f>
        <v>0</v>
      </c>
      <c r="AD139" s="320"/>
      <c r="AE139" s="17">
        <v>0</v>
      </c>
    </row>
    <row r="140" spans="3:31" ht="14.4" hidden="1">
      <c r="C140" s="283"/>
      <c r="D140" s="284"/>
      <c r="E140" s="285"/>
      <c r="F140" s="151" t="s">
        <v>624</v>
      </c>
      <c r="G140" s="151" t="s">
        <v>390</v>
      </c>
      <c r="H140" s="284" t="s">
        <v>724</v>
      </c>
      <c r="I140" s="287" t="s">
        <v>725</v>
      </c>
      <c r="J140" s="287" t="s">
        <v>115</v>
      </c>
      <c r="K140" s="287" t="s">
        <v>117</v>
      </c>
      <c r="L140" s="387">
        <v>2</v>
      </c>
      <c r="M140" s="362"/>
      <c r="N140" s="291"/>
      <c r="O140" s="291"/>
      <c r="P140" s="291"/>
      <c r="Q140" s="291"/>
      <c r="R140" s="291"/>
      <c r="S140" s="291"/>
      <c r="T140" s="291"/>
      <c r="U140" s="291"/>
      <c r="V140" s="291"/>
      <c r="W140" s="291"/>
      <c r="X140" s="291"/>
      <c r="Y140" s="291"/>
      <c r="Z140" s="177">
        <f>SUM(N140:Y140)*L140</f>
        <v>0</v>
      </c>
      <c r="AA140" s="8">
        <f>SUM(N140:Y140)</f>
        <v>0</v>
      </c>
      <c r="AD140" s="8">
        <v>0</v>
      </c>
      <c r="AE140" s="17">
        <v>0</v>
      </c>
    </row>
    <row r="141" spans="3:31" ht="14.4">
      <c r="C141" s="283"/>
      <c r="D141" s="284"/>
      <c r="E141" s="285"/>
      <c r="F141" s="151" t="s">
        <v>624</v>
      </c>
      <c r="G141" s="151" t="s">
        <v>390</v>
      </c>
      <c r="H141" s="284" t="s">
        <v>723</v>
      </c>
      <c r="I141" s="287" t="s">
        <v>305</v>
      </c>
      <c r="J141" s="287" t="s">
        <v>115</v>
      </c>
      <c r="K141" s="287" t="s">
        <v>117</v>
      </c>
      <c r="L141" s="294">
        <v>2</v>
      </c>
      <c r="M141" s="362"/>
      <c r="N141" s="291"/>
      <c r="O141" s="291"/>
      <c r="P141" s="291"/>
      <c r="Q141" s="291"/>
      <c r="R141" s="291"/>
      <c r="S141" s="291"/>
      <c r="T141" s="291"/>
      <c r="U141" s="291"/>
      <c r="V141" s="291"/>
      <c r="W141" s="291"/>
      <c r="X141" s="291"/>
      <c r="Y141" s="291"/>
      <c r="Z141" s="177">
        <f>SUM(N141:Y141)*L141</f>
        <v>0</v>
      </c>
      <c r="AA141" s="8">
        <f>SUM(N141:Y141)</f>
        <v>0</v>
      </c>
      <c r="AD141" s="8">
        <v>0</v>
      </c>
      <c r="AE141" s="17">
        <v>0</v>
      </c>
    </row>
    <row r="142" spans="3:31" ht="15.6" hidden="1">
      <c r="C142" s="314"/>
      <c r="D142" s="174" t="s">
        <v>22</v>
      </c>
      <c r="E142" s="148">
        <f>SUM(N142:Y142)</f>
        <v>0</v>
      </c>
      <c r="F142" s="175" t="s">
        <v>624</v>
      </c>
      <c r="G142" s="175" t="s">
        <v>390</v>
      </c>
      <c r="H142" s="148"/>
      <c r="I142" s="176"/>
      <c r="J142" s="176"/>
      <c r="K142" s="182" t="s">
        <v>535</v>
      </c>
      <c r="L142" s="176"/>
      <c r="M142" s="363"/>
      <c r="N142" s="181">
        <f>SUMIFS('FCST data'!Q:Q,'FCST data'!$D:$D,$F142,'FCST data'!$K:$K,$G142,'FCST data'!$N:$N,'SSD_eMMC_non volatile'!$K142)</f>
        <v>0</v>
      </c>
      <c r="O142" s="181">
        <f>SUMIFS('FCST data'!R:R,'FCST data'!$D:$D,$F142,'FCST data'!$K:$K,$G142,'FCST data'!$N:$N,'SSD_eMMC_non volatile'!$K142)</f>
        <v>0</v>
      </c>
      <c r="P142" s="181">
        <f>SUMIFS('FCST data'!S:S,'FCST data'!$D:$D,$F142,'FCST data'!$K:$K,$G142,'FCST data'!$N:$N,'SSD_eMMC_non volatile'!$K142)</f>
        <v>0</v>
      </c>
      <c r="Q142" s="181">
        <f>SUMIFS('FCST data'!T:T,'FCST data'!$D:$D,$F142,'FCST data'!$K:$K,$G142,'FCST data'!$N:$N,'SSD_eMMC_non volatile'!$K142)</f>
        <v>0</v>
      </c>
      <c r="R142" s="181">
        <f>SUMIFS('FCST data'!U:U,'FCST data'!$D:$D,$F142,'FCST data'!$K:$K,$G142,'FCST data'!$N:$N,'SSD_eMMC_non volatile'!$K142)</f>
        <v>0</v>
      </c>
      <c r="S142" s="181">
        <f>SUMIFS('FCST data'!V:V,'FCST data'!$D:$D,$F142,'FCST data'!$K:$K,$G142,'FCST data'!$N:$N,'SSD_eMMC_non volatile'!$K142)</f>
        <v>0</v>
      </c>
      <c r="T142" s="181">
        <f>SUMIFS('FCST data'!W:W,'FCST data'!$D:$D,$F142,'FCST data'!$K:$K,$G142,'FCST data'!$N:$N,'SSD_eMMC_non volatile'!$K142)</f>
        <v>0</v>
      </c>
      <c r="U142" s="181">
        <f>SUMIFS('FCST data'!X:X,'FCST data'!$D:$D,$F142,'FCST data'!$K:$K,$G142,'FCST data'!$N:$N,'SSD_eMMC_non volatile'!$K142)</f>
        <v>0</v>
      </c>
      <c r="V142" s="181">
        <f>SUMIFS('FCST data'!Y:Y,'FCST data'!$D:$D,$F142,'FCST data'!$K:$K,$G142,'FCST data'!$N:$N,'SSD_eMMC_non volatile'!$K142)</f>
        <v>0</v>
      </c>
      <c r="W142" s="181">
        <f>SUMIFS('FCST data'!Z:Z,'FCST data'!$D:$D,$F142,'FCST data'!$K:$K,$G142,'FCST data'!$N:$N,'SSD_eMMC_non volatile'!$K142)</f>
        <v>0</v>
      </c>
      <c r="X142" s="181">
        <f>SUMIFS('FCST data'!AA:AA,'FCST data'!$D:$D,$F142,'FCST data'!$K:$K,$G142,'FCST data'!$N:$N,'SSD_eMMC_non volatile'!$K142)</f>
        <v>0</v>
      </c>
      <c r="Y142" s="181">
        <f>SUMIFS('FCST data'!AB:AB,'FCST data'!$D:$D,$F142,'FCST data'!$K:$K,$G142,'FCST data'!$N:$N,'SSD_eMMC_non volatile'!$K142)</f>
        <v>0</v>
      </c>
      <c r="Z142" s="148"/>
      <c r="AA142" s="320"/>
      <c r="AB142" s="17">
        <f>E142-SUM(AA143:AA144)</f>
        <v>0</v>
      </c>
      <c r="AD142" s="320"/>
      <c r="AE142" s="17">
        <v>0</v>
      </c>
    </row>
    <row r="143" spans="3:31" ht="14.4" hidden="1">
      <c r="C143" s="283"/>
      <c r="D143" s="284"/>
      <c r="E143" s="285"/>
      <c r="F143" s="151" t="s">
        <v>624</v>
      </c>
      <c r="G143" s="151" t="s">
        <v>390</v>
      </c>
      <c r="H143" s="284" t="s">
        <v>724</v>
      </c>
      <c r="I143" s="287" t="s">
        <v>725</v>
      </c>
      <c r="J143" s="287" t="s">
        <v>115</v>
      </c>
      <c r="K143" s="287" t="s">
        <v>114</v>
      </c>
      <c r="L143" s="387">
        <v>2</v>
      </c>
      <c r="M143" s="362"/>
      <c r="N143" s="291"/>
      <c r="O143" s="291"/>
      <c r="P143" s="291"/>
      <c r="Q143" s="291"/>
      <c r="R143" s="291"/>
      <c r="S143" s="291"/>
      <c r="T143" s="291"/>
      <c r="U143" s="291"/>
      <c r="V143" s="291"/>
      <c r="W143" s="291"/>
      <c r="X143" s="291"/>
      <c r="Y143" s="291"/>
      <c r="Z143" s="177">
        <f>SUM(N143:Y143)*L143</f>
        <v>0</v>
      </c>
      <c r="AA143" s="8">
        <f>SUM(N143:Y143)</f>
        <v>0</v>
      </c>
      <c r="AD143" s="8">
        <v>0</v>
      </c>
      <c r="AE143" s="17">
        <v>0</v>
      </c>
    </row>
    <row r="144" spans="3:31" ht="14.4">
      <c r="C144" s="283"/>
      <c r="D144" s="284"/>
      <c r="E144" s="285"/>
      <c r="F144" s="151" t="s">
        <v>624</v>
      </c>
      <c r="G144" s="151" t="s">
        <v>390</v>
      </c>
      <c r="H144" s="284" t="s">
        <v>723</v>
      </c>
      <c r="I144" s="287" t="s">
        <v>305</v>
      </c>
      <c r="J144" s="287" t="s">
        <v>115</v>
      </c>
      <c r="K144" s="287" t="s">
        <v>114</v>
      </c>
      <c r="L144" s="294">
        <v>2</v>
      </c>
      <c r="M144" s="362"/>
      <c r="N144" s="291"/>
      <c r="O144" s="291"/>
      <c r="P144" s="291"/>
      <c r="Q144" s="291"/>
      <c r="R144" s="291"/>
      <c r="S144" s="291"/>
      <c r="T144" s="291"/>
      <c r="U144" s="291"/>
      <c r="V144" s="291"/>
      <c r="W144" s="291"/>
      <c r="X144" s="291"/>
      <c r="Y144" s="291"/>
      <c r="Z144" s="177">
        <f>SUM(N144:Y144)*L144</f>
        <v>0</v>
      </c>
      <c r="AA144" s="8">
        <f>SUM(N144:Y144)</f>
        <v>0</v>
      </c>
      <c r="AD144" s="8">
        <v>0</v>
      </c>
      <c r="AE144" s="17">
        <v>0</v>
      </c>
    </row>
    <row r="145" spans="3:31" ht="15.6" hidden="1">
      <c r="C145" s="314"/>
      <c r="D145" s="174" t="s">
        <v>22</v>
      </c>
      <c r="E145" s="181">
        <f>SUM(N145:Y145)</f>
        <v>0</v>
      </c>
      <c r="F145" s="175" t="s">
        <v>295</v>
      </c>
      <c r="G145" s="183" t="s">
        <v>297</v>
      </c>
      <c r="H145" s="181"/>
      <c r="I145" s="182"/>
      <c r="J145" s="182"/>
      <c r="K145" s="182" t="s">
        <v>360</v>
      </c>
      <c r="L145" s="182"/>
      <c r="M145" s="358"/>
      <c r="N145" s="181">
        <f>SUMIFS('FCST data'!Q:Q,'FCST data'!$D:$D,$F145,'FCST data'!$K:$K,$G145,'FCST data'!$N:$N,'SSD_eMMC_non volatile'!$K145)</f>
        <v>0</v>
      </c>
      <c r="O145" s="181">
        <f>SUMIFS('FCST data'!R:R,'FCST data'!$D:$D,$F145,'FCST data'!$K:$K,$G145,'FCST data'!$N:$N,'SSD_eMMC_non volatile'!$K145)</f>
        <v>0</v>
      </c>
      <c r="P145" s="181">
        <f>SUMIFS('FCST data'!S:S,'FCST data'!$D:$D,$F145,'FCST data'!$K:$K,$G145,'FCST data'!$N:$N,'SSD_eMMC_non volatile'!$K145)</f>
        <v>0</v>
      </c>
      <c r="Q145" s="181">
        <f>SUMIFS('FCST data'!T:T,'FCST data'!$D:$D,$F145,'FCST data'!$K:$K,$G145,'FCST data'!$N:$N,'SSD_eMMC_non volatile'!$K145)</f>
        <v>0</v>
      </c>
      <c r="R145" s="181">
        <f>SUMIFS('FCST data'!U:U,'FCST data'!$D:$D,$F145,'FCST data'!$K:$K,$G145,'FCST data'!$N:$N,'SSD_eMMC_non volatile'!$K145)</f>
        <v>0</v>
      </c>
      <c r="S145" s="181">
        <f>SUMIFS('FCST data'!V:V,'FCST data'!$D:$D,$F145,'FCST data'!$K:$K,$G145,'FCST data'!$N:$N,'SSD_eMMC_non volatile'!$K145)</f>
        <v>0</v>
      </c>
      <c r="T145" s="181">
        <f>SUMIFS('FCST data'!W:W,'FCST data'!$D:$D,$F145,'FCST data'!$K:$K,$G145,'FCST data'!$N:$N,'SSD_eMMC_non volatile'!$K145)</f>
        <v>0</v>
      </c>
      <c r="U145" s="181">
        <f>SUMIFS('FCST data'!X:X,'FCST data'!$D:$D,$F145,'FCST data'!$K:$K,$G145,'FCST data'!$N:$N,'SSD_eMMC_non volatile'!$K145)</f>
        <v>0</v>
      </c>
      <c r="V145" s="181">
        <f>SUMIFS('FCST data'!Y:Y,'FCST data'!$D:$D,$F145,'FCST data'!$K:$K,$G145,'FCST data'!$N:$N,'SSD_eMMC_non volatile'!$K145)</f>
        <v>0</v>
      </c>
      <c r="W145" s="181">
        <f>SUMIFS('FCST data'!Z:Z,'FCST data'!$D:$D,$F145,'FCST data'!$K:$K,$G145,'FCST data'!$N:$N,'SSD_eMMC_non volatile'!$K145)</f>
        <v>0</v>
      </c>
      <c r="X145" s="181">
        <f>SUMIFS('FCST data'!AA:AA,'FCST data'!$D:$D,$F145,'FCST data'!$K:$K,$G145,'FCST data'!$N:$N,'SSD_eMMC_non volatile'!$K145)</f>
        <v>0</v>
      </c>
      <c r="Y145" s="181">
        <f>SUMIFS('FCST data'!AB:AB,'FCST data'!$D:$D,$F145,'FCST data'!$K:$K,$G145,'FCST data'!$N:$N,'SSD_eMMC_non volatile'!$K145)</f>
        <v>0</v>
      </c>
      <c r="Z145" s="148"/>
      <c r="AA145" s="320"/>
      <c r="AB145" s="17">
        <f>E145-SUM(AA146:AA147)</f>
        <v>0</v>
      </c>
      <c r="AD145" s="320"/>
      <c r="AE145" s="17">
        <v>0</v>
      </c>
    </row>
    <row r="146" spans="3:31" ht="14.4" hidden="1">
      <c r="C146" s="283"/>
      <c r="D146" s="284"/>
      <c r="E146" s="285"/>
      <c r="F146" s="151" t="s">
        <v>295</v>
      </c>
      <c r="G146" s="199" t="s">
        <v>297</v>
      </c>
      <c r="H146" s="284" t="s">
        <v>724</v>
      </c>
      <c r="I146" s="287" t="s">
        <v>725</v>
      </c>
      <c r="J146" s="287" t="s">
        <v>115</v>
      </c>
      <c r="K146" s="287" t="s">
        <v>117</v>
      </c>
      <c r="L146" s="386">
        <v>1</v>
      </c>
      <c r="M146" s="362" t="s">
        <v>412</v>
      </c>
      <c r="N146" s="291"/>
      <c r="O146" s="291"/>
      <c r="P146" s="291"/>
      <c r="Q146" s="291"/>
      <c r="R146" s="291"/>
      <c r="S146" s="291"/>
      <c r="T146" s="291"/>
      <c r="U146" s="291"/>
      <c r="V146" s="291"/>
      <c r="W146" s="291"/>
      <c r="X146" s="291"/>
      <c r="Y146" s="291"/>
      <c r="Z146" s="177">
        <f>SUM(N146:Y146)*L146</f>
        <v>0</v>
      </c>
      <c r="AA146" s="8">
        <f>SUM(N146:Y146)</f>
        <v>0</v>
      </c>
      <c r="AD146" s="8">
        <v>1150</v>
      </c>
      <c r="AE146" s="17">
        <v>0</v>
      </c>
    </row>
    <row r="147" spans="3:31" ht="14.4">
      <c r="C147" s="283"/>
      <c r="D147" s="284"/>
      <c r="E147" s="285"/>
      <c r="F147" s="151" t="s">
        <v>295</v>
      </c>
      <c r="G147" s="199" t="s">
        <v>297</v>
      </c>
      <c r="H147" s="284" t="s">
        <v>723</v>
      </c>
      <c r="I147" s="287" t="s">
        <v>305</v>
      </c>
      <c r="J147" s="287" t="s">
        <v>115</v>
      </c>
      <c r="K147" s="287" t="s">
        <v>117</v>
      </c>
      <c r="L147" s="294">
        <v>2</v>
      </c>
      <c r="M147" s="362"/>
      <c r="N147" s="291"/>
      <c r="O147" s="291"/>
      <c r="P147" s="291"/>
      <c r="Q147" s="291"/>
      <c r="R147" s="291"/>
      <c r="S147" s="291"/>
      <c r="T147" s="291"/>
      <c r="U147" s="291"/>
      <c r="V147" s="291"/>
      <c r="W147" s="291"/>
      <c r="X147" s="291"/>
      <c r="Y147" s="291"/>
      <c r="Z147" s="177">
        <f>SUM(N147:Y147)*L147</f>
        <v>0</v>
      </c>
      <c r="AA147" s="8">
        <f>SUM(N147:Y147)</f>
        <v>0</v>
      </c>
      <c r="AD147" s="8">
        <v>0</v>
      </c>
      <c r="AE147" s="17">
        <v>0</v>
      </c>
    </row>
    <row r="148" spans="3:31" ht="15.6" hidden="1">
      <c r="C148" s="314"/>
      <c r="D148" s="174" t="s">
        <v>22</v>
      </c>
      <c r="E148" s="181">
        <f>SUM(N148:Y148)</f>
        <v>0</v>
      </c>
      <c r="F148" s="175" t="s">
        <v>625</v>
      </c>
      <c r="G148" s="183" t="s">
        <v>373</v>
      </c>
      <c r="H148" s="181"/>
      <c r="I148" s="182"/>
      <c r="J148" s="182"/>
      <c r="K148" s="182" t="s">
        <v>360</v>
      </c>
      <c r="L148" s="182"/>
      <c r="M148" s="358"/>
      <c r="N148" s="181">
        <f>SUMIFS('FCST data'!Q:Q,'FCST data'!$D:$D,$F148,'FCST data'!$K:$K,$G148,'FCST data'!$N:$N,'SSD_eMMC_non volatile'!$K148)</f>
        <v>0</v>
      </c>
      <c r="O148" s="181">
        <f>SUMIFS('FCST data'!R:R,'FCST data'!$D:$D,$F148,'FCST data'!$K:$K,$G148,'FCST data'!$N:$N,'SSD_eMMC_non volatile'!$K148)</f>
        <v>0</v>
      </c>
      <c r="P148" s="181">
        <f>SUMIFS('FCST data'!S:S,'FCST data'!$D:$D,$F148,'FCST data'!$K:$K,$G148,'FCST data'!$N:$N,'SSD_eMMC_non volatile'!$K148)</f>
        <v>0</v>
      </c>
      <c r="Q148" s="181">
        <f>SUMIFS('FCST data'!T:T,'FCST data'!$D:$D,$F148,'FCST data'!$K:$K,$G148,'FCST data'!$N:$N,'SSD_eMMC_non volatile'!$K148)</f>
        <v>0</v>
      </c>
      <c r="R148" s="181">
        <f>SUMIFS('FCST data'!U:U,'FCST data'!$D:$D,$F148,'FCST data'!$K:$K,$G148,'FCST data'!$N:$N,'SSD_eMMC_non volatile'!$K148)</f>
        <v>0</v>
      </c>
      <c r="S148" s="181">
        <f>SUMIFS('FCST data'!V:V,'FCST data'!$D:$D,$F148,'FCST data'!$K:$K,$G148,'FCST data'!$N:$N,'SSD_eMMC_non volatile'!$K148)</f>
        <v>0</v>
      </c>
      <c r="T148" s="181">
        <f>SUMIFS('FCST data'!W:W,'FCST data'!$D:$D,$F148,'FCST data'!$K:$K,$G148,'FCST data'!$N:$N,'SSD_eMMC_non volatile'!$K148)</f>
        <v>0</v>
      </c>
      <c r="U148" s="181">
        <f>SUMIFS('FCST data'!X:X,'FCST data'!$D:$D,$F148,'FCST data'!$K:$K,$G148,'FCST data'!$N:$N,'SSD_eMMC_non volatile'!$K148)</f>
        <v>0</v>
      </c>
      <c r="V148" s="181">
        <f>SUMIFS('FCST data'!Y:Y,'FCST data'!$D:$D,$F148,'FCST data'!$K:$K,$G148,'FCST data'!$N:$N,'SSD_eMMC_non volatile'!$K148)</f>
        <v>0</v>
      </c>
      <c r="W148" s="181">
        <f>SUMIFS('FCST data'!Z:Z,'FCST data'!$D:$D,$F148,'FCST data'!$K:$K,$G148,'FCST data'!$N:$N,'SSD_eMMC_non volatile'!$K148)</f>
        <v>0</v>
      </c>
      <c r="X148" s="181">
        <f>SUMIFS('FCST data'!AA:AA,'FCST data'!$D:$D,$F148,'FCST data'!$K:$K,$G148,'FCST data'!$N:$N,'SSD_eMMC_non volatile'!$K148)</f>
        <v>0</v>
      </c>
      <c r="Y148" s="181">
        <f>SUMIFS('FCST data'!AB:AB,'FCST data'!$D:$D,$F148,'FCST data'!$K:$K,$G148,'FCST data'!$N:$N,'SSD_eMMC_non volatile'!$K148)</f>
        <v>0</v>
      </c>
      <c r="Z148" s="148"/>
      <c r="AA148" s="320"/>
      <c r="AB148" s="17">
        <f>E148-SUM(AA149:AA150)</f>
        <v>0</v>
      </c>
      <c r="AD148" s="320"/>
      <c r="AE148" s="17">
        <v>0</v>
      </c>
    </row>
    <row r="149" spans="3:31" ht="14.4" hidden="1">
      <c r="C149" s="283"/>
      <c r="D149" s="284"/>
      <c r="E149" s="285"/>
      <c r="F149" s="151" t="s">
        <v>625</v>
      </c>
      <c r="G149" s="199" t="s">
        <v>373</v>
      </c>
      <c r="H149" s="284" t="s">
        <v>724</v>
      </c>
      <c r="I149" s="287" t="s">
        <v>725</v>
      </c>
      <c r="J149" s="287" t="s">
        <v>115</v>
      </c>
      <c r="K149" s="287" t="s">
        <v>117</v>
      </c>
      <c r="L149" s="386">
        <v>1</v>
      </c>
      <c r="M149" s="362" t="s">
        <v>412</v>
      </c>
      <c r="N149" s="291"/>
      <c r="O149" s="291"/>
      <c r="P149" s="291"/>
      <c r="Q149" s="291"/>
      <c r="R149" s="291"/>
      <c r="S149" s="291"/>
      <c r="T149" s="291"/>
      <c r="U149" s="291"/>
      <c r="V149" s="291"/>
      <c r="W149" s="291"/>
      <c r="X149" s="291"/>
      <c r="Y149" s="291"/>
      <c r="Z149" s="177">
        <f>SUM(N149:Y149)*L149</f>
        <v>0</v>
      </c>
      <c r="AA149" s="8">
        <f>SUM(N149:Y149)</f>
        <v>0</v>
      </c>
      <c r="AD149" s="8">
        <v>200</v>
      </c>
      <c r="AE149" s="17">
        <v>0</v>
      </c>
    </row>
    <row r="150" spans="3:31" ht="14.4">
      <c r="C150" s="283"/>
      <c r="D150" s="284"/>
      <c r="E150" s="285"/>
      <c r="F150" s="151" t="s">
        <v>625</v>
      </c>
      <c r="G150" s="199" t="s">
        <v>373</v>
      </c>
      <c r="H150" s="284" t="s">
        <v>723</v>
      </c>
      <c r="I150" s="287" t="s">
        <v>305</v>
      </c>
      <c r="J150" s="287" t="s">
        <v>115</v>
      </c>
      <c r="K150" s="287" t="s">
        <v>117</v>
      </c>
      <c r="L150" s="294">
        <v>2</v>
      </c>
      <c r="M150" s="362"/>
      <c r="N150" s="291"/>
      <c r="O150" s="291"/>
      <c r="P150" s="291"/>
      <c r="Q150" s="291"/>
      <c r="R150" s="291"/>
      <c r="S150" s="291"/>
      <c r="T150" s="291"/>
      <c r="U150" s="291"/>
      <c r="V150" s="291"/>
      <c r="W150" s="291"/>
      <c r="X150" s="291"/>
      <c r="Y150" s="291"/>
      <c r="Z150" s="177">
        <f>SUM(N150:Y150)*L150</f>
        <v>0</v>
      </c>
      <c r="AA150" s="8">
        <f>SUM(N150:Y150)</f>
        <v>0</v>
      </c>
      <c r="AD150" s="8">
        <v>0</v>
      </c>
      <c r="AE150" s="17">
        <v>0</v>
      </c>
    </row>
    <row r="151" spans="3:31" ht="15.6" hidden="1">
      <c r="C151" s="314"/>
      <c r="D151" s="174" t="s">
        <v>22</v>
      </c>
      <c r="E151" s="181">
        <f>SUM(N151:Y151)</f>
        <v>0</v>
      </c>
      <c r="F151" s="183" t="s">
        <v>296</v>
      </c>
      <c r="G151" s="183" t="s">
        <v>529</v>
      </c>
      <c r="H151" s="181"/>
      <c r="I151" s="182"/>
      <c r="J151" s="182"/>
      <c r="K151" s="182" t="s">
        <v>369</v>
      </c>
      <c r="L151" s="182"/>
      <c r="M151" s="358"/>
      <c r="N151" s="181">
        <f>SUMIFS('FCST data'!Q:Q,'FCST data'!$D:$D,$F151,'FCST data'!$K:$K,$G151,'FCST data'!$N:$N,'SSD_eMMC_non volatile'!$K151)</f>
        <v>0</v>
      </c>
      <c r="O151" s="181">
        <f>SUMIFS('FCST data'!R:R,'FCST data'!$D:$D,$F151,'FCST data'!$K:$K,$G151,'FCST data'!$N:$N,'SSD_eMMC_non volatile'!$K151)</f>
        <v>0</v>
      </c>
      <c r="P151" s="181">
        <f>SUMIFS('FCST data'!S:S,'FCST data'!$D:$D,$F151,'FCST data'!$K:$K,$G151,'FCST data'!$N:$N,'SSD_eMMC_non volatile'!$K151)</f>
        <v>0</v>
      </c>
      <c r="Q151" s="181">
        <f>SUMIFS('FCST data'!T:T,'FCST data'!$D:$D,$F151,'FCST data'!$K:$K,$G151,'FCST data'!$N:$N,'SSD_eMMC_non volatile'!$K151)</f>
        <v>0</v>
      </c>
      <c r="R151" s="181">
        <f>SUMIFS('FCST data'!U:U,'FCST data'!$D:$D,$F151,'FCST data'!$K:$K,$G151,'FCST data'!$N:$N,'SSD_eMMC_non volatile'!$K151)</f>
        <v>0</v>
      </c>
      <c r="S151" s="181">
        <f>SUMIFS('FCST data'!V:V,'FCST data'!$D:$D,$F151,'FCST data'!$K:$K,$G151,'FCST data'!$N:$N,'SSD_eMMC_non volatile'!$K151)</f>
        <v>0</v>
      </c>
      <c r="T151" s="181">
        <f>SUMIFS('FCST data'!W:W,'FCST data'!$D:$D,$F151,'FCST data'!$K:$K,$G151,'FCST data'!$N:$N,'SSD_eMMC_non volatile'!$K151)</f>
        <v>0</v>
      </c>
      <c r="U151" s="181">
        <f>SUMIFS('FCST data'!X:X,'FCST data'!$D:$D,$F151,'FCST data'!$K:$K,$G151,'FCST data'!$N:$N,'SSD_eMMC_non volatile'!$K151)</f>
        <v>0</v>
      </c>
      <c r="V151" s="181">
        <f>SUMIFS('FCST data'!Y:Y,'FCST data'!$D:$D,$F151,'FCST data'!$K:$K,$G151,'FCST data'!$N:$N,'SSD_eMMC_non volatile'!$K151)</f>
        <v>0</v>
      </c>
      <c r="W151" s="181">
        <f>SUMIFS('FCST data'!Z:Z,'FCST data'!$D:$D,$F151,'FCST data'!$K:$K,$G151,'FCST data'!$N:$N,'SSD_eMMC_non volatile'!$K151)</f>
        <v>0</v>
      </c>
      <c r="X151" s="181">
        <f>SUMIFS('FCST data'!AA:AA,'FCST data'!$D:$D,$F151,'FCST data'!$K:$K,$G151,'FCST data'!$N:$N,'SSD_eMMC_non volatile'!$K151)</f>
        <v>0</v>
      </c>
      <c r="Y151" s="181">
        <f>SUMIFS('FCST data'!AB:AB,'FCST data'!$D:$D,$F151,'FCST data'!$K:$K,$G151,'FCST data'!$N:$N,'SSD_eMMC_non volatile'!$K151)</f>
        <v>0</v>
      </c>
      <c r="Z151" s="148"/>
      <c r="AA151" s="320"/>
      <c r="AB151" s="17">
        <f>E151-SUM(AA152:AA153)</f>
        <v>0</v>
      </c>
      <c r="AD151" s="320"/>
      <c r="AE151" s="17">
        <v>0</v>
      </c>
    </row>
    <row r="152" spans="3:31" ht="14.4" hidden="1">
      <c r="C152" s="283"/>
      <c r="D152" s="284"/>
      <c r="E152" s="285"/>
      <c r="F152" s="199" t="s">
        <v>296</v>
      </c>
      <c r="G152" s="199" t="s">
        <v>529</v>
      </c>
      <c r="H152" s="284" t="s">
        <v>724</v>
      </c>
      <c r="I152" s="287" t="s">
        <v>725</v>
      </c>
      <c r="J152" s="284" t="s">
        <v>115</v>
      </c>
      <c r="K152" s="287" t="s">
        <v>118</v>
      </c>
      <c r="L152" s="386">
        <v>1</v>
      </c>
      <c r="M152" s="362" t="s">
        <v>580</v>
      </c>
      <c r="N152" s="291"/>
      <c r="O152" s="291"/>
      <c r="P152" s="291"/>
      <c r="Q152" s="291"/>
      <c r="R152" s="291"/>
      <c r="S152" s="291"/>
      <c r="T152" s="291"/>
      <c r="U152" s="291"/>
      <c r="V152" s="291"/>
      <c r="W152" s="291"/>
      <c r="X152" s="291"/>
      <c r="Y152" s="291"/>
      <c r="Z152" s="177">
        <f>SUM(N152:Y152)*L152</f>
        <v>0</v>
      </c>
      <c r="AA152" s="8">
        <f>SUM(N152:Y152)</f>
        <v>0</v>
      </c>
      <c r="AD152" s="8">
        <v>1300</v>
      </c>
      <c r="AE152" s="17">
        <v>0</v>
      </c>
    </row>
    <row r="153" spans="3:31" ht="14.4">
      <c r="C153" s="283"/>
      <c r="D153" s="284"/>
      <c r="E153" s="285"/>
      <c r="F153" s="199" t="s">
        <v>296</v>
      </c>
      <c r="G153" s="199" t="s">
        <v>529</v>
      </c>
      <c r="H153" s="284" t="s">
        <v>723</v>
      </c>
      <c r="I153" s="287" t="s">
        <v>305</v>
      </c>
      <c r="J153" s="287" t="s">
        <v>115</v>
      </c>
      <c r="K153" s="287" t="s">
        <v>118</v>
      </c>
      <c r="L153" s="294">
        <v>2</v>
      </c>
      <c r="M153" s="362"/>
      <c r="N153" s="291"/>
      <c r="O153" s="291"/>
      <c r="P153" s="291"/>
      <c r="Q153" s="291"/>
      <c r="R153" s="291"/>
      <c r="S153" s="291"/>
      <c r="T153" s="291"/>
      <c r="U153" s="291"/>
      <c r="V153" s="291"/>
      <c r="W153" s="291"/>
      <c r="X153" s="291"/>
      <c r="Y153" s="291"/>
      <c r="Z153" s="177">
        <f>SUM(N153:Y153)*L153</f>
        <v>0</v>
      </c>
      <c r="AA153" s="8">
        <f>SUM(N153:Y153)</f>
        <v>0</v>
      </c>
      <c r="AD153" s="8">
        <v>0</v>
      </c>
      <c r="AE153" s="17">
        <v>0</v>
      </c>
    </row>
    <row r="154" spans="3:31" ht="15.6" hidden="1">
      <c r="C154" s="314"/>
      <c r="D154" s="174" t="s">
        <v>22</v>
      </c>
      <c r="E154" s="181">
        <f>SUM(N154:Y154)</f>
        <v>450</v>
      </c>
      <c r="F154" s="175" t="s">
        <v>447</v>
      </c>
      <c r="G154" s="183" t="s">
        <v>710</v>
      </c>
      <c r="H154" s="181"/>
      <c r="I154" s="182"/>
      <c r="J154" s="182"/>
      <c r="K154" s="182" t="s">
        <v>535</v>
      </c>
      <c r="L154" s="182"/>
      <c r="M154" s="358"/>
      <c r="N154" s="181">
        <f>SUMIFS('FCST data'!Q:Q,'FCST data'!$D:$D,$F154,'FCST data'!$K:$K,$G154,'FCST data'!$N:$N,'SSD_eMMC_non volatile'!$K154)</f>
        <v>50</v>
      </c>
      <c r="O154" s="181">
        <f>SUMIFS('FCST data'!R:R,'FCST data'!$D:$D,$F154,'FCST data'!$K:$K,$G154,'FCST data'!$N:$N,'SSD_eMMC_non volatile'!$K154)</f>
        <v>100</v>
      </c>
      <c r="P154" s="181">
        <f>SUMIFS('FCST data'!S:S,'FCST data'!$D:$D,$F154,'FCST data'!$K:$K,$G154,'FCST data'!$N:$N,'SSD_eMMC_non volatile'!$K154)</f>
        <v>0</v>
      </c>
      <c r="Q154" s="181">
        <f>SUMIFS('FCST data'!T:T,'FCST data'!$D:$D,$F154,'FCST data'!$K:$K,$G154,'FCST data'!$N:$N,'SSD_eMMC_non volatile'!$K154)</f>
        <v>0</v>
      </c>
      <c r="R154" s="513">
        <f>SUMIFS('FCST data'!U:U,'FCST data'!$D:$D,$F154,'FCST data'!$K:$K,$G154,'FCST data'!$N:$N,'SSD_eMMC_non volatile'!$K154)</f>
        <v>150</v>
      </c>
      <c r="S154" s="513">
        <f>SUMIFS('FCST data'!V:V,'FCST data'!$D:$D,$F154,'FCST data'!$K:$K,$G154,'FCST data'!$N:$N,'SSD_eMMC_non volatile'!$K154)</f>
        <v>150</v>
      </c>
      <c r="T154" s="181">
        <f>SUMIFS('FCST data'!W:W,'FCST data'!$D:$D,$F154,'FCST data'!$K:$K,$G154,'FCST data'!$N:$N,'SSD_eMMC_non volatile'!$K154)</f>
        <v>0</v>
      </c>
      <c r="U154" s="181">
        <f>SUMIFS('FCST data'!X:X,'FCST data'!$D:$D,$F154,'FCST data'!$K:$K,$G154,'FCST data'!$N:$N,'SSD_eMMC_non volatile'!$K154)</f>
        <v>0</v>
      </c>
      <c r="V154" s="181">
        <f>SUMIFS('FCST data'!Y:Y,'FCST data'!$D:$D,$F154,'FCST data'!$K:$K,$G154,'FCST data'!$N:$N,'SSD_eMMC_non volatile'!$K154)</f>
        <v>0</v>
      </c>
      <c r="W154" s="181">
        <f>SUMIFS('FCST data'!Z:Z,'FCST data'!$D:$D,$F154,'FCST data'!$K:$K,$G154,'FCST data'!$N:$N,'SSD_eMMC_non volatile'!$K154)</f>
        <v>0</v>
      </c>
      <c r="X154" s="181">
        <f>SUMIFS('FCST data'!AA:AA,'FCST data'!$D:$D,$F154,'FCST data'!$K:$K,$G154,'FCST data'!$N:$N,'SSD_eMMC_non volatile'!$K154)</f>
        <v>0</v>
      </c>
      <c r="Y154" s="181">
        <f>SUMIFS('FCST data'!AB:AB,'FCST data'!$D:$D,$F154,'FCST data'!$K:$K,$G154,'FCST data'!$N:$N,'SSD_eMMC_non volatile'!$K154)</f>
        <v>0</v>
      </c>
      <c r="Z154" s="148"/>
      <c r="AA154" s="320"/>
      <c r="AB154" s="17">
        <f>E154-SUM(AA155:AA156)</f>
        <v>0</v>
      </c>
      <c r="AD154" s="320"/>
      <c r="AE154" s="17">
        <v>0</v>
      </c>
    </row>
    <row r="155" spans="3:31" ht="14.4" hidden="1">
      <c r="C155" s="283"/>
      <c r="D155" s="284"/>
      <c r="E155" s="285"/>
      <c r="F155" s="151" t="s">
        <v>447</v>
      </c>
      <c r="G155" s="199" t="s">
        <v>710</v>
      </c>
      <c r="H155" s="284" t="s">
        <v>724</v>
      </c>
      <c r="I155" s="287" t="s">
        <v>725</v>
      </c>
      <c r="J155" s="287" t="s">
        <v>115</v>
      </c>
      <c r="K155" s="287" t="s">
        <v>114</v>
      </c>
      <c r="L155" s="387">
        <v>2</v>
      </c>
      <c r="M155" s="362"/>
      <c r="N155" s="291">
        <v>50</v>
      </c>
      <c r="O155" s="291">
        <v>100</v>
      </c>
      <c r="P155" s="291">
        <v>0</v>
      </c>
      <c r="Q155" s="291">
        <v>0</v>
      </c>
      <c r="R155" s="291">
        <v>150</v>
      </c>
      <c r="S155" s="291">
        <v>150</v>
      </c>
      <c r="T155" s="291"/>
      <c r="U155" s="291"/>
      <c r="V155" s="291"/>
      <c r="W155" s="291"/>
      <c r="X155" s="291"/>
      <c r="Y155" s="291"/>
      <c r="Z155" s="177">
        <f>SUM(N155:Y155)*L155</f>
        <v>900</v>
      </c>
      <c r="AA155" s="8">
        <f>SUM(N155:Y155)</f>
        <v>450</v>
      </c>
      <c r="AD155" s="8">
        <v>700</v>
      </c>
      <c r="AE155" s="17">
        <v>150</v>
      </c>
    </row>
    <row r="156" spans="3:31" ht="14.4">
      <c r="C156" s="283"/>
      <c r="D156" s="284"/>
      <c r="E156" s="285"/>
      <c r="F156" s="151" t="s">
        <v>447</v>
      </c>
      <c r="G156" s="199" t="s">
        <v>710</v>
      </c>
      <c r="H156" s="284" t="s">
        <v>723</v>
      </c>
      <c r="I156" s="287" t="s">
        <v>305</v>
      </c>
      <c r="J156" s="287" t="s">
        <v>115</v>
      </c>
      <c r="K156" s="287" t="s">
        <v>114</v>
      </c>
      <c r="L156" s="294">
        <v>2</v>
      </c>
      <c r="M156" s="362"/>
      <c r="N156" s="291"/>
      <c r="O156" s="291"/>
      <c r="P156" s="291"/>
      <c r="Q156" s="291"/>
      <c r="R156" s="291"/>
      <c r="S156" s="291"/>
      <c r="T156" s="291"/>
      <c r="U156" s="291"/>
      <c r="V156" s="291"/>
      <c r="W156" s="291"/>
      <c r="X156" s="291"/>
      <c r="Y156" s="291"/>
      <c r="Z156" s="177">
        <f>SUM(N156:Y156)*L156</f>
        <v>0</v>
      </c>
      <c r="AA156" s="8">
        <f>SUM(N156:Y156)</f>
        <v>0</v>
      </c>
      <c r="AD156" s="8">
        <v>0</v>
      </c>
      <c r="AE156" s="17">
        <v>0</v>
      </c>
    </row>
    <row r="157" spans="3:31" ht="15.6" hidden="1">
      <c r="C157" s="314"/>
      <c r="D157" s="174" t="s">
        <v>22</v>
      </c>
      <c r="E157" s="181">
        <f>SUM(N157:Y157)</f>
        <v>0</v>
      </c>
      <c r="F157" s="183" t="s">
        <v>448</v>
      </c>
      <c r="G157" s="183" t="s">
        <v>530</v>
      </c>
      <c r="H157" s="181"/>
      <c r="I157" s="182"/>
      <c r="J157" s="182"/>
      <c r="K157" s="182" t="s">
        <v>369</v>
      </c>
      <c r="L157" s="182"/>
      <c r="M157" s="358"/>
      <c r="N157" s="181">
        <f>SUMIFS('FCST data'!Q:Q,'FCST data'!$D:$D,$F157,'FCST data'!$K:$K,$G157,'FCST data'!$N:$N,'SSD_eMMC_non volatile'!$K157)</f>
        <v>0</v>
      </c>
      <c r="O157" s="181">
        <f>SUMIFS('FCST data'!R:R,'FCST data'!$D:$D,$F157,'FCST data'!$K:$K,$G157,'FCST data'!$N:$N,'SSD_eMMC_non volatile'!$K157)</f>
        <v>0</v>
      </c>
      <c r="P157" s="181">
        <f>SUMIFS('FCST data'!S:S,'FCST data'!$D:$D,$F157,'FCST data'!$K:$K,$G157,'FCST data'!$N:$N,'SSD_eMMC_non volatile'!$K157)</f>
        <v>0</v>
      </c>
      <c r="Q157" s="181">
        <f>SUMIFS('FCST data'!T:T,'FCST data'!$D:$D,$F157,'FCST data'!$K:$K,$G157,'FCST data'!$N:$N,'SSD_eMMC_non volatile'!$K157)</f>
        <v>0</v>
      </c>
      <c r="R157" s="181">
        <f>SUMIFS('FCST data'!U:U,'FCST data'!$D:$D,$F157,'FCST data'!$K:$K,$G157,'FCST data'!$N:$N,'SSD_eMMC_non volatile'!$K157)</f>
        <v>0</v>
      </c>
      <c r="S157" s="181">
        <f>SUMIFS('FCST data'!V:V,'FCST data'!$D:$D,$F157,'FCST data'!$K:$K,$G157,'FCST data'!$N:$N,'SSD_eMMC_non volatile'!$K157)</f>
        <v>0</v>
      </c>
      <c r="T157" s="181">
        <f>SUMIFS('FCST data'!W:W,'FCST data'!$D:$D,$F157,'FCST data'!$K:$K,$G157,'FCST data'!$N:$N,'SSD_eMMC_non volatile'!$K157)</f>
        <v>0</v>
      </c>
      <c r="U157" s="181">
        <f>SUMIFS('FCST data'!X:X,'FCST data'!$D:$D,$F157,'FCST data'!$K:$K,$G157,'FCST data'!$N:$N,'SSD_eMMC_non volatile'!$K157)</f>
        <v>0</v>
      </c>
      <c r="V157" s="181">
        <f>SUMIFS('FCST data'!Y:Y,'FCST data'!$D:$D,$F157,'FCST data'!$K:$K,$G157,'FCST data'!$N:$N,'SSD_eMMC_non volatile'!$K157)</f>
        <v>0</v>
      </c>
      <c r="W157" s="181">
        <f>SUMIFS('FCST data'!Z:Z,'FCST data'!$D:$D,$F157,'FCST data'!$K:$K,$G157,'FCST data'!$N:$N,'SSD_eMMC_non volatile'!$K157)</f>
        <v>0</v>
      </c>
      <c r="X157" s="181">
        <f>SUMIFS('FCST data'!AA:AA,'FCST data'!$D:$D,$F157,'FCST data'!$K:$K,$G157,'FCST data'!$N:$N,'SSD_eMMC_non volatile'!$K157)</f>
        <v>0</v>
      </c>
      <c r="Y157" s="181">
        <f>SUMIFS('FCST data'!AB:AB,'FCST data'!$D:$D,$F157,'FCST data'!$K:$K,$G157,'FCST data'!$N:$N,'SSD_eMMC_non volatile'!$K157)</f>
        <v>0</v>
      </c>
      <c r="Z157" s="289"/>
      <c r="AA157" s="320"/>
      <c r="AB157" s="17">
        <f>E157-SUM(AA158:AA159)</f>
        <v>0</v>
      </c>
      <c r="AD157" s="320"/>
      <c r="AE157" s="17">
        <v>0</v>
      </c>
    </row>
    <row r="158" spans="3:31" ht="14.4" hidden="1">
      <c r="C158" s="283"/>
      <c r="D158" s="284"/>
      <c r="E158" s="285"/>
      <c r="F158" s="199" t="s">
        <v>448</v>
      </c>
      <c r="G158" s="199" t="s">
        <v>530</v>
      </c>
      <c r="H158" s="284" t="s">
        <v>724</v>
      </c>
      <c r="I158" s="287" t="s">
        <v>725</v>
      </c>
      <c r="J158" s="287" t="s">
        <v>115</v>
      </c>
      <c r="K158" s="287" t="s">
        <v>118</v>
      </c>
      <c r="L158" s="386">
        <v>2</v>
      </c>
      <c r="M158" s="362" t="s">
        <v>581</v>
      </c>
      <c r="N158" s="291"/>
      <c r="O158" s="291"/>
      <c r="P158" s="291"/>
      <c r="Q158" s="291"/>
      <c r="R158" s="291"/>
      <c r="S158" s="291"/>
      <c r="T158" s="291"/>
      <c r="U158" s="291"/>
      <c r="V158" s="291"/>
      <c r="W158" s="291"/>
      <c r="X158" s="291"/>
      <c r="Y158" s="291"/>
      <c r="Z158" s="177">
        <f>SUM(N158:Y158)*L158</f>
        <v>0</v>
      </c>
      <c r="AA158" s="8">
        <f>SUM(N158:Y158)</f>
        <v>0</v>
      </c>
      <c r="AD158" s="8">
        <v>200</v>
      </c>
      <c r="AE158" s="17">
        <v>0</v>
      </c>
    </row>
    <row r="159" spans="3:31" ht="14.4">
      <c r="C159" s="283"/>
      <c r="D159" s="284"/>
      <c r="E159" s="285"/>
      <c r="F159" s="199" t="s">
        <v>448</v>
      </c>
      <c r="G159" s="199" t="s">
        <v>530</v>
      </c>
      <c r="H159" s="284" t="s">
        <v>723</v>
      </c>
      <c r="I159" s="287" t="s">
        <v>305</v>
      </c>
      <c r="J159" s="287" t="s">
        <v>115</v>
      </c>
      <c r="K159" s="287" t="s">
        <v>118</v>
      </c>
      <c r="L159" s="294">
        <v>2</v>
      </c>
      <c r="M159" s="362"/>
      <c r="N159" s="291"/>
      <c r="O159" s="291"/>
      <c r="P159" s="291"/>
      <c r="Q159" s="291"/>
      <c r="R159" s="291"/>
      <c r="S159" s="291"/>
      <c r="T159" s="291"/>
      <c r="U159" s="291"/>
      <c r="V159" s="291"/>
      <c r="W159" s="291"/>
      <c r="X159" s="291"/>
      <c r="Y159" s="291"/>
      <c r="Z159" s="177">
        <f>SUM(N159:Y159)*L159</f>
        <v>0</v>
      </c>
      <c r="AA159" s="8">
        <f>SUM(N159:Y159)</f>
        <v>0</v>
      </c>
      <c r="AD159" s="8">
        <v>0</v>
      </c>
      <c r="AE159" s="17">
        <v>0</v>
      </c>
    </row>
    <row r="160" spans="3:31" ht="15.6" hidden="1">
      <c r="C160" s="314"/>
      <c r="D160" s="174" t="s">
        <v>22</v>
      </c>
      <c r="E160" s="181">
        <f>SUM(N160:Y160)</f>
        <v>0</v>
      </c>
      <c r="F160" s="183" t="s">
        <v>448</v>
      </c>
      <c r="G160" s="183" t="s">
        <v>530</v>
      </c>
      <c r="H160" s="181"/>
      <c r="I160" s="182"/>
      <c r="J160" s="182"/>
      <c r="K160" s="182" t="s">
        <v>535</v>
      </c>
      <c r="L160" s="182"/>
      <c r="M160" s="358"/>
      <c r="N160" s="181">
        <f>SUMIFS('FCST data'!Q:Q,'FCST data'!$D:$D,$F160,'FCST data'!$K:$K,$G160,'FCST data'!$N:$N,'SSD_eMMC_non volatile'!$K160)</f>
        <v>0</v>
      </c>
      <c r="O160" s="181">
        <f>SUMIFS('FCST data'!R:R,'FCST data'!$D:$D,$F160,'FCST data'!$K:$K,$G160,'FCST data'!$N:$N,'SSD_eMMC_non volatile'!$K160)</f>
        <v>0</v>
      </c>
      <c r="P160" s="181">
        <f>SUMIFS('FCST data'!S:S,'FCST data'!$D:$D,$F160,'FCST data'!$K:$K,$G160,'FCST data'!$N:$N,'SSD_eMMC_non volatile'!$K160)</f>
        <v>0</v>
      </c>
      <c r="Q160" s="181">
        <f>SUMIFS('FCST data'!T:T,'FCST data'!$D:$D,$F160,'FCST data'!$K:$K,$G160,'FCST data'!$N:$N,'SSD_eMMC_non volatile'!$K160)</f>
        <v>0</v>
      </c>
      <c r="R160" s="181">
        <f>SUMIFS('FCST data'!U:U,'FCST data'!$D:$D,$F160,'FCST data'!$K:$K,$G160,'FCST data'!$N:$N,'SSD_eMMC_non volatile'!$K160)</f>
        <v>0</v>
      </c>
      <c r="S160" s="181">
        <f>SUMIFS('FCST data'!V:V,'FCST data'!$D:$D,$F160,'FCST data'!$K:$K,$G160,'FCST data'!$N:$N,'SSD_eMMC_non volatile'!$K160)</f>
        <v>0</v>
      </c>
      <c r="T160" s="181">
        <f>SUMIFS('FCST data'!W:W,'FCST data'!$D:$D,$F160,'FCST data'!$K:$K,$G160,'FCST data'!$N:$N,'SSD_eMMC_non volatile'!$K160)</f>
        <v>0</v>
      </c>
      <c r="U160" s="181">
        <f>SUMIFS('FCST data'!X:X,'FCST data'!$D:$D,$F160,'FCST data'!$K:$K,$G160,'FCST data'!$N:$N,'SSD_eMMC_non volatile'!$K160)</f>
        <v>0</v>
      </c>
      <c r="V160" s="181">
        <f>SUMIFS('FCST data'!Y:Y,'FCST data'!$D:$D,$F160,'FCST data'!$K:$K,$G160,'FCST data'!$N:$N,'SSD_eMMC_non volatile'!$K160)</f>
        <v>0</v>
      </c>
      <c r="W160" s="181">
        <f>SUMIFS('FCST data'!Z:Z,'FCST data'!$D:$D,$F160,'FCST data'!$K:$K,$G160,'FCST data'!$N:$N,'SSD_eMMC_non volatile'!$K160)</f>
        <v>0</v>
      </c>
      <c r="X160" s="181">
        <f>SUMIFS('FCST data'!AA:AA,'FCST data'!$D:$D,$F160,'FCST data'!$K:$K,$G160,'FCST data'!$N:$N,'SSD_eMMC_non volatile'!$K160)</f>
        <v>0</v>
      </c>
      <c r="Y160" s="181">
        <f>SUMIFS('FCST data'!AB:AB,'FCST data'!$D:$D,$F160,'FCST data'!$K:$K,$G160,'FCST data'!$N:$N,'SSD_eMMC_non volatile'!$K160)</f>
        <v>0</v>
      </c>
      <c r="Z160" s="289"/>
      <c r="AA160" s="320"/>
      <c r="AB160" s="17">
        <f>E160-SUM(AA161:AA162)</f>
        <v>0</v>
      </c>
      <c r="AD160" s="320"/>
      <c r="AE160" s="17">
        <v>0</v>
      </c>
    </row>
    <row r="161" spans="3:31" ht="14.4" hidden="1">
      <c r="C161" s="283"/>
      <c r="D161" s="284"/>
      <c r="E161" s="285"/>
      <c r="F161" s="199" t="s">
        <v>448</v>
      </c>
      <c r="G161" s="199" t="s">
        <v>530</v>
      </c>
      <c r="H161" s="284" t="s">
        <v>724</v>
      </c>
      <c r="I161" s="287" t="s">
        <v>725</v>
      </c>
      <c r="J161" s="287" t="s">
        <v>115</v>
      </c>
      <c r="K161" s="287" t="s">
        <v>114</v>
      </c>
      <c r="L161" s="386">
        <v>2</v>
      </c>
      <c r="M161" s="362" t="s">
        <v>582</v>
      </c>
      <c r="N161" s="291"/>
      <c r="O161" s="291"/>
      <c r="P161" s="291"/>
      <c r="Q161" s="291"/>
      <c r="R161" s="291"/>
      <c r="S161" s="291"/>
      <c r="T161" s="291"/>
      <c r="U161" s="291"/>
      <c r="V161" s="291"/>
      <c r="W161" s="291"/>
      <c r="X161" s="291"/>
      <c r="Y161" s="291"/>
      <c r="Z161" s="177">
        <f>SUM(N161:Y161)*L161</f>
        <v>0</v>
      </c>
      <c r="AA161" s="8">
        <f>SUM(N161:Y161)</f>
        <v>0</v>
      </c>
      <c r="AD161" s="8">
        <v>140</v>
      </c>
      <c r="AE161" s="17">
        <v>0</v>
      </c>
    </row>
    <row r="162" spans="3:31" ht="14.4">
      <c r="C162" s="283"/>
      <c r="D162" s="284"/>
      <c r="E162" s="285"/>
      <c r="F162" s="199" t="s">
        <v>448</v>
      </c>
      <c r="G162" s="199" t="s">
        <v>530</v>
      </c>
      <c r="H162" s="284" t="s">
        <v>723</v>
      </c>
      <c r="I162" s="287" t="s">
        <v>305</v>
      </c>
      <c r="J162" s="287" t="s">
        <v>115</v>
      </c>
      <c r="K162" s="287" t="s">
        <v>114</v>
      </c>
      <c r="L162" s="352">
        <v>2</v>
      </c>
      <c r="M162" s="362"/>
      <c r="N162" s="291"/>
      <c r="O162" s="291"/>
      <c r="P162" s="291"/>
      <c r="Q162" s="291"/>
      <c r="R162" s="291"/>
      <c r="S162" s="291"/>
      <c r="T162" s="291"/>
      <c r="U162" s="291"/>
      <c r="V162" s="291"/>
      <c r="W162" s="291"/>
      <c r="X162" s="291"/>
      <c r="Y162" s="291"/>
      <c r="Z162" s="177">
        <f>SUM(N162:Y162)*L162</f>
        <v>0</v>
      </c>
      <c r="AA162" s="8">
        <f>SUM(N162:Y162)</f>
        <v>0</v>
      </c>
      <c r="AD162" s="8">
        <v>0</v>
      </c>
      <c r="AE162" s="17">
        <v>0</v>
      </c>
    </row>
    <row r="163" spans="3:31" ht="15.6" hidden="1">
      <c r="C163" s="314" t="s">
        <v>770</v>
      </c>
      <c r="D163" s="174" t="s">
        <v>22</v>
      </c>
      <c r="E163" s="181">
        <f>SUM(N163:Y163)</f>
        <v>3900</v>
      </c>
      <c r="F163" s="175" t="s">
        <v>767</v>
      </c>
      <c r="G163" s="175" t="s">
        <v>1063</v>
      </c>
      <c r="H163" s="181"/>
      <c r="I163" s="182"/>
      <c r="J163" s="182"/>
      <c r="K163" s="182" t="s">
        <v>369</v>
      </c>
      <c r="L163" s="182"/>
      <c r="M163" s="358"/>
      <c r="N163" s="181">
        <f>SUMIFS('FCST data'!Q:Q,'FCST data'!$D:$D,$F163,'FCST data'!$K:$K,$G163,'FCST data'!$N:$N,'SSD_eMMC_non volatile'!$K163)</f>
        <v>200</v>
      </c>
      <c r="O163" s="181">
        <f>SUMIFS('FCST data'!R:R,'FCST data'!$D:$D,$F163,'FCST data'!$K:$K,$G163,'FCST data'!$N:$N,'SSD_eMMC_non volatile'!$K163)</f>
        <v>300</v>
      </c>
      <c r="P163" s="181">
        <f>SUMIFS('FCST data'!S:S,'FCST data'!$D:$D,$F163,'FCST data'!$K:$K,$G163,'FCST data'!$N:$N,'SSD_eMMC_non volatile'!$K163)</f>
        <v>500</v>
      </c>
      <c r="Q163" s="181">
        <f>SUMIFS('FCST data'!T:T,'FCST data'!$D:$D,$F163,'FCST data'!$K:$K,$G163,'FCST data'!$N:$N,'SSD_eMMC_non volatile'!$K163)</f>
        <v>600</v>
      </c>
      <c r="R163" s="181">
        <f>SUMIFS('FCST data'!U:U,'FCST data'!$D:$D,$F163,'FCST data'!$K:$K,$G163,'FCST data'!$N:$N,'SSD_eMMC_non volatile'!$K163)</f>
        <v>400</v>
      </c>
      <c r="S163" s="181">
        <f>SUMIFS('FCST data'!V:V,'FCST data'!$D:$D,$F163,'FCST data'!$K:$K,$G163,'FCST data'!$N:$N,'SSD_eMMC_non volatile'!$K163)</f>
        <v>500</v>
      </c>
      <c r="T163" s="181">
        <f>SUMIFS('FCST data'!W:W,'FCST data'!$D:$D,$F163,'FCST data'!$K:$K,$G163,'FCST data'!$N:$N,'SSD_eMMC_non volatile'!$K163)</f>
        <v>400</v>
      </c>
      <c r="U163" s="181">
        <f>SUMIFS('FCST data'!X:X,'FCST data'!$D:$D,$F163,'FCST data'!$K:$K,$G163,'FCST data'!$N:$N,'SSD_eMMC_non volatile'!$K163)</f>
        <v>500</v>
      </c>
      <c r="V163" s="181">
        <f>SUMIFS('FCST data'!Y:Y,'FCST data'!$D:$D,$F163,'FCST data'!$K:$K,$G163,'FCST data'!$N:$N,'SSD_eMMC_non volatile'!$K163)</f>
        <v>500</v>
      </c>
      <c r="W163" s="181">
        <f>SUMIFS('FCST data'!Z:Z,'FCST data'!$D:$D,$F163,'FCST data'!$K:$K,$G163,'FCST data'!$N:$N,'SSD_eMMC_non volatile'!$K163)</f>
        <v>0</v>
      </c>
      <c r="X163" s="181">
        <f>SUMIFS('FCST data'!AA:AA,'FCST data'!$D:$D,$F163,'FCST data'!$K:$K,$G163,'FCST data'!$N:$N,'SSD_eMMC_non volatile'!$K163)</f>
        <v>0</v>
      </c>
      <c r="Y163" s="181">
        <f>SUMIFS('FCST data'!AB:AB,'FCST data'!$D:$D,$F163,'FCST data'!$K:$K,$G163,'FCST data'!$N:$N,'SSD_eMMC_non volatile'!$K163)</f>
        <v>0</v>
      </c>
      <c r="Z163" s="289"/>
      <c r="AA163" s="320"/>
      <c r="AB163" s="17">
        <f>E163-SUM(AA164:AA165)</f>
        <v>0</v>
      </c>
      <c r="AD163" s="320"/>
      <c r="AE163" s="17">
        <v>0</v>
      </c>
    </row>
    <row r="164" spans="3:31" ht="14.4" hidden="1">
      <c r="C164" s="283"/>
      <c r="D164" s="284"/>
      <c r="E164" s="285"/>
      <c r="F164" s="286" t="s">
        <v>767</v>
      </c>
      <c r="G164" s="286" t="s">
        <v>1063</v>
      </c>
      <c r="H164" s="284" t="s">
        <v>724</v>
      </c>
      <c r="I164" s="287" t="s">
        <v>725</v>
      </c>
      <c r="J164" s="287" t="s">
        <v>115</v>
      </c>
      <c r="K164" s="287" t="s">
        <v>118</v>
      </c>
      <c r="L164" s="387">
        <v>2</v>
      </c>
      <c r="M164" s="362"/>
      <c r="N164" s="291">
        <v>200</v>
      </c>
      <c r="O164" s="291">
        <v>300</v>
      </c>
      <c r="P164" s="291">
        <v>500</v>
      </c>
      <c r="Q164" s="291">
        <v>600</v>
      </c>
      <c r="R164" s="291">
        <v>400</v>
      </c>
      <c r="S164" s="291">
        <v>500</v>
      </c>
      <c r="T164" s="291">
        <v>400</v>
      </c>
      <c r="U164" s="291">
        <v>500</v>
      </c>
      <c r="V164" s="291">
        <v>500</v>
      </c>
      <c r="W164" s="291"/>
      <c r="X164" s="291"/>
      <c r="Y164" s="291"/>
      <c r="Z164" s="177">
        <f>SUM(N164:Y164)*L164</f>
        <v>7800</v>
      </c>
      <c r="AA164" s="8">
        <f>SUM(N164:Y164)</f>
        <v>3900</v>
      </c>
      <c r="AD164" s="8">
        <v>200</v>
      </c>
      <c r="AE164" s="17">
        <v>0</v>
      </c>
    </row>
    <row r="165" spans="3:31" ht="14.4">
      <c r="C165" s="283"/>
      <c r="D165" s="284"/>
      <c r="E165" s="285"/>
      <c r="F165" s="286" t="s">
        <v>767</v>
      </c>
      <c r="G165" s="286" t="s">
        <v>1063</v>
      </c>
      <c r="H165" s="284" t="s">
        <v>723</v>
      </c>
      <c r="I165" s="287" t="s">
        <v>305</v>
      </c>
      <c r="J165" s="287" t="s">
        <v>115</v>
      </c>
      <c r="K165" s="287" t="s">
        <v>118</v>
      </c>
      <c r="L165" s="386">
        <v>2</v>
      </c>
      <c r="M165" s="362"/>
      <c r="N165" s="291"/>
      <c r="O165" s="291"/>
      <c r="P165" s="291"/>
      <c r="Q165" s="291"/>
      <c r="R165" s="291"/>
      <c r="S165" s="291"/>
      <c r="T165" s="291"/>
      <c r="U165" s="291"/>
      <c r="V165" s="291"/>
      <c r="W165" s="291"/>
      <c r="X165" s="291"/>
      <c r="Y165" s="291"/>
      <c r="Z165" s="177">
        <f>SUM(N165:Y165)*L165</f>
        <v>0</v>
      </c>
      <c r="AA165" s="8">
        <f>SUM(N165:Y165)</f>
        <v>0</v>
      </c>
      <c r="AD165" s="8">
        <v>0</v>
      </c>
      <c r="AE165" s="17">
        <v>0</v>
      </c>
    </row>
    <row r="166" spans="3:31" ht="15.6" hidden="1">
      <c r="C166" s="314" t="s">
        <v>770</v>
      </c>
      <c r="D166" s="174" t="s">
        <v>22</v>
      </c>
      <c r="E166" s="181">
        <f>SUM(N166:Y166)</f>
        <v>550</v>
      </c>
      <c r="F166" s="175" t="s">
        <v>767</v>
      </c>
      <c r="G166" s="175" t="s">
        <v>1063</v>
      </c>
      <c r="H166" s="181"/>
      <c r="I166" s="182"/>
      <c r="J166" s="182"/>
      <c r="K166" s="182" t="s">
        <v>535</v>
      </c>
      <c r="L166" s="182"/>
      <c r="M166" s="358"/>
      <c r="N166" s="181">
        <f>SUMIFS('FCST data'!Q:Q,'FCST data'!$D:$D,$F166,'FCST data'!$K:$K,$G166,'FCST data'!$N:$N,'SSD_eMMC_non volatile'!$K166)</f>
        <v>50</v>
      </c>
      <c r="O166" s="181">
        <f>SUMIFS('FCST data'!R:R,'FCST data'!$D:$D,$F166,'FCST data'!$K:$K,$G166,'FCST data'!$N:$N,'SSD_eMMC_non volatile'!$K166)</f>
        <v>50</v>
      </c>
      <c r="P166" s="181">
        <f>SUMIFS('FCST data'!S:S,'FCST data'!$D:$D,$F166,'FCST data'!$K:$K,$G166,'FCST data'!$N:$N,'SSD_eMMC_non volatile'!$K166)</f>
        <v>50</v>
      </c>
      <c r="Q166" s="181">
        <f>SUMIFS('FCST data'!T:T,'FCST data'!$D:$D,$F166,'FCST data'!$K:$K,$G166,'FCST data'!$N:$N,'SSD_eMMC_non volatile'!$K166)</f>
        <v>100</v>
      </c>
      <c r="R166" s="181">
        <f>SUMIFS('FCST data'!U:U,'FCST data'!$D:$D,$F166,'FCST data'!$K:$K,$G166,'FCST data'!$N:$N,'SSD_eMMC_non volatile'!$K166)</f>
        <v>50</v>
      </c>
      <c r="S166" s="181">
        <f>SUMIFS('FCST data'!V:V,'FCST data'!$D:$D,$F166,'FCST data'!$K:$K,$G166,'FCST data'!$N:$N,'SSD_eMMC_non volatile'!$K166)</f>
        <v>100</v>
      </c>
      <c r="T166" s="181">
        <f>SUMIFS('FCST data'!W:W,'FCST data'!$D:$D,$F166,'FCST data'!$K:$K,$G166,'FCST data'!$N:$N,'SSD_eMMC_non volatile'!$K166)</f>
        <v>50</v>
      </c>
      <c r="U166" s="181">
        <f>SUMIFS('FCST data'!X:X,'FCST data'!$D:$D,$F166,'FCST data'!$K:$K,$G166,'FCST data'!$N:$N,'SSD_eMMC_non volatile'!$K166)</f>
        <v>50</v>
      </c>
      <c r="V166" s="181">
        <f>SUMIFS('FCST data'!Y:Y,'FCST data'!$D:$D,$F166,'FCST data'!$K:$K,$G166,'FCST data'!$N:$N,'SSD_eMMC_non volatile'!$K166)</f>
        <v>50</v>
      </c>
      <c r="W166" s="181">
        <f>SUMIFS('FCST data'!Z:Z,'FCST data'!$D:$D,$F166,'FCST data'!$K:$K,$G166,'FCST data'!$N:$N,'SSD_eMMC_non volatile'!$K166)</f>
        <v>0</v>
      </c>
      <c r="X166" s="181">
        <f>SUMIFS('FCST data'!AA:AA,'FCST data'!$D:$D,$F166,'FCST data'!$K:$K,$G166,'FCST data'!$N:$N,'SSD_eMMC_non volatile'!$K166)</f>
        <v>0</v>
      </c>
      <c r="Y166" s="181">
        <f>SUMIFS('FCST data'!AB:AB,'FCST data'!$D:$D,$F166,'FCST data'!$K:$K,$G166,'FCST data'!$N:$N,'SSD_eMMC_non volatile'!$K166)</f>
        <v>0</v>
      </c>
      <c r="Z166" s="289"/>
      <c r="AA166" s="320"/>
      <c r="AB166" s="17">
        <f>E166-SUM(AA167:AA168)</f>
        <v>0</v>
      </c>
      <c r="AD166" s="320"/>
      <c r="AE166" s="17">
        <v>0</v>
      </c>
    </row>
    <row r="167" spans="3:31" ht="14.4" hidden="1">
      <c r="C167" s="283"/>
      <c r="D167" s="284"/>
      <c r="E167" s="285"/>
      <c r="F167" s="286" t="s">
        <v>767</v>
      </c>
      <c r="G167" s="286" t="s">
        <v>1063</v>
      </c>
      <c r="H167" s="284" t="s">
        <v>724</v>
      </c>
      <c r="I167" s="287" t="s">
        <v>725</v>
      </c>
      <c r="J167" s="287" t="s">
        <v>115</v>
      </c>
      <c r="K167" s="287" t="s">
        <v>114</v>
      </c>
      <c r="L167" s="387">
        <v>2</v>
      </c>
      <c r="M167" s="362"/>
      <c r="N167" s="291">
        <v>50</v>
      </c>
      <c r="O167" s="291">
        <v>50</v>
      </c>
      <c r="P167" s="291">
        <v>50</v>
      </c>
      <c r="Q167" s="291">
        <v>100</v>
      </c>
      <c r="R167" s="291">
        <v>50</v>
      </c>
      <c r="S167" s="291">
        <v>100</v>
      </c>
      <c r="T167" s="291">
        <v>50</v>
      </c>
      <c r="U167" s="291">
        <v>50</v>
      </c>
      <c r="V167" s="291">
        <v>50</v>
      </c>
      <c r="W167" s="291"/>
      <c r="X167" s="291"/>
      <c r="Y167" s="291"/>
      <c r="Z167" s="177">
        <f>SUM(N167:Y167)*L167</f>
        <v>1100</v>
      </c>
      <c r="AA167" s="8">
        <f>SUM(N167:Y167)</f>
        <v>550</v>
      </c>
      <c r="AD167" s="8">
        <v>50</v>
      </c>
      <c r="AE167" s="17">
        <v>0</v>
      </c>
    </row>
    <row r="168" spans="3:31" ht="14.4">
      <c r="C168" s="283"/>
      <c r="D168" s="284"/>
      <c r="E168" s="285"/>
      <c r="F168" s="286" t="s">
        <v>767</v>
      </c>
      <c r="G168" s="286" t="s">
        <v>1063</v>
      </c>
      <c r="H168" s="284" t="s">
        <v>723</v>
      </c>
      <c r="I168" s="287" t="s">
        <v>305</v>
      </c>
      <c r="J168" s="287" t="s">
        <v>115</v>
      </c>
      <c r="K168" s="287" t="s">
        <v>114</v>
      </c>
      <c r="L168" s="386">
        <v>2</v>
      </c>
      <c r="M168" s="362"/>
      <c r="N168" s="291"/>
      <c r="O168" s="291"/>
      <c r="P168" s="291"/>
      <c r="Q168" s="291"/>
      <c r="R168" s="291"/>
      <c r="S168" s="291"/>
      <c r="T168" s="291"/>
      <c r="U168" s="291"/>
      <c r="V168" s="291"/>
      <c r="W168" s="291"/>
      <c r="X168" s="291"/>
      <c r="Y168" s="291"/>
      <c r="Z168" s="177">
        <f>SUM(N168:Y168)*L168</f>
        <v>0</v>
      </c>
      <c r="AA168" s="8">
        <f>SUM(N168:Y168)</f>
        <v>0</v>
      </c>
      <c r="AD168" s="8">
        <v>0</v>
      </c>
      <c r="AE168" s="17">
        <v>0</v>
      </c>
    </row>
    <row r="169" spans="3:31" ht="15.6" hidden="1">
      <c r="C169" s="314" t="s">
        <v>770</v>
      </c>
      <c r="D169" s="174" t="s">
        <v>22</v>
      </c>
      <c r="E169" s="181">
        <f>SUM(N169:Y169)</f>
        <v>0</v>
      </c>
      <c r="F169" s="175" t="s">
        <v>767</v>
      </c>
      <c r="G169" s="175" t="s">
        <v>782</v>
      </c>
      <c r="H169" s="181"/>
      <c r="I169" s="182"/>
      <c r="J169" s="182"/>
      <c r="K169" s="182" t="s">
        <v>888</v>
      </c>
      <c r="L169" s="182"/>
      <c r="M169" s="358"/>
      <c r="N169" s="181">
        <f>SUMIFS('FCST data'!Q:Q,'FCST data'!$D:$D,$F169,'FCST data'!$K:$K,$G169,'FCST data'!$N:$N,'SSD_eMMC_non volatile'!$K169)</f>
        <v>0</v>
      </c>
      <c r="O169" s="181">
        <f>SUMIFS('FCST data'!R:R,'FCST data'!$D:$D,$F169,'FCST data'!$K:$K,$G169,'FCST data'!$N:$N,'SSD_eMMC_non volatile'!$K169)</f>
        <v>0</v>
      </c>
      <c r="P169" s="181">
        <f>SUMIFS('FCST data'!S:S,'FCST data'!$D:$D,$F169,'FCST data'!$K:$K,$G169,'FCST data'!$N:$N,'SSD_eMMC_non volatile'!$K169)</f>
        <v>0</v>
      </c>
      <c r="Q169" s="181">
        <f>SUMIFS('FCST data'!T:T,'FCST data'!$D:$D,$F169,'FCST data'!$K:$K,$G169,'FCST data'!$N:$N,'SSD_eMMC_non volatile'!$K169)</f>
        <v>0</v>
      </c>
      <c r="R169" s="181">
        <f>SUMIFS('FCST data'!U:U,'FCST data'!$D:$D,$F169,'FCST data'!$K:$K,$G169,'FCST data'!$N:$N,'SSD_eMMC_non volatile'!$K169)</f>
        <v>0</v>
      </c>
      <c r="S169" s="181">
        <f>SUMIFS('FCST data'!V:V,'FCST data'!$D:$D,$F169,'FCST data'!$K:$K,$G169,'FCST data'!$N:$N,'SSD_eMMC_non volatile'!$K169)</f>
        <v>0</v>
      </c>
      <c r="T169" s="181">
        <f>SUMIFS('FCST data'!W:W,'FCST data'!$D:$D,$F169,'FCST data'!$K:$K,$G169,'FCST data'!$N:$N,'SSD_eMMC_non volatile'!$K169)</f>
        <v>0</v>
      </c>
      <c r="U169" s="181">
        <f>SUMIFS('FCST data'!X:X,'FCST data'!$D:$D,$F169,'FCST data'!$K:$K,$G169,'FCST data'!$N:$N,'SSD_eMMC_non volatile'!$K169)</f>
        <v>0</v>
      </c>
      <c r="V169" s="181">
        <f>SUMIFS('FCST data'!Y:Y,'FCST data'!$D:$D,$F169,'FCST data'!$K:$K,$G169,'FCST data'!$N:$N,'SSD_eMMC_non volatile'!$K169)</f>
        <v>0</v>
      </c>
      <c r="W169" s="181">
        <f>SUMIFS('FCST data'!Z:Z,'FCST data'!$D:$D,$F169,'FCST data'!$K:$K,$G169,'FCST data'!$N:$N,'SSD_eMMC_non volatile'!$K169)</f>
        <v>0</v>
      </c>
      <c r="X169" s="181">
        <f>SUMIFS('FCST data'!AA:AA,'FCST data'!$D:$D,$F169,'FCST data'!$K:$K,$G169,'FCST data'!$N:$N,'SSD_eMMC_non volatile'!$K169)</f>
        <v>0</v>
      </c>
      <c r="Y169" s="181">
        <f>SUMIFS('FCST data'!AB:AB,'FCST data'!$D:$D,$F169,'FCST data'!$K:$K,$G169,'FCST data'!$N:$N,'SSD_eMMC_non volatile'!$K169)</f>
        <v>0</v>
      </c>
      <c r="Z169" s="289"/>
      <c r="AA169" s="320"/>
      <c r="AB169" s="17">
        <f>E169-SUM(AA170:AA171)</f>
        <v>0</v>
      </c>
      <c r="AD169" s="320"/>
      <c r="AE169" s="17">
        <v>0</v>
      </c>
    </row>
    <row r="170" spans="3:31" ht="14.4" hidden="1">
      <c r="C170" s="283"/>
      <c r="D170" s="284"/>
      <c r="E170" s="285"/>
      <c r="F170" s="286" t="s">
        <v>767</v>
      </c>
      <c r="G170" s="286" t="s">
        <v>782</v>
      </c>
      <c r="H170" s="284" t="s">
        <v>724</v>
      </c>
      <c r="I170" s="287" t="s">
        <v>725</v>
      </c>
      <c r="J170" s="287" t="s">
        <v>115</v>
      </c>
      <c r="K170" s="287" t="s">
        <v>889</v>
      </c>
      <c r="L170" s="387">
        <v>2</v>
      </c>
      <c r="M170" s="362"/>
      <c r="N170" s="291">
        <v>0</v>
      </c>
      <c r="O170" s="291">
        <v>0</v>
      </c>
      <c r="P170" s="291">
        <v>0</v>
      </c>
      <c r="Q170" s="291"/>
      <c r="R170" s="291">
        <v>0</v>
      </c>
      <c r="S170" s="291">
        <v>0</v>
      </c>
      <c r="T170" s="291"/>
      <c r="U170" s="291"/>
      <c r="V170" s="291"/>
      <c r="W170" s="291"/>
      <c r="X170" s="291"/>
      <c r="Y170" s="291"/>
      <c r="Z170" s="177">
        <f>SUM(N170:Y170)*L170</f>
        <v>0</v>
      </c>
      <c r="AA170" s="8">
        <f>SUM(N170:Y170)</f>
        <v>0</v>
      </c>
      <c r="AD170" s="8">
        <v>50</v>
      </c>
      <c r="AE170" s="17">
        <v>0</v>
      </c>
    </row>
    <row r="171" spans="3:31" ht="14.4">
      <c r="C171" s="283"/>
      <c r="D171" s="284"/>
      <c r="E171" s="285"/>
      <c r="F171" s="286" t="s">
        <v>767</v>
      </c>
      <c r="G171" s="286" t="s">
        <v>782</v>
      </c>
      <c r="H171" s="284" t="s">
        <v>723</v>
      </c>
      <c r="I171" s="287" t="s">
        <v>305</v>
      </c>
      <c r="J171" s="287" t="s">
        <v>115</v>
      </c>
      <c r="K171" s="287" t="s">
        <v>889</v>
      </c>
      <c r="L171" s="386">
        <v>2</v>
      </c>
      <c r="M171" s="362"/>
      <c r="N171" s="291"/>
      <c r="O171" s="291"/>
      <c r="P171" s="291"/>
      <c r="Q171" s="291"/>
      <c r="R171" s="291"/>
      <c r="S171" s="291"/>
      <c r="T171" s="291"/>
      <c r="U171" s="291"/>
      <c r="V171" s="291"/>
      <c r="W171" s="291"/>
      <c r="X171" s="291"/>
      <c r="Y171" s="291"/>
      <c r="Z171" s="177">
        <f>SUM(N171:Y171)*L171</f>
        <v>0</v>
      </c>
      <c r="AA171" s="8">
        <f>SUM(N171:Y171)</f>
        <v>0</v>
      </c>
      <c r="AD171" s="8">
        <v>0</v>
      </c>
      <c r="AE171" s="17">
        <v>0</v>
      </c>
    </row>
    <row r="172" spans="3:31" ht="15.6" hidden="1">
      <c r="C172" s="314" t="s">
        <v>770</v>
      </c>
      <c r="D172" s="174" t="s">
        <v>22</v>
      </c>
      <c r="E172" s="181">
        <f>SUM(N172:Y172)</f>
        <v>300</v>
      </c>
      <c r="F172" s="175" t="s">
        <v>775</v>
      </c>
      <c r="G172" s="175" t="s">
        <v>783</v>
      </c>
      <c r="H172" s="181"/>
      <c r="I172" s="182"/>
      <c r="J172" s="182"/>
      <c r="K172" s="182" t="s">
        <v>369</v>
      </c>
      <c r="L172" s="182"/>
      <c r="M172" s="358"/>
      <c r="N172" s="181">
        <f>SUMIFS('FCST data'!Q:Q,'FCST data'!$D:$D,$F172,'FCST data'!$K:$K,$G172,'FCST data'!$N:$N,'SSD_eMMC_non volatile'!$K172)</f>
        <v>0</v>
      </c>
      <c r="O172" s="181">
        <f>SUMIFS('FCST data'!R:R,'FCST data'!$D:$D,$F172,'FCST data'!$K:$K,$G172,'FCST data'!$N:$N,'SSD_eMMC_non volatile'!$K172)</f>
        <v>200</v>
      </c>
      <c r="P172" s="181">
        <f>SUMIFS('FCST data'!S:S,'FCST data'!$D:$D,$F172,'FCST data'!$K:$K,$G172,'FCST data'!$N:$N,'SSD_eMMC_non volatile'!$K172)</f>
        <v>0</v>
      </c>
      <c r="Q172" s="181">
        <f>SUMIFS('FCST data'!T:T,'FCST data'!$D:$D,$F172,'FCST data'!$K:$K,$G172,'FCST data'!$N:$N,'SSD_eMMC_non volatile'!$K172)</f>
        <v>100</v>
      </c>
      <c r="R172" s="181">
        <f>SUMIFS('FCST data'!U:U,'FCST data'!$D:$D,$F172,'FCST data'!$K:$K,$G172,'FCST data'!$N:$N,'SSD_eMMC_non volatile'!$K172)</f>
        <v>0</v>
      </c>
      <c r="S172" s="181">
        <f>SUMIFS('FCST data'!V:V,'FCST data'!$D:$D,$F172,'FCST data'!$K:$K,$G172,'FCST data'!$N:$N,'SSD_eMMC_non volatile'!$K172)</f>
        <v>0</v>
      </c>
      <c r="T172" s="181">
        <f>SUMIFS('FCST data'!W:W,'FCST data'!$D:$D,$F172,'FCST data'!$K:$K,$G172,'FCST data'!$N:$N,'SSD_eMMC_non volatile'!$K172)</f>
        <v>0</v>
      </c>
      <c r="U172" s="181">
        <f>SUMIFS('FCST data'!X:X,'FCST data'!$D:$D,$F172,'FCST data'!$K:$K,$G172,'FCST data'!$N:$N,'SSD_eMMC_non volatile'!$K172)</f>
        <v>0</v>
      </c>
      <c r="V172" s="181">
        <f>SUMIFS('FCST data'!Y:Y,'FCST data'!$D:$D,$F172,'FCST data'!$K:$K,$G172,'FCST data'!$N:$N,'SSD_eMMC_non volatile'!$K172)</f>
        <v>0</v>
      </c>
      <c r="W172" s="181">
        <f>SUMIFS('FCST data'!Z:Z,'FCST data'!$D:$D,$F172,'FCST data'!$K:$K,$G172,'FCST data'!$N:$N,'SSD_eMMC_non volatile'!$K172)</f>
        <v>0</v>
      </c>
      <c r="X172" s="181">
        <f>SUMIFS('FCST data'!AA:AA,'FCST data'!$D:$D,$F172,'FCST data'!$K:$K,$G172,'FCST data'!$N:$N,'SSD_eMMC_non volatile'!$K172)</f>
        <v>0</v>
      </c>
      <c r="Y172" s="181">
        <f>SUMIFS('FCST data'!AB:AB,'FCST data'!$D:$D,$F172,'FCST data'!$K:$K,$G172,'FCST data'!$N:$N,'SSD_eMMC_non volatile'!$K172)</f>
        <v>0</v>
      </c>
      <c r="Z172" s="289"/>
      <c r="AA172" s="320"/>
      <c r="AB172" s="17">
        <f>E172-SUM(AA173:AA174)</f>
        <v>0</v>
      </c>
      <c r="AD172" s="320"/>
      <c r="AE172" s="17">
        <v>0</v>
      </c>
    </row>
    <row r="173" spans="3:31" ht="14.4" hidden="1">
      <c r="C173" s="283"/>
      <c r="D173" s="284"/>
      <c r="E173" s="285"/>
      <c r="F173" s="286" t="s">
        <v>775</v>
      </c>
      <c r="G173" s="286" t="s">
        <v>783</v>
      </c>
      <c r="H173" s="284" t="s">
        <v>724</v>
      </c>
      <c r="I173" s="287" t="s">
        <v>725</v>
      </c>
      <c r="J173" s="287" t="s">
        <v>115</v>
      </c>
      <c r="K173" s="287" t="s">
        <v>118</v>
      </c>
      <c r="L173" s="387">
        <v>2</v>
      </c>
      <c r="M173" s="362"/>
      <c r="N173" s="291">
        <v>0</v>
      </c>
      <c r="O173" s="291">
        <v>200</v>
      </c>
      <c r="P173" s="291">
        <v>0</v>
      </c>
      <c r="Q173" s="291">
        <v>100</v>
      </c>
      <c r="R173" s="291"/>
      <c r="S173" s="291"/>
      <c r="T173" s="291"/>
      <c r="U173" s="291"/>
      <c r="V173" s="291"/>
      <c r="W173" s="291"/>
      <c r="X173" s="291"/>
      <c r="Y173" s="291"/>
      <c r="Z173" s="177">
        <f>SUM(N173:Y173)*L173</f>
        <v>600</v>
      </c>
      <c r="AA173" s="8">
        <f>SUM(N173:Y173)</f>
        <v>300</v>
      </c>
      <c r="AD173" s="8">
        <v>0</v>
      </c>
      <c r="AE173" s="17">
        <v>0</v>
      </c>
    </row>
    <row r="174" spans="3:31" ht="14.4">
      <c r="C174" s="283"/>
      <c r="D174" s="284"/>
      <c r="E174" s="285"/>
      <c r="F174" s="286" t="s">
        <v>775</v>
      </c>
      <c r="G174" s="286" t="s">
        <v>783</v>
      </c>
      <c r="H174" s="284" t="s">
        <v>723</v>
      </c>
      <c r="I174" s="287" t="s">
        <v>305</v>
      </c>
      <c r="J174" s="287" t="s">
        <v>115</v>
      </c>
      <c r="K174" s="287" t="s">
        <v>118</v>
      </c>
      <c r="L174" s="386">
        <v>2</v>
      </c>
      <c r="M174" s="362"/>
      <c r="N174" s="291"/>
      <c r="O174" s="291"/>
      <c r="P174" s="291"/>
      <c r="Q174" s="291"/>
      <c r="R174" s="291"/>
      <c r="S174" s="291"/>
      <c r="T174" s="291"/>
      <c r="U174" s="291"/>
      <c r="V174" s="291"/>
      <c r="W174" s="291"/>
      <c r="X174" s="291"/>
      <c r="Y174" s="291"/>
      <c r="Z174" s="177">
        <f>SUM(N174:Y174)*L174</f>
        <v>0</v>
      </c>
      <c r="AA174" s="8">
        <f>SUM(N174:Y174)</f>
        <v>0</v>
      </c>
      <c r="AD174" s="8">
        <v>0</v>
      </c>
      <c r="AE174" s="17">
        <v>0</v>
      </c>
    </row>
    <row r="175" spans="3:31" ht="15.6" hidden="1">
      <c r="C175" s="314" t="s">
        <v>770</v>
      </c>
      <c r="D175" s="174" t="s">
        <v>22</v>
      </c>
      <c r="E175" s="181">
        <f>SUM(N175:Y175)</f>
        <v>300</v>
      </c>
      <c r="F175" s="175" t="s">
        <v>766</v>
      </c>
      <c r="G175" s="175" t="s">
        <v>1064</v>
      </c>
      <c r="H175" s="181"/>
      <c r="I175" s="182"/>
      <c r="J175" s="182"/>
      <c r="K175" s="182" t="s">
        <v>369</v>
      </c>
      <c r="L175" s="182"/>
      <c r="M175" s="358"/>
      <c r="N175" s="181">
        <f>SUMIFS('FCST data'!Q:Q,'FCST data'!$D:$D,$F175,'FCST data'!$K:$K,$G175,'FCST data'!$N:$N,'SSD_eMMC_non volatile'!$K175)</f>
        <v>0</v>
      </c>
      <c r="O175" s="181">
        <f>SUMIFS('FCST data'!R:R,'FCST data'!$D:$D,$F175,'FCST data'!$K:$K,$G175,'FCST data'!$N:$N,'SSD_eMMC_non volatile'!$K175)</f>
        <v>200</v>
      </c>
      <c r="P175" s="181">
        <f>SUMIFS('FCST data'!S:S,'FCST data'!$D:$D,$F175,'FCST data'!$K:$K,$G175,'FCST data'!$N:$N,'SSD_eMMC_non volatile'!$K175)</f>
        <v>0</v>
      </c>
      <c r="Q175" s="181">
        <f>SUMIFS('FCST data'!T:T,'FCST data'!$D:$D,$F175,'FCST data'!$K:$K,$G175,'FCST data'!$N:$N,'SSD_eMMC_non volatile'!$K175)</f>
        <v>100</v>
      </c>
      <c r="R175" s="181">
        <f>SUMIFS('FCST data'!U:U,'FCST data'!$D:$D,$F175,'FCST data'!$K:$K,$G175,'FCST data'!$N:$N,'SSD_eMMC_non volatile'!$K175)</f>
        <v>0</v>
      </c>
      <c r="S175" s="181">
        <f>SUMIFS('FCST data'!V:V,'FCST data'!$D:$D,$F175,'FCST data'!$K:$K,$G175,'FCST data'!$N:$N,'SSD_eMMC_non volatile'!$K175)</f>
        <v>0</v>
      </c>
      <c r="T175" s="181">
        <f>SUMIFS('FCST data'!W:W,'FCST data'!$D:$D,$F175,'FCST data'!$K:$K,$G175,'FCST data'!$N:$N,'SSD_eMMC_non volatile'!$K175)</f>
        <v>0</v>
      </c>
      <c r="U175" s="181">
        <f>SUMIFS('FCST data'!X:X,'FCST data'!$D:$D,$F175,'FCST data'!$K:$K,$G175,'FCST data'!$N:$N,'SSD_eMMC_non volatile'!$K175)</f>
        <v>0</v>
      </c>
      <c r="V175" s="181">
        <f>SUMIFS('FCST data'!Y:Y,'FCST data'!$D:$D,$F175,'FCST data'!$K:$K,$G175,'FCST data'!$N:$N,'SSD_eMMC_non volatile'!$K175)</f>
        <v>0</v>
      </c>
      <c r="W175" s="181">
        <f>SUMIFS('FCST data'!Z:Z,'FCST data'!$D:$D,$F175,'FCST data'!$K:$K,$G175,'FCST data'!$N:$N,'SSD_eMMC_non volatile'!$K175)</f>
        <v>0</v>
      </c>
      <c r="X175" s="181">
        <f>SUMIFS('FCST data'!AA:AA,'FCST data'!$D:$D,$F175,'FCST data'!$K:$K,$G175,'FCST data'!$N:$N,'SSD_eMMC_non volatile'!$K175)</f>
        <v>0</v>
      </c>
      <c r="Y175" s="181">
        <f>SUMIFS('FCST data'!AB:AB,'FCST data'!$D:$D,$F175,'FCST data'!$K:$K,$G175,'FCST data'!$N:$N,'SSD_eMMC_non volatile'!$K175)</f>
        <v>0</v>
      </c>
      <c r="Z175" s="289"/>
      <c r="AA175" s="320"/>
      <c r="AB175" s="17">
        <f>E175-SUM(AA176:AA177)</f>
        <v>0</v>
      </c>
      <c r="AD175" s="320"/>
      <c r="AE175" s="17">
        <v>0</v>
      </c>
    </row>
    <row r="176" spans="3:31" ht="14.4" hidden="1">
      <c r="C176" s="283"/>
      <c r="D176" s="284"/>
      <c r="E176" s="285"/>
      <c r="F176" s="286" t="s">
        <v>766</v>
      </c>
      <c r="G176" s="286" t="s">
        <v>1064</v>
      </c>
      <c r="H176" s="284" t="s">
        <v>724</v>
      </c>
      <c r="I176" s="287" t="s">
        <v>725</v>
      </c>
      <c r="J176" s="287" t="s">
        <v>115</v>
      </c>
      <c r="K176" s="287" t="s">
        <v>118</v>
      </c>
      <c r="L176" s="387">
        <v>2</v>
      </c>
      <c r="M176" s="362"/>
      <c r="N176" s="291">
        <v>0</v>
      </c>
      <c r="O176" s="291">
        <v>200</v>
      </c>
      <c r="P176" s="291">
        <v>0</v>
      </c>
      <c r="Q176" s="291">
        <v>100</v>
      </c>
      <c r="R176" s="291"/>
      <c r="S176" s="291"/>
      <c r="T176" s="291"/>
      <c r="U176" s="291"/>
      <c r="V176" s="291"/>
      <c r="W176" s="291"/>
      <c r="X176" s="291"/>
      <c r="Y176" s="291"/>
      <c r="Z176" s="177">
        <f>SUM(N176:Y176)*L176</f>
        <v>600</v>
      </c>
      <c r="AA176" s="8">
        <f>SUM(N176:Y176)</f>
        <v>300</v>
      </c>
      <c r="AD176" s="8">
        <v>0</v>
      </c>
      <c r="AE176" s="17">
        <v>0</v>
      </c>
    </row>
    <row r="177" spans="3:31" ht="14.4">
      <c r="C177" s="283"/>
      <c r="D177" s="284"/>
      <c r="E177" s="285"/>
      <c r="F177" s="286" t="s">
        <v>766</v>
      </c>
      <c r="G177" s="286" t="s">
        <v>1064</v>
      </c>
      <c r="H177" s="284" t="s">
        <v>723</v>
      </c>
      <c r="I177" s="287" t="s">
        <v>305</v>
      </c>
      <c r="J177" s="287" t="s">
        <v>115</v>
      </c>
      <c r="K177" s="287" t="s">
        <v>118</v>
      </c>
      <c r="L177" s="386">
        <v>2</v>
      </c>
      <c r="M177" s="362"/>
      <c r="N177" s="291"/>
      <c r="O177" s="291"/>
      <c r="P177" s="291"/>
      <c r="Q177" s="291"/>
      <c r="R177" s="291"/>
      <c r="S177" s="291"/>
      <c r="T177" s="291"/>
      <c r="U177" s="291"/>
      <c r="V177" s="291"/>
      <c r="W177" s="291"/>
      <c r="X177" s="291"/>
      <c r="Y177" s="291"/>
      <c r="Z177" s="177">
        <f>SUM(N177:Y177)*L177</f>
        <v>0</v>
      </c>
      <c r="AA177" s="8">
        <f>SUM(N177:Y177)</f>
        <v>0</v>
      </c>
      <c r="AD177" s="8">
        <v>0</v>
      </c>
      <c r="AE177" s="17">
        <v>0</v>
      </c>
    </row>
    <row r="178" spans="3:31" ht="14.25" hidden="1" customHeight="1">
      <c r="C178" s="314" t="s">
        <v>770</v>
      </c>
      <c r="D178" s="174" t="s">
        <v>22</v>
      </c>
      <c r="E178" s="181">
        <f>SUM(N178:Y178)</f>
        <v>4800</v>
      </c>
      <c r="F178" s="183" t="s">
        <v>875</v>
      </c>
      <c r="G178" s="183" t="s">
        <v>365</v>
      </c>
      <c r="H178" s="181"/>
      <c r="I178" s="182"/>
      <c r="J178" s="182"/>
      <c r="K178" s="182" t="s">
        <v>890</v>
      </c>
      <c r="L178" s="182"/>
      <c r="M178" s="363"/>
      <c r="N178" s="181">
        <f>SUMIFS('FCST data'!Q:Q,'FCST data'!$D:$D,$F178,'FCST data'!$K:$K,$G178,'FCST data'!$N:$N,'SSD_eMMC_non volatile'!$K178)</f>
        <v>0</v>
      </c>
      <c r="O178" s="181">
        <f>SUMIFS('FCST data'!R:R,'FCST data'!$D:$D,$F178,'FCST data'!$K:$K,$G178,'FCST data'!$N:$N,'SSD_eMMC_non volatile'!$K178)</f>
        <v>0</v>
      </c>
      <c r="P178" s="181">
        <f>SUMIFS('FCST data'!S:S,'FCST data'!$D:$D,$F178,'FCST data'!$K:$K,$G178,'FCST data'!$N:$N,'SSD_eMMC_non volatile'!$K178)</f>
        <v>0</v>
      </c>
      <c r="Q178" s="181">
        <f>SUMIFS('FCST data'!T:T,'FCST data'!$D:$D,$F178,'FCST data'!$K:$K,$G178,'FCST data'!$N:$N,'SSD_eMMC_non volatile'!$K178)</f>
        <v>500</v>
      </c>
      <c r="R178" s="181">
        <f>SUMIFS('FCST data'!U:U,'FCST data'!$D:$D,$F178,'FCST data'!$K:$K,$G178,'FCST data'!$N:$N,'SSD_eMMC_non volatile'!$K178)</f>
        <v>600</v>
      </c>
      <c r="S178" s="181">
        <f>SUMIFS('FCST data'!V:V,'FCST data'!$D:$D,$F178,'FCST data'!$K:$K,$G178,'FCST data'!$N:$N,'SSD_eMMC_non volatile'!$K178)</f>
        <v>700</v>
      </c>
      <c r="T178" s="181">
        <f>SUMIFS('FCST data'!W:W,'FCST data'!$D:$D,$F178,'FCST data'!$K:$K,$G178,'FCST data'!$N:$N,'SSD_eMMC_non volatile'!$K178)</f>
        <v>1000</v>
      </c>
      <c r="U178" s="181">
        <f>SUMIFS('FCST data'!X:X,'FCST data'!$D:$D,$F178,'FCST data'!$K:$K,$G178,'FCST data'!$N:$N,'SSD_eMMC_non volatile'!$K178)</f>
        <v>1000</v>
      </c>
      <c r="V178" s="181">
        <f>SUMIFS('FCST data'!Y:Y,'FCST data'!$D:$D,$F178,'FCST data'!$K:$K,$G178,'FCST data'!$N:$N,'SSD_eMMC_non volatile'!$K178)</f>
        <v>1000</v>
      </c>
      <c r="W178" s="181">
        <f>SUMIFS('FCST data'!Z:Z,'FCST data'!$D:$D,$F178,'FCST data'!$K:$K,$G178,'FCST data'!$N:$N,'SSD_eMMC_non volatile'!$K178)</f>
        <v>0</v>
      </c>
      <c r="X178" s="181">
        <f>SUMIFS('FCST data'!AA:AA,'FCST data'!$D:$D,$F178,'FCST data'!$K:$K,$G178,'FCST data'!$N:$N,'SSD_eMMC_non volatile'!$K178)</f>
        <v>0</v>
      </c>
      <c r="Y178" s="181">
        <f>SUMIFS('FCST data'!AB:AB,'FCST data'!$D:$D,$F178,'FCST data'!$K:$K,$G178,'FCST data'!$N:$N,'SSD_eMMC_non volatile'!$K178)</f>
        <v>0</v>
      </c>
      <c r="Z178" s="148"/>
      <c r="AA178" s="320"/>
      <c r="AB178" s="17">
        <f>E178-SUM(AA179:AA180)</f>
        <v>0</v>
      </c>
      <c r="AD178" s="320"/>
      <c r="AE178" s="17">
        <v>0</v>
      </c>
    </row>
    <row r="179" spans="3:31" ht="14.4" hidden="1">
      <c r="C179" s="283"/>
      <c r="D179" s="284"/>
      <c r="E179" s="147"/>
      <c r="F179" s="199" t="s">
        <v>875</v>
      </c>
      <c r="G179" s="199" t="s">
        <v>365</v>
      </c>
      <c r="H179" s="284" t="s">
        <v>724</v>
      </c>
      <c r="I179" s="287" t="s">
        <v>725</v>
      </c>
      <c r="J179" s="284" t="s">
        <v>115</v>
      </c>
      <c r="K179" s="287" t="s">
        <v>269</v>
      </c>
      <c r="L179" s="322">
        <v>1</v>
      </c>
      <c r="M179" s="362" t="s">
        <v>885</v>
      </c>
      <c r="N179" s="291"/>
      <c r="O179" s="291"/>
      <c r="P179" s="291"/>
      <c r="Q179" s="291">
        <v>500</v>
      </c>
      <c r="R179" s="291">
        <v>600</v>
      </c>
      <c r="S179" s="291">
        <v>700</v>
      </c>
      <c r="T179" s="291">
        <v>1000</v>
      </c>
      <c r="U179" s="291">
        <v>1000</v>
      </c>
      <c r="V179" s="291">
        <v>1000</v>
      </c>
      <c r="W179" s="291"/>
      <c r="X179" s="291"/>
      <c r="Y179" s="291"/>
      <c r="Z179" s="177">
        <f>SUM(N179:Y179)*L179</f>
        <v>4800</v>
      </c>
      <c r="AA179" s="8">
        <f>SUM(N179:Y179)</f>
        <v>4800</v>
      </c>
      <c r="AD179" s="8">
        <v>0</v>
      </c>
      <c r="AE179" s="17">
        <v>0</v>
      </c>
    </row>
    <row r="180" spans="3:31" ht="14.4">
      <c r="C180" s="283"/>
      <c r="D180" s="284"/>
      <c r="E180" s="147"/>
      <c r="F180" s="199" t="s">
        <v>875</v>
      </c>
      <c r="G180" s="199" t="s">
        <v>365</v>
      </c>
      <c r="H180" s="284" t="s">
        <v>723</v>
      </c>
      <c r="I180" s="284" t="s">
        <v>305</v>
      </c>
      <c r="J180" s="284" t="s">
        <v>115</v>
      </c>
      <c r="K180" s="287" t="s">
        <v>269</v>
      </c>
      <c r="L180" s="294">
        <v>2</v>
      </c>
      <c r="M180" s="362"/>
      <c r="N180" s="291"/>
      <c r="O180" s="291"/>
      <c r="P180" s="291"/>
      <c r="Q180" s="291"/>
      <c r="R180" s="291"/>
      <c r="S180" s="291"/>
      <c r="T180" s="291"/>
      <c r="U180" s="291"/>
      <c r="V180" s="291"/>
      <c r="W180" s="291"/>
      <c r="X180" s="291"/>
      <c r="Y180" s="291"/>
      <c r="Z180" s="177">
        <f>SUM(N180:Y180)*L180</f>
        <v>0</v>
      </c>
      <c r="AA180" s="8">
        <f>SUM(N180:Y180)</f>
        <v>0</v>
      </c>
      <c r="AD180" s="8">
        <v>0</v>
      </c>
      <c r="AE180" s="17">
        <v>0</v>
      </c>
    </row>
    <row r="181" spans="3:31" ht="14.25" hidden="1" customHeight="1">
      <c r="C181" s="314" t="s">
        <v>770</v>
      </c>
      <c r="D181" s="174" t="s">
        <v>22</v>
      </c>
      <c r="E181" s="181">
        <f>SUM(N181:Y181)</f>
        <v>32900</v>
      </c>
      <c r="F181" s="183" t="s">
        <v>875</v>
      </c>
      <c r="G181" s="183" t="s">
        <v>365</v>
      </c>
      <c r="H181" s="181"/>
      <c r="I181" s="182"/>
      <c r="J181" s="182"/>
      <c r="K181" s="182" t="s">
        <v>360</v>
      </c>
      <c r="L181" s="182"/>
      <c r="M181" s="363"/>
      <c r="N181" s="181">
        <f>SUMIFS('FCST data'!Q:Q,'FCST data'!$D:$D,$F181,'FCST data'!$K:$K,$G181,'FCST data'!$N:$N,'SSD_eMMC_non volatile'!$K181)</f>
        <v>0</v>
      </c>
      <c r="O181" s="181">
        <f>SUMIFS('FCST data'!R:R,'FCST data'!$D:$D,$F181,'FCST data'!$K:$K,$G181,'FCST data'!$N:$N,'SSD_eMMC_non volatile'!$K181)</f>
        <v>0</v>
      </c>
      <c r="P181" s="181">
        <f>SUMIFS('FCST data'!S:S,'FCST data'!$D:$D,$F181,'FCST data'!$K:$K,$G181,'FCST data'!$N:$N,'SSD_eMMC_non volatile'!$K181)</f>
        <v>0</v>
      </c>
      <c r="Q181" s="181">
        <f>SUMIFS('FCST data'!T:T,'FCST data'!$D:$D,$F181,'FCST data'!$K:$K,$G181,'FCST data'!$N:$N,'SSD_eMMC_non volatile'!$K181)</f>
        <v>7600</v>
      </c>
      <c r="R181" s="181">
        <f>SUMIFS('FCST data'!U:U,'FCST data'!$D:$D,$F181,'FCST data'!$K:$K,$G181,'FCST data'!$N:$N,'SSD_eMMC_non volatile'!$K181)</f>
        <v>7400</v>
      </c>
      <c r="S181" s="181">
        <f>SUMIFS('FCST data'!V:V,'FCST data'!$D:$D,$F181,'FCST data'!$K:$K,$G181,'FCST data'!$N:$N,'SSD_eMMC_non volatile'!$K181)</f>
        <v>7400</v>
      </c>
      <c r="T181" s="181">
        <f>SUMIFS('FCST data'!W:W,'FCST data'!$D:$D,$F181,'FCST data'!$K:$K,$G181,'FCST data'!$N:$N,'SSD_eMMC_non volatile'!$K181)</f>
        <v>5500</v>
      </c>
      <c r="U181" s="181">
        <f>SUMIFS('FCST data'!X:X,'FCST data'!$D:$D,$F181,'FCST data'!$K:$K,$G181,'FCST data'!$N:$N,'SSD_eMMC_non volatile'!$K181)</f>
        <v>2500</v>
      </c>
      <c r="V181" s="181">
        <f>SUMIFS('FCST data'!Y:Y,'FCST data'!$D:$D,$F181,'FCST data'!$K:$K,$G181,'FCST data'!$N:$N,'SSD_eMMC_non volatile'!$K181)</f>
        <v>2500</v>
      </c>
      <c r="W181" s="181">
        <f>SUMIFS('FCST data'!Z:Z,'FCST data'!$D:$D,$F181,'FCST data'!$K:$K,$G181,'FCST data'!$N:$N,'SSD_eMMC_non volatile'!$K181)</f>
        <v>0</v>
      </c>
      <c r="X181" s="181">
        <f>SUMIFS('FCST data'!AA:AA,'FCST data'!$D:$D,$F181,'FCST data'!$K:$K,$G181,'FCST data'!$N:$N,'SSD_eMMC_non volatile'!$K181)</f>
        <v>0</v>
      </c>
      <c r="Y181" s="181">
        <f>SUMIFS('FCST data'!AB:AB,'FCST data'!$D:$D,$F181,'FCST data'!$K:$K,$G181,'FCST data'!$N:$N,'SSD_eMMC_non volatile'!$K181)</f>
        <v>0</v>
      </c>
      <c r="Z181" s="148"/>
      <c r="AA181" s="320"/>
      <c r="AB181" s="17">
        <f>E181-SUM(AA182:AA185)</f>
        <v>0</v>
      </c>
      <c r="AD181" s="320"/>
      <c r="AE181" s="17">
        <v>0</v>
      </c>
    </row>
    <row r="182" spans="3:31" ht="14.4" hidden="1">
      <c r="C182" s="283"/>
      <c r="D182" s="284"/>
      <c r="E182" s="147"/>
      <c r="F182" s="199" t="s">
        <v>875</v>
      </c>
      <c r="G182" s="199" t="s">
        <v>365</v>
      </c>
      <c r="H182" s="284" t="s">
        <v>724</v>
      </c>
      <c r="I182" s="287" t="s">
        <v>725</v>
      </c>
      <c r="J182" s="284" t="s">
        <v>115</v>
      </c>
      <c r="K182" s="287" t="s">
        <v>117</v>
      </c>
      <c r="L182" s="322">
        <v>1</v>
      </c>
      <c r="M182" s="362" t="s">
        <v>886</v>
      </c>
      <c r="N182" s="291"/>
      <c r="O182" s="291"/>
      <c r="P182" s="291"/>
      <c r="Q182" s="291"/>
      <c r="R182" s="291"/>
      <c r="S182" s="291"/>
      <c r="T182" s="291"/>
      <c r="U182" s="291"/>
      <c r="V182" s="291"/>
      <c r="W182" s="291"/>
      <c r="X182" s="291"/>
      <c r="Y182" s="291"/>
      <c r="Z182" s="177">
        <f>SUM(N182:Y182)*L182</f>
        <v>0</v>
      </c>
      <c r="AA182" s="8">
        <f>SUM(N182:Y182)</f>
        <v>0</v>
      </c>
      <c r="AD182" s="8">
        <v>0</v>
      </c>
      <c r="AE182" s="17">
        <v>0</v>
      </c>
    </row>
    <row r="183" spans="3:31" ht="14.4" hidden="1">
      <c r="C183" s="283"/>
      <c r="D183" s="284"/>
      <c r="E183" s="147"/>
      <c r="F183" s="199" t="s">
        <v>875</v>
      </c>
      <c r="G183" s="199" t="s">
        <v>365</v>
      </c>
      <c r="H183" s="284" t="s">
        <v>723</v>
      </c>
      <c r="I183" s="284" t="s">
        <v>465</v>
      </c>
      <c r="J183" s="284" t="s">
        <v>115</v>
      </c>
      <c r="K183" s="287" t="s">
        <v>117</v>
      </c>
      <c r="L183" s="294">
        <v>2</v>
      </c>
      <c r="M183" s="362" t="s">
        <v>533</v>
      </c>
      <c r="N183" s="340"/>
      <c r="O183" s="291"/>
      <c r="P183" s="291"/>
      <c r="Q183" s="340">
        <v>7540</v>
      </c>
      <c r="R183" s="291">
        <v>7400</v>
      </c>
      <c r="S183" s="291">
        <v>7400</v>
      </c>
      <c r="T183" s="291">
        <v>5500</v>
      </c>
      <c r="U183" s="291">
        <v>2500</v>
      </c>
      <c r="V183" s="291">
        <v>2500</v>
      </c>
      <c r="W183" s="291"/>
      <c r="X183" s="291"/>
      <c r="Y183" s="291"/>
      <c r="Z183" s="177">
        <f>SUM(N183:Y183)*L183</f>
        <v>65680</v>
      </c>
      <c r="AA183" s="8">
        <f>SUM(N183:Y183)</f>
        <v>32840</v>
      </c>
      <c r="AD183" s="8">
        <v>1640</v>
      </c>
      <c r="AE183" s="17">
        <v>0</v>
      </c>
    </row>
    <row r="184" spans="3:31" ht="14.4" hidden="1">
      <c r="C184" s="283"/>
      <c r="D184" s="284"/>
      <c r="E184" s="147"/>
      <c r="F184" s="199" t="s">
        <v>875</v>
      </c>
      <c r="G184" s="199" t="s">
        <v>365</v>
      </c>
      <c r="H184" s="284" t="s">
        <v>723</v>
      </c>
      <c r="I184" s="284" t="s">
        <v>932</v>
      </c>
      <c r="J184" s="284" t="s">
        <v>115</v>
      </c>
      <c r="K184" s="287" t="s">
        <v>117</v>
      </c>
      <c r="L184" s="294">
        <v>2</v>
      </c>
      <c r="M184" s="362" t="s">
        <v>931</v>
      </c>
      <c r="N184" s="340"/>
      <c r="O184" s="340">
        <v>60</v>
      </c>
      <c r="P184" s="291"/>
      <c r="Q184" s="340"/>
      <c r="R184" s="291"/>
      <c r="S184" s="291"/>
      <c r="T184" s="291"/>
      <c r="U184" s="291"/>
      <c r="V184" s="291"/>
      <c r="W184" s="291"/>
      <c r="X184" s="291"/>
      <c r="Y184" s="291"/>
      <c r="Z184" s="177">
        <f>SUM(N184:Y184)*L184</f>
        <v>120</v>
      </c>
      <c r="AA184" s="8">
        <f>SUM(N184:Y184)</f>
        <v>60</v>
      </c>
      <c r="AD184" s="8"/>
    </row>
    <row r="185" spans="3:31" ht="14.4">
      <c r="C185" s="283"/>
      <c r="D185" s="284"/>
      <c r="E185" s="147"/>
      <c r="F185" s="199" t="s">
        <v>875</v>
      </c>
      <c r="G185" s="199" t="s">
        <v>365</v>
      </c>
      <c r="H185" s="284" t="s">
        <v>723</v>
      </c>
      <c r="I185" s="284" t="s">
        <v>305</v>
      </c>
      <c r="J185" s="284" t="s">
        <v>115</v>
      </c>
      <c r="K185" s="287" t="s">
        <v>117</v>
      </c>
      <c r="L185" s="294">
        <v>2</v>
      </c>
      <c r="M185" s="362"/>
      <c r="N185" s="291"/>
      <c r="O185" s="291"/>
      <c r="P185" s="291"/>
      <c r="Q185" s="291"/>
      <c r="R185" s="291"/>
      <c r="S185" s="291"/>
      <c r="T185" s="291"/>
      <c r="U185" s="291"/>
      <c r="V185" s="291"/>
      <c r="W185" s="291"/>
      <c r="X185" s="291"/>
      <c r="Y185" s="291"/>
      <c r="Z185" s="177">
        <f>SUM(N185:Y185)*L185</f>
        <v>0</v>
      </c>
      <c r="AA185" s="8">
        <f>SUM(N185:Y185)</f>
        <v>0</v>
      </c>
      <c r="AD185" s="8">
        <v>0</v>
      </c>
      <c r="AE185" s="17">
        <v>0</v>
      </c>
    </row>
    <row r="186" spans="3:31" ht="14.25" hidden="1" customHeight="1">
      <c r="C186" s="314" t="s">
        <v>770</v>
      </c>
      <c r="D186" s="174" t="s">
        <v>22</v>
      </c>
      <c r="E186" s="181">
        <f>SUM(N186:Y186)</f>
        <v>3000</v>
      </c>
      <c r="F186" s="183" t="s">
        <v>875</v>
      </c>
      <c r="G186" s="183" t="s">
        <v>365</v>
      </c>
      <c r="H186" s="181"/>
      <c r="I186" s="182"/>
      <c r="J186" s="182"/>
      <c r="K186" s="182" t="s">
        <v>369</v>
      </c>
      <c r="L186" s="182"/>
      <c r="M186" s="363"/>
      <c r="N186" s="181">
        <f>SUMIFS('FCST data'!Q:Q,'FCST data'!$D:$D,$F186,'FCST data'!$K:$K,$G186,'FCST data'!$N:$N,'SSD_eMMC_non volatile'!$K186)</f>
        <v>0</v>
      </c>
      <c r="O186" s="181">
        <f>SUMIFS('FCST data'!R:R,'FCST data'!$D:$D,$F186,'FCST data'!$K:$K,$G186,'FCST data'!$N:$N,'SSD_eMMC_non volatile'!$K186)</f>
        <v>0</v>
      </c>
      <c r="P186" s="181">
        <f>SUMIFS('FCST data'!S:S,'FCST data'!$D:$D,$F186,'FCST data'!$K:$K,$G186,'FCST data'!$N:$N,'SSD_eMMC_non volatile'!$K186)</f>
        <v>0</v>
      </c>
      <c r="Q186" s="181">
        <f>SUMIFS('FCST data'!T:T,'FCST data'!$D:$D,$F186,'FCST data'!$K:$K,$G186,'FCST data'!$N:$N,'SSD_eMMC_non volatile'!$K186)</f>
        <v>400</v>
      </c>
      <c r="R186" s="181">
        <f>SUMIFS('FCST data'!U:U,'FCST data'!$D:$D,$F186,'FCST data'!$K:$K,$G186,'FCST data'!$N:$N,'SSD_eMMC_non volatile'!$K186)</f>
        <v>400</v>
      </c>
      <c r="S186" s="181">
        <f>SUMIFS('FCST data'!V:V,'FCST data'!$D:$D,$F186,'FCST data'!$K:$K,$G186,'FCST data'!$N:$N,'SSD_eMMC_non volatile'!$K186)</f>
        <v>400</v>
      </c>
      <c r="T186" s="181">
        <f>SUMIFS('FCST data'!W:W,'FCST data'!$D:$D,$F186,'FCST data'!$K:$K,$G186,'FCST data'!$N:$N,'SSD_eMMC_non volatile'!$K186)</f>
        <v>600</v>
      </c>
      <c r="U186" s="181">
        <f>SUMIFS('FCST data'!X:X,'FCST data'!$D:$D,$F186,'FCST data'!$K:$K,$G186,'FCST data'!$N:$N,'SSD_eMMC_non volatile'!$K186)</f>
        <v>600</v>
      </c>
      <c r="V186" s="181">
        <f>SUMIFS('FCST data'!Y:Y,'FCST data'!$D:$D,$F186,'FCST data'!$K:$K,$G186,'FCST data'!$N:$N,'SSD_eMMC_non volatile'!$K186)</f>
        <v>600</v>
      </c>
      <c r="W186" s="181">
        <f>SUMIFS('FCST data'!Z:Z,'FCST data'!$D:$D,$F186,'FCST data'!$K:$K,$G186,'FCST data'!$N:$N,'SSD_eMMC_non volatile'!$K186)</f>
        <v>0</v>
      </c>
      <c r="X186" s="181">
        <f>SUMIFS('FCST data'!AA:AA,'FCST data'!$D:$D,$F186,'FCST data'!$K:$K,$G186,'FCST data'!$N:$N,'SSD_eMMC_non volatile'!$K186)</f>
        <v>0</v>
      </c>
      <c r="Y186" s="181">
        <f>SUMIFS('FCST data'!AB:AB,'FCST data'!$D:$D,$F186,'FCST data'!$K:$K,$G186,'FCST data'!$N:$N,'SSD_eMMC_non volatile'!$K186)</f>
        <v>0</v>
      </c>
      <c r="Z186" s="148"/>
      <c r="AA186" s="320"/>
      <c r="AB186" s="17">
        <f>E186-SUM(AA187:AA188)</f>
        <v>0</v>
      </c>
      <c r="AD186" s="320"/>
      <c r="AE186" s="17">
        <v>0</v>
      </c>
    </row>
    <row r="187" spans="3:31" ht="14.4" hidden="1">
      <c r="C187" s="283"/>
      <c r="D187" s="284"/>
      <c r="E187" s="147"/>
      <c r="F187" s="199" t="s">
        <v>875</v>
      </c>
      <c r="G187" s="199" t="s">
        <v>365</v>
      </c>
      <c r="H187" s="284" t="s">
        <v>724</v>
      </c>
      <c r="I187" s="287" t="s">
        <v>725</v>
      </c>
      <c r="J187" s="284" t="s">
        <v>115</v>
      </c>
      <c r="K187" s="287" t="s">
        <v>118</v>
      </c>
      <c r="L187" s="322">
        <v>1</v>
      </c>
      <c r="M187" s="362" t="s">
        <v>647</v>
      </c>
      <c r="N187" s="291"/>
      <c r="O187" s="291"/>
      <c r="P187" s="291"/>
      <c r="Q187" s="291">
        <v>400</v>
      </c>
      <c r="R187" s="291">
        <v>400</v>
      </c>
      <c r="S187" s="291">
        <v>400</v>
      </c>
      <c r="T187" s="291">
        <v>600</v>
      </c>
      <c r="U187" s="291">
        <v>600</v>
      </c>
      <c r="V187" s="291">
        <v>600</v>
      </c>
      <c r="W187" s="291"/>
      <c r="X187" s="291"/>
      <c r="Y187" s="291"/>
      <c r="Z187" s="177">
        <f>SUM(N187:Y187)*L187</f>
        <v>3000</v>
      </c>
      <c r="AA187" s="8">
        <f>SUM(N187:Y187)</f>
        <v>3000</v>
      </c>
      <c r="AD187" s="8">
        <v>0</v>
      </c>
      <c r="AE187" s="17">
        <v>0</v>
      </c>
    </row>
    <row r="188" spans="3:31" ht="14.4">
      <c r="C188" s="283"/>
      <c r="D188" s="284"/>
      <c r="E188" s="147"/>
      <c r="F188" s="199" t="s">
        <v>875</v>
      </c>
      <c r="G188" s="199" t="s">
        <v>365</v>
      </c>
      <c r="H188" s="284" t="s">
        <v>723</v>
      </c>
      <c r="I188" s="284" t="s">
        <v>305</v>
      </c>
      <c r="J188" s="284" t="s">
        <v>115</v>
      </c>
      <c r="K188" s="287" t="s">
        <v>118</v>
      </c>
      <c r="L188" s="294">
        <v>2</v>
      </c>
      <c r="M188" s="362"/>
      <c r="N188" s="291"/>
      <c r="O188" s="291"/>
      <c r="P188" s="291"/>
      <c r="Q188" s="291"/>
      <c r="R188" s="291"/>
      <c r="S188" s="291"/>
      <c r="T188" s="291"/>
      <c r="U188" s="291"/>
      <c r="V188" s="291"/>
      <c r="W188" s="291"/>
      <c r="X188" s="291"/>
      <c r="Y188" s="291"/>
      <c r="Z188" s="177">
        <f>SUM(N188:Y188)*L188</f>
        <v>0</v>
      </c>
      <c r="AA188" s="8">
        <f>SUM(N188:Y188)</f>
        <v>0</v>
      </c>
      <c r="AD188" s="8">
        <v>0</v>
      </c>
      <c r="AE188" s="17">
        <v>0</v>
      </c>
    </row>
    <row r="189" spans="3:31" ht="14.25" hidden="1" customHeight="1">
      <c r="C189" s="314" t="s">
        <v>770</v>
      </c>
      <c r="D189" s="174" t="s">
        <v>22</v>
      </c>
      <c r="E189" s="181">
        <f>SUM(N189:Y189)</f>
        <v>40200</v>
      </c>
      <c r="F189" s="183" t="s">
        <v>875</v>
      </c>
      <c r="G189" s="183" t="s">
        <v>373</v>
      </c>
      <c r="H189" s="181"/>
      <c r="I189" s="182"/>
      <c r="J189" s="182"/>
      <c r="K189" s="182" t="s">
        <v>360</v>
      </c>
      <c r="L189" s="182"/>
      <c r="M189" s="363"/>
      <c r="N189" s="181">
        <f>SUMIFS('FCST data'!Q:Q,'FCST data'!$D:$D,$F189,'FCST data'!$K:$K,$G189,'FCST data'!$N:$N,'SSD_eMMC_non volatile'!$K189)</f>
        <v>0</v>
      </c>
      <c r="O189" s="181">
        <f>SUMIFS('FCST data'!R:R,'FCST data'!$D:$D,$F189,'FCST data'!$K:$K,$G189,'FCST data'!$N:$N,'SSD_eMMC_non volatile'!$K189)</f>
        <v>0</v>
      </c>
      <c r="P189" s="181">
        <f>SUMIFS('FCST data'!S:S,'FCST data'!$D:$D,$F189,'FCST data'!$K:$K,$G189,'FCST data'!$N:$N,'SSD_eMMC_non volatile'!$K189)</f>
        <v>0</v>
      </c>
      <c r="Q189" s="181">
        <f>SUMIFS('FCST data'!T:T,'FCST data'!$D:$D,$F189,'FCST data'!$K:$K,$G189,'FCST data'!$N:$N,'SSD_eMMC_non volatile'!$K189)</f>
        <v>1700</v>
      </c>
      <c r="R189" s="181">
        <f>SUMIFS('FCST data'!U:U,'FCST data'!$D:$D,$F189,'FCST data'!$K:$K,$G189,'FCST data'!$N:$N,'SSD_eMMC_non volatile'!$K189)</f>
        <v>6500</v>
      </c>
      <c r="S189" s="181">
        <f>SUMIFS('FCST data'!V:V,'FCST data'!$D:$D,$F189,'FCST data'!$K:$K,$G189,'FCST data'!$N:$N,'SSD_eMMC_non volatile'!$K189)</f>
        <v>6500</v>
      </c>
      <c r="T189" s="181">
        <f>SUMIFS('FCST data'!W:W,'FCST data'!$D:$D,$F189,'FCST data'!$K:$K,$G189,'FCST data'!$N:$N,'SSD_eMMC_non volatile'!$K189)</f>
        <v>8500</v>
      </c>
      <c r="U189" s="181">
        <f>SUMIFS('FCST data'!X:X,'FCST data'!$D:$D,$F189,'FCST data'!$K:$K,$G189,'FCST data'!$N:$N,'SSD_eMMC_non volatile'!$K189)</f>
        <v>8500</v>
      </c>
      <c r="V189" s="181">
        <f>SUMIFS('FCST data'!Y:Y,'FCST data'!$D:$D,$F189,'FCST data'!$K:$K,$G189,'FCST data'!$N:$N,'SSD_eMMC_non volatile'!$K189)</f>
        <v>8500</v>
      </c>
      <c r="W189" s="181">
        <f>SUMIFS('FCST data'!Z:Z,'FCST data'!$D:$D,$F189,'FCST data'!$K:$K,$G189,'FCST data'!$N:$N,'SSD_eMMC_non volatile'!$K189)</f>
        <v>0</v>
      </c>
      <c r="X189" s="181">
        <f>SUMIFS('FCST data'!AA:AA,'FCST data'!$D:$D,$F189,'FCST data'!$K:$K,$G189,'FCST data'!$N:$N,'SSD_eMMC_non volatile'!$K189)</f>
        <v>0</v>
      </c>
      <c r="Y189" s="181">
        <f>SUMIFS('FCST data'!AB:AB,'FCST data'!$D:$D,$F189,'FCST data'!$K:$K,$G189,'FCST data'!$N:$N,'SSD_eMMC_non volatile'!$K189)</f>
        <v>0</v>
      </c>
      <c r="Z189" s="148"/>
      <c r="AA189" s="320"/>
      <c r="AB189" s="17">
        <f>E189-SUM(AA190:AA192)</f>
        <v>0</v>
      </c>
      <c r="AD189" s="320"/>
      <c r="AE189" s="17">
        <v>0</v>
      </c>
    </row>
    <row r="190" spans="3:31" ht="14.4" hidden="1">
      <c r="C190" s="283"/>
      <c r="D190" s="284"/>
      <c r="E190" s="147"/>
      <c r="F190" s="199" t="s">
        <v>875</v>
      </c>
      <c r="G190" s="199" t="s">
        <v>373</v>
      </c>
      <c r="H190" s="284" t="s">
        <v>724</v>
      </c>
      <c r="I190" s="287" t="s">
        <v>725</v>
      </c>
      <c r="J190" s="284" t="s">
        <v>115</v>
      </c>
      <c r="K190" s="287" t="s">
        <v>117</v>
      </c>
      <c r="L190" s="322">
        <v>1</v>
      </c>
      <c r="M190" s="362" t="s">
        <v>886</v>
      </c>
      <c r="N190" s="291"/>
      <c r="O190" s="291"/>
      <c r="P190" s="291"/>
      <c r="Q190" s="291"/>
      <c r="R190" s="291"/>
      <c r="S190" s="291"/>
      <c r="T190" s="291"/>
      <c r="U190" s="291"/>
      <c r="V190" s="291"/>
      <c r="W190" s="291"/>
      <c r="X190" s="291"/>
      <c r="Y190" s="291"/>
      <c r="Z190" s="177">
        <f>SUM(N190:Y190)*L190</f>
        <v>0</v>
      </c>
      <c r="AA190" s="8">
        <f>SUM(N190:Y190)</f>
        <v>0</v>
      </c>
      <c r="AD190" s="8">
        <v>0</v>
      </c>
      <c r="AE190" s="17">
        <v>0</v>
      </c>
    </row>
    <row r="191" spans="3:31" ht="14.4" hidden="1">
      <c r="C191" s="283"/>
      <c r="D191" s="284"/>
      <c r="E191" s="147"/>
      <c r="F191" s="199" t="s">
        <v>875</v>
      </c>
      <c r="G191" s="199" t="s">
        <v>373</v>
      </c>
      <c r="H191" s="284" t="s">
        <v>723</v>
      </c>
      <c r="I191" s="284" t="s">
        <v>465</v>
      </c>
      <c r="J191" s="284" t="s">
        <v>115</v>
      </c>
      <c r="K191" s="287" t="s">
        <v>117</v>
      </c>
      <c r="L191" s="294">
        <v>2</v>
      </c>
      <c r="M191" s="362" t="s">
        <v>533</v>
      </c>
      <c r="N191" s="291"/>
      <c r="O191" s="291"/>
      <c r="P191" s="291"/>
      <c r="Q191" s="291">
        <v>1700</v>
      </c>
      <c r="R191" s="291">
        <v>6500</v>
      </c>
      <c r="S191" s="291">
        <v>6500</v>
      </c>
      <c r="T191" s="291">
        <v>8500</v>
      </c>
      <c r="U191" s="291">
        <v>8500</v>
      </c>
      <c r="V191" s="291">
        <v>8500</v>
      </c>
      <c r="W191" s="291"/>
      <c r="X191" s="291"/>
      <c r="Y191" s="291"/>
      <c r="Z191" s="177">
        <f>SUM(N191:Y191)*L191</f>
        <v>80400</v>
      </c>
      <c r="AA191" s="8">
        <f>SUM(N191:Y191)</f>
        <v>40200</v>
      </c>
      <c r="AD191" s="8">
        <v>1640</v>
      </c>
      <c r="AE191" s="17">
        <v>0</v>
      </c>
    </row>
    <row r="192" spans="3:31" ht="14.4">
      <c r="C192" s="283"/>
      <c r="D192" s="284"/>
      <c r="E192" s="147"/>
      <c r="F192" s="199" t="s">
        <v>875</v>
      </c>
      <c r="G192" s="199" t="s">
        <v>373</v>
      </c>
      <c r="H192" s="284" t="s">
        <v>723</v>
      </c>
      <c r="I192" s="284" t="s">
        <v>305</v>
      </c>
      <c r="J192" s="284" t="s">
        <v>115</v>
      </c>
      <c r="K192" s="287" t="s">
        <v>117</v>
      </c>
      <c r="L192" s="294">
        <v>2</v>
      </c>
      <c r="M192" s="362"/>
      <c r="N192" s="291"/>
      <c r="O192" s="291"/>
      <c r="P192" s="291"/>
      <c r="Q192" s="291"/>
      <c r="R192" s="291"/>
      <c r="S192" s="291"/>
      <c r="T192" s="291"/>
      <c r="U192" s="291"/>
      <c r="V192" s="291"/>
      <c r="W192" s="291"/>
      <c r="X192" s="291"/>
      <c r="Y192" s="291"/>
      <c r="Z192" s="177">
        <f>SUM(N192:Y192)*L192</f>
        <v>0</v>
      </c>
      <c r="AA192" s="8">
        <f>SUM(N192:Y192)</f>
        <v>0</v>
      </c>
      <c r="AD192" s="8">
        <v>0</v>
      </c>
      <c r="AE192" s="17">
        <v>0</v>
      </c>
    </row>
    <row r="193" spans="3:31" ht="14.25" hidden="1" customHeight="1">
      <c r="C193" s="314" t="s">
        <v>770</v>
      </c>
      <c r="D193" s="174" t="s">
        <v>22</v>
      </c>
      <c r="E193" s="181">
        <f>SUM(N193:Y193)</f>
        <v>7950</v>
      </c>
      <c r="F193" s="183" t="s">
        <v>875</v>
      </c>
      <c r="G193" s="183" t="s">
        <v>373</v>
      </c>
      <c r="H193" s="181"/>
      <c r="I193" s="182"/>
      <c r="J193" s="182"/>
      <c r="K193" s="182" t="s">
        <v>369</v>
      </c>
      <c r="L193" s="182"/>
      <c r="M193" s="363"/>
      <c r="N193" s="181">
        <f>SUMIFS('FCST data'!Q:Q,'FCST data'!$D:$D,$F193,'FCST data'!$K:$K,$G193,'FCST data'!$N:$N,'SSD_eMMC_non volatile'!$K193)</f>
        <v>0</v>
      </c>
      <c r="O193" s="181">
        <f>SUMIFS('FCST data'!R:R,'FCST data'!$D:$D,$F193,'FCST data'!$K:$K,$G193,'FCST data'!$N:$N,'SSD_eMMC_non volatile'!$K193)</f>
        <v>0</v>
      </c>
      <c r="P193" s="181">
        <f>SUMIFS('FCST data'!S:S,'FCST data'!$D:$D,$F193,'FCST data'!$K:$K,$G193,'FCST data'!$N:$N,'SSD_eMMC_non volatile'!$K193)</f>
        <v>0</v>
      </c>
      <c r="Q193" s="181">
        <f>SUMIFS('FCST data'!T:T,'FCST data'!$D:$D,$F193,'FCST data'!$K:$K,$G193,'FCST data'!$N:$N,'SSD_eMMC_non volatile'!$K193)</f>
        <v>400</v>
      </c>
      <c r="R193" s="181">
        <f>SUMIFS('FCST data'!U:U,'FCST data'!$D:$D,$F193,'FCST data'!$K:$K,$G193,'FCST data'!$N:$N,'SSD_eMMC_non volatile'!$K193)</f>
        <v>1300</v>
      </c>
      <c r="S193" s="181">
        <f>SUMIFS('FCST data'!V:V,'FCST data'!$D:$D,$F193,'FCST data'!$K:$K,$G193,'FCST data'!$N:$N,'SSD_eMMC_non volatile'!$K193)</f>
        <v>1300</v>
      </c>
      <c r="T193" s="181">
        <f>SUMIFS('FCST data'!W:W,'FCST data'!$D:$D,$F193,'FCST data'!$K:$K,$G193,'FCST data'!$N:$N,'SSD_eMMC_non volatile'!$K193)</f>
        <v>1650</v>
      </c>
      <c r="U193" s="181">
        <f>SUMIFS('FCST data'!X:X,'FCST data'!$D:$D,$F193,'FCST data'!$K:$K,$G193,'FCST data'!$N:$N,'SSD_eMMC_non volatile'!$K193)</f>
        <v>1650</v>
      </c>
      <c r="V193" s="181">
        <f>SUMIFS('FCST data'!Y:Y,'FCST data'!$D:$D,$F193,'FCST data'!$K:$K,$G193,'FCST data'!$N:$N,'SSD_eMMC_non volatile'!$K193)</f>
        <v>1650</v>
      </c>
      <c r="W193" s="181">
        <f>SUMIFS('FCST data'!Z:Z,'FCST data'!$D:$D,$F193,'FCST data'!$K:$K,$G193,'FCST data'!$N:$N,'SSD_eMMC_non volatile'!$K193)</f>
        <v>0</v>
      </c>
      <c r="X193" s="181">
        <f>SUMIFS('FCST data'!AA:AA,'FCST data'!$D:$D,$F193,'FCST data'!$K:$K,$G193,'FCST data'!$N:$N,'SSD_eMMC_non volatile'!$K193)</f>
        <v>0</v>
      </c>
      <c r="Y193" s="181">
        <f>SUMIFS('FCST data'!AB:AB,'FCST data'!$D:$D,$F193,'FCST data'!$K:$K,$G193,'FCST data'!$N:$N,'SSD_eMMC_non volatile'!$K193)</f>
        <v>0</v>
      </c>
      <c r="Z193" s="148"/>
      <c r="AA193" s="320"/>
      <c r="AB193" s="17">
        <f>E193-SUM(AA194:AA195)</f>
        <v>0</v>
      </c>
      <c r="AD193" s="320"/>
      <c r="AE193" s="17">
        <v>0</v>
      </c>
    </row>
    <row r="194" spans="3:31" ht="14.4" hidden="1">
      <c r="C194" s="283"/>
      <c r="D194" s="284"/>
      <c r="E194" s="147"/>
      <c r="F194" s="199" t="s">
        <v>875</v>
      </c>
      <c r="G194" s="199" t="s">
        <v>373</v>
      </c>
      <c r="H194" s="284" t="s">
        <v>724</v>
      </c>
      <c r="I194" s="287" t="s">
        <v>725</v>
      </c>
      <c r="J194" s="284" t="s">
        <v>115</v>
      </c>
      <c r="K194" s="287" t="s">
        <v>118</v>
      </c>
      <c r="L194" s="322">
        <v>1</v>
      </c>
      <c r="M194" s="362" t="s">
        <v>647</v>
      </c>
      <c r="N194" s="291"/>
      <c r="O194" s="291"/>
      <c r="P194" s="291"/>
      <c r="Q194" s="291">
        <v>400</v>
      </c>
      <c r="R194" s="291">
        <v>1300</v>
      </c>
      <c r="S194" s="291">
        <v>1300</v>
      </c>
      <c r="T194" s="291">
        <v>1650</v>
      </c>
      <c r="U194" s="291">
        <v>1650</v>
      </c>
      <c r="V194" s="291">
        <v>1650</v>
      </c>
      <c r="W194" s="291"/>
      <c r="X194" s="291"/>
      <c r="Y194" s="291"/>
      <c r="Z194" s="177">
        <f>SUM(N194:Y194)*L194</f>
        <v>7950</v>
      </c>
      <c r="AA194" s="8">
        <f>SUM(N194:Y194)</f>
        <v>7950</v>
      </c>
      <c r="AD194" s="8">
        <v>0</v>
      </c>
      <c r="AE194" s="17">
        <v>0</v>
      </c>
    </row>
    <row r="195" spans="3:31" ht="14.4">
      <c r="C195" s="283"/>
      <c r="D195" s="284"/>
      <c r="E195" s="147"/>
      <c r="F195" s="199" t="s">
        <v>875</v>
      </c>
      <c r="G195" s="199" t="s">
        <v>373</v>
      </c>
      <c r="H195" s="284" t="s">
        <v>723</v>
      </c>
      <c r="I195" s="284" t="s">
        <v>305</v>
      </c>
      <c r="J195" s="284" t="s">
        <v>115</v>
      </c>
      <c r="K195" s="287" t="s">
        <v>118</v>
      </c>
      <c r="L195" s="294">
        <v>2</v>
      </c>
      <c r="M195" s="362"/>
      <c r="N195" s="291"/>
      <c r="O195" s="291"/>
      <c r="P195" s="291"/>
      <c r="Q195" s="291"/>
      <c r="R195" s="291"/>
      <c r="S195" s="291"/>
      <c r="T195" s="291"/>
      <c r="U195" s="291"/>
      <c r="V195" s="291"/>
      <c r="W195" s="291"/>
      <c r="X195" s="291"/>
      <c r="Y195" s="291"/>
      <c r="Z195" s="177">
        <f>SUM(N195:Y195)*L195</f>
        <v>0</v>
      </c>
      <c r="AA195" s="8">
        <f>SUM(N195:Y195)</f>
        <v>0</v>
      </c>
      <c r="AD195" s="8">
        <v>0</v>
      </c>
      <c r="AE195" s="17">
        <v>0</v>
      </c>
    </row>
    <row r="196" spans="3:31" ht="14.25" hidden="1" customHeight="1">
      <c r="C196" s="314" t="s">
        <v>770</v>
      </c>
      <c r="D196" s="174" t="s">
        <v>22</v>
      </c>
      <c r="E196" s="181">
        <f>SUM(N196:Y196)</f>
        <v>1700</v>
      </c>
      <c r="F196" s="183" t="s">
        <v>876</v>
      </c>
      <c r="G196" s="183" t="s">
        <v>373</v>
      </c>
      <c r="H196" s="181"/>
      <c r="I196" s="182"/>
      <c r="J196" s="182"/>
      <c r="K196" s="182" t="s">
        <v>369</v>
      </c>
      <c r="L196" s="182"/>
      <c r="M196" s="363"/>
      <c r="N196" s="181">
        <f>SUMIFS('FCST data'!Q:Q,'FCST data'!$D:$D,$F196,'FCST data'!$K:$K,$G196,'FCST data'!$N:$N,'SSD_eMMC_non volatile'!$K196)</f>
        <v>0</v>
      </c>
      <c r="O196" s="181">
        <f>SUMIFS('FCST data'!R:R,'FCST data'!$D:$D,$F196,'FCST data'!$K:$K,$G196,'FCST data'!$N:$N,'SSD_eMMC_non volatile'!$K196)</f>
        <v>0</v>
      </c>
      <c r="P196" s="181">
        <f>SUMIFS('FCST data'!S:S,'FCST data'!$D:$D,$F196,'FCST data'!$K:$K,$G196,'FCST data'!$N:$N,'SSD_eMMC_non volatile'!$K196)</f>
        <v>0</v>
      </c>
      <c r="Q196" s="181">
        <f>SUMIFS('FCST data'!T:T,'FCST data'!$D:$D,$F196,'FCST data'!$K:$K,$G196,'FCST data'!$N:$N,'SSD_eMMC_non volatile'!$K196)</f>
        <v>300</v>
      </c>
      <c r="R196" s="181">
        <f>SUMIFS('FCST data'!U:U,'FCST data'!$D:$D,$F196,'FCST data'!$K:$K,$G196,'FCST data'!$N:$N,'SSD_eMMC_non volatile'!$K196)</f>
        <v>300</v>
      </c>
      <c r="S196" s="181">
        <f>SUMIFS('FCST data'!V:V,'FCST data'!$D:$D,$F196,'FCST data'!$K:$K,$G196,'FCST data'!$N:$N,'SSD_eMMC_non volatile'!$K196)</f>
        <v>300</v>
      </c>
      <c r="T196" s="181">
        <f>SUMIFS('FCST data'!W:W,'FCST data'!$D:$D,$F196,'FCST data'!$K:$K,$G196,'FCST data'!$N:$N,'SSD_eMMC_non volatile'!$K196)</f>
        <v>200</v>
      </c>
      <c r="U196" s="181">
        <f>SUMIFS('FCST data'!X:X,'FCST data'!$D:$D,$F196,'FCST data'!$K:$K,$G196,'FCST data'!$N:$N,'SSD_eMMC_non volatile'!$K196)</f>
        <v>300</v>
      </c>
      <c r="V196" s="181">
        <f>SUMIFS('FCST data'!Y:Y,'FCST data'!$D:$D,$F196,'FCST data'!$K:$K,$G196,'FCST data'!$N:$N,'SSD_eMMC_non volatile'!$K196)</f>
        <v>300</v>
      </c>
      <c r="W196" s="181">
        <f>SUMIFS('FCST data'!Z:Z,'FCST data'!$D:$D,$F196,'FCST data'!$K:$K,$G196,'FCST data'!$N:$N,'SSD_eMMC_non volatile'!$K196)</f>
        <v>0</v>
      </c>
      <c r="X196" s="181">
        <f>SUMIFS('FCST data'!AA:AA,'FCST data'!$D:$D,$F196,'FCST data'!$K:$K,$G196,'FCST data'!$N:$N,'SSD_eMMC_non volatile'!$K196)</f>
        <v>0</v>
      </c>
      <c r="Y196" s="181">
        <f>SUMIFS('FCST data'!AB:AB,'FCST data'!$D:$D,$F196,'FCST data'!$K:$K,$G196,'FCST data'!$N:$N,'SSD_eMMC_non volatile'!$K196)</f>
        <v>0</v>
      </c>
      <c r="Z196" s="148"/>
      <c r="AA196" s="320"/>
      <c r="AB196" s="17">
        <f>E196-SUM(AA197:AA198)</f>
        <v>0</v>
      </c>
      <c r="AD196" s="320"/>
      <c r="AE196" s="17">
        <v>0</v>
      </c>
    </row>
    <row r="197" spans="3:31" ht="14.4" hidden="1">
      <c r="C197" s="283"/>
      <c r="D197" s="284"/>
      <c r="E197" s="147"/>
      <c r="F197" s="199" t="s">
        <v>876</v>
      </c>
      <c r="G197" s="199" t="s">
        <v>373</v>
      </c>
      <c r="H197" s="284" t="s">
        <v>724</v>
      </c>
      <c r="I197" s="287" t="s">
        <v>725</v>
      </c>
      <c r="J197" s="284" t="s">
        <v>115</v>
      </c>
      <c r="K197" s="287" t="s">
        <v>118</v>
      </c>
      <c r="L197" s="322">
        <v>1</v>
      </c>
      <c r="M197" s="362" t="s">
        <v>647</v>
      </c>
      <c r="N197" s="291"/>
      <c r="O197" s="291"/>
      <c r="P197" s="291"/>
      <c r="Q197" s="291">
        <v>300</v>
      </c>
      <c r="R197" s="291">
        <v>300</v>
      </c>
      <c r="S197" s="291">
        <v>300</v>
      </c>
      <c r="T197" s="291">
        <v>200</v>
      </c>
      <c r="U197" s="291">
        <v>300</v>
      </c>
      <c r="V197" s="291">
        <v>300</v>
      </c>
      <c r="W197" s="291"/>
      <c r="X197" s="291"/>
      <c r="Y197" s="291"/>
      <c r="Z197" s="177">
        <f>SUM(N197:Y197)*L197</f>
        <v>1700</v>
      </c>
      <c r="AA197" s="8">
        <f>SUM(N197:Y197)</f>
        <v>1700</v>
      </c>
      <c r="AD197" s="8">
        <v>0</v>
      </c>
      <c r="AE197" s="17">
        <v>0</v>
      </c>
    </row>
    <row r="198" spans="3:31" ht="14.4">
      <c r="C198" s="283"/>
      <c r="D198" s="284"/>
      <c r="E198" s="147"/>
      <c r="F198" s="199" t="s">
        <v>876</v>
      </c>
      <c r="G198" s="199" t="s">
        <v>373</v>
      </c>
      <c r="H198" s="284" t="s">
        <v>723</v>
      </c>
      <c r="I198" s="284" t="s">
        <v>305</v>
      </c>
      <c r="J198" s="284" t="s">
        <v>115</v>
      </c>
      <c r="K198" s="287" t="s">
        <v>118</v>
      </c>
      <c r="L198" s="294">
        <v>2</v>
      </c>
      <c r="M198" s="362"/>
      <c r="N198" s="291"/>
      <c r="O198" s="291"/>
      <c r="P198" s="291"/>
      <c r="Q198" s="291"/>
      <c r="R198" s="291"/>
      <c r="S198" s="291"/>
      <c r="T198" s="291"/>
      <c r="U198" s="291"/>
      <c r="V198" s="291"/>
      <c r="W198" s="291"/>
      <c r="X198" s="291"/>
      <c r="Y198" s="291"/>
      <c r="Z198" s="177">
        <f>SUM(N198:Y198)*L198</f>
        <v>0</v>
      </c>
      <c r="AA198" s="8">
        <f>SUM(N198:Y198)</f>
        <v>0</v>
      </c>
      <c r="AD198" s="8">
        <v>0</v>
      </c>
      <c r="AE198" s="17">
        <v>0</v>
      </c>
    </row>
    <row r="199" spans="3:31" ht="14.25" hidden="1" customHeight="1">
      <c r="C199" s="314" t="s">
        <v>770</v>
      </c>
      <c r="D199" s="174" t="s">
        <v>22</v>
      </c>
      <c r="E199" s="181">
        <f>SUM(N199:Y199)</f>
        <v>4600</v>
      </c>
      <c r="F199" s="175" t="s">
        <v>910</v>
      </c>
      <c r="G199" s="175" t="s">
        <v>622</v>
      </c>
      <c r="H199" s="181"/>
      <c r="I199" s="182"/>
      <c r="J199" s="182"/>
      <c r="K199" s="182" t="s">
        <v>360</v>
      </c>
      <c r="L199" s="182"/>
      <c r="M199" s="363"/>
      <c r="N199" s="181">
        <f>SUMIFS('FCST data'!Q:Q,'FCST data'!$D:$D,$F199,'FCST data'!$K:$K,$G199,'FCST data'!$N:$N,'SSD_eMMC_non volatile'!$K199)</f>
        <v>0</v>
      </c>
      <c r="O199" s="181">
        <f>SUMIFS('FCST data'!R:R,'FCST data'!$D:$D,$F199,'FCST data'!$K:$K,$G199,'FCST data'!$N:$N,'SSD_eMMC_non volatile'!$K199)</f>
        <v>0</v>
      </c>
      <c r="P199" s="181">
        <f>SUMIFS('FCST data'!S:S,'FCST data'!$D:$D,$F199,'FCST data'!$K:$K,$G199,'FCST data'!$N:$N,'SSD_eMMC_non volatile'!$K199)</f>
        <v>0</v>
      </c>
      <c r="Q199" s="181">
        <f>SUMIFS('FCST data'!T:T,'FCST data'!$D:$D,$F199,'FCST data'!$K:$K,$G199,'FCST data'!$N:$N,'SSD_eMMC_non volatile'!$K199)</f>
        <v>700</v>
      </c>
      <c r="R199" s="181">
        <f>SUMIFS('FCST data'!U:U,'FCST data'!$D:$D,$F199,'FCST data'!$K:$K,$G199,'FCST data'!$N:$N,'SSD_eMMC_non volatile'!$K199)</f>
        <v>700</v>
      </c>
      <c r="S199" s="181">
        <f>SUMIFS('FCST data'!V:V,'FCST data'!$D:$D,$F199,'FCST data'!$K:$K,$G199,'FCST data'!$N:$N,'SSD_eMMC_non volatile'!$K199)</f>
        <v>700</v>
      </c>
      <c r="T199" s="181">
        <f>SUMIFS('FCST data'!W:W,'FCST data'!$D:$D,$F199,'FCST data'!$K:$K,$G199,'FCST data'!$N:$N,'SSD_eMMC_non volatile'!$K199)</f>
        <v>700</v>
      </c>
      <c r="U199" s="181">
        <f>SUMIFS('FCST data'!X:X,'FCST data'!$D:$D,$F199,'FCST data'!$K:$K,$G199,'FCST data'!$N:$N,'SSD_eMMC_non volatile'!$K199)</f>
        <v>900</v>
      </c>
      <c r="V199" s="181">
        <f>SUMIFS('FCST data'!Y:Y,'FCST data'!$D:$D,$F199,'FCST data'!$K:$K,$G199,'FCST data'!$N:$N,'SSD_eMMC_non volatile'!$K199)</f>
        <v>900</v>
      </c>
      <c r="W199" s="181">
        <f>SUMIFS('FCST data'!Z:Z,'FCST data'!$D:$D,$F199,'FCST data'!$K:$K,$G199,'FCST data'!$N:$N,'SSD_eMMC_non volatile'!$K199)</f>
        <v>0</v>
      </c>
      <c r="X199" s="181">
        <f>SUMIFS('FCST data'!AA:AA,'FCST data'!$D:$D,$F199,'FCST data'!$K:$K,$G199,'FCST data'!$N:$N,'SSD_eMMC_non volatile'!$K199)</f>
        <v>0</v>
      </c>
      <c r="Y199" s="181">
        <f>SUMIFS('FCST data'!AB:AB,'FCST data'!$D:$D,$F199,'FCST data'!$K:$K,$G199,'FCST data'!$N:$N,'SSD_eMMC_non volatile'!$K199)</f>
        <v>0</v>
      </c>
      <c r="Z199" s="148"/>
      <c r="AA199" s="320"/>
      <c r="AB199" s="17">
        <f>E199-SUM(AA200:AA201)</f>
        <v>0</v>
      </c>
      <c r="AD199" s="320"/>
      <c r="AE199" s="17">
        <v>0</v>
      </c>
    </row>
    <row r="200" spans="3:31" ht="14.4" hidden="1">
      <c r="C200" s="283"/>
      <c r="D200" s="284"/>
      <c r="E200" s="147"/>
      <c r="F200" s="286" t="s">
        <v>910</v>
      </c>
      <c r="G200" s="286" t="s">
        <v>622</v>
      </c>
      <c r="H200" s="284" t="s">
        <v>724</v>
      </c>
      <c r="I200" s="287" t="s">
        <v>725</v>
      </c>
      <c r="J200" s="284" t="s">
        <v>115</v>
      </c>
      <c r="K200" s="287" t="s">
        <v>117</v>
      </c>
      <c r="L200" s="322">
        <v>1</v>
      </c>
      <c r="M200" s="362" t="s">
        <v>886</v>
      </c>
      <c r="N200" s="291"/>
      <c r="O200" s="291"/>
      <c r="P200" s="291"/>
      <c r="Q200" s="291">
        <v>700</v>
      </c>
      <c r="R200" s="291">
        <v>700</v>
      </c>
      <c r="S200" s="291">
        <v>700</v>
      </c>
      <c r="T200" s="291">
        <v>700</v>
      </c>
      <c r="U200" s="291">
        <v>900</v>
      </c>
      <c r="V200" s="291">
        <v>900</v>
      </c>
      <c r="W200" s="291"/>
      <c r="X200" s="291"/>
      <c r="Y200" s="291"/>
      <c r="Z200" s="177">
        <f>SUM(N200:Y200)*L200</f>
        <v>4600</v>
      </c>
      <c r="AA200" s="8">
        <f>SUM(N200:Y200)</f>
        <v>4600</v>
      </c>
      <c r="AD200" s="8">
        <v>0</v>
      </c>
      <c r="AE200" s="17">
        <v>0</v>
      </c>
    </row>
    <row r="201" spans="3:31" ht="14.4">
      <c r="C201" s="283"/>
      <c r="D201" s="284"/>
      <c r="E201" s="147"/>
      <c r="F201" s="286" t="s">
        <v>910</v>
      </c>
      <c r="G201" s="286" t="s">
        <v>622</v>
      </c>
      <c r="H201" s="284" t="s">
        <v>723</v>
      </c>
      <c r="I201" s="284" t="s">
        <v>305</v>
      </c>
      <c r="J201" s="284" t="s">
        <v>115</v>
      </c>
      <c r="K201" s="287" t="s">
        <v>117</v>
      </c>
      <c r="L201" s="294">
        <v>2</v>
      </c>
      <c r="M201" s="362"/>
      <c r="N201" s="291"/>
      <c r="O201" s="291"/>
      <c r="P201" s="291"/>
      <c r="Q201" s="291"/>
      <c r="R201" s="291"/>
      <c r="S201" s="291"/>
      <c r="T201" s="291"/>
      <c r="U201" s="291"/>
      <c r="V201" s="291"/>
      <c r="W201" s="291"/>
      <c r="X201" s="291"/>
      <c r="Y201" s="291"/>
      <c r="Z201" s="177">
        <f>SUM(N201:Y201)*L201</f>
        <v>0</v>
      </c>
      <c r="AA201" s="8">
        <f>SUM(N201:Y201)</f>
        <v>0</v>
      </c>
      <c r="AD201" s="8">
        <v>0</v>
      </c>
      <c r="AE201" s="17">
        <v>0</v>
      </c>
    </row>
    <row r="202" spans="3:31" ht="14.25" hidden="1" customHeight="1">
      <c r="C202" s="314" t="s">
        <v>770</v>
      </c>
      <c r="D202" s="174" t="s">
        <v>22</v>
      </c>
      <c r="E202" s="181">
        <f>SUM(N202:Y202)</f>
        <v>3600</v>
      </c>
      <c r="F202" s="175" t="s">
        <v>910</v>
      </c>
      <c r="G202" s="175" t="s">
        <v>622</v>
      </c>
      <c r="H202" s="181"/>
      <c r="I202" s="182"/>
      <c r="J202" s="182"/>
      <c r="K202" s="182" t="s">
        <v>369</v>
      </c>
      <c r="L202" s="182"/>
      <c r="M202" s="363"/>
      <c r="N202" s="181">
        <f>SUMIFS('FCST data'!Q:Q,'FCST data'!$D:$D,$F202,'FCST data'!$K:$K,$G202,'FCST data'!$N:$N,'SSD_eMMC_non volatile'!$K202)</f>
        <v>0</v>
      </c>
      <c r="O202" s="181">
        <f>SUMIFS('FCST data'!R:R,'FCST data'!$D:$D,$F202,'FCST data'!$K:$K,$G202,'FCST data'!$N:$N,'SSD_eMMC_non volatile'!$K202)</f>
        <v>0</v>
      </c>
      <c r="P202" s="181">
        <f>SUMIFS('FCST data'!S:S,'FCST data'!$D:$D,$F202,'FCST data'!$K:$K,$G202,'FCST data'!$N:$N,'SSD_eMMC_non volatile'!$K202)</f>
        <v>0</v>
      </c>
      <c r="Q202" s="181">
        <f>SUMIFS('FCST data'!T:T,'FCST data'!$D:$D,$F202,'FCST data'!$K:$K,$G202,'FCST data'!$N:$N,'SSD_eMMC_non volatile'!$K202)</f>
        <v>500</v>
      </c>
      <c r="R202" s="181">
        <f>SUMIFS('FCST data'!U:U,'FCST data'!$D:$D,$F202,'FCST data'!$K:$K,$G202,'FCST data'!$N:$N,'SSD_eMMC_non volatile'!$K202)</f>
        <v>500</v>
      </c>
      <c r="S202" s="181">
        <f>SUMIFS('FCST data'!V:V,'FCST data'!$D:$D,$F202,'FCST data'!$K:$K,$G202,'FCST data'!$N:$N,'SSD_eMMC_non volatile'!$K202)</f>
        <v>500</v>
      </c>
      <c r="T202" s="181">
        <f>SUMIFS('FCST data'!W:W,'FCST data'!$D:$D,$F202,'FCST data'!$K:$K,$G202,'FCST data'!$N:$N,'SSD_eMMC_non volatile'!$K202)</f>
        <v>700</v>
      </c>
      <c r="U202" s="181">
        <f>SUMIFS('FCST data'!X:X,'FCST data'!$D:$D,$F202,'FCST data'!$K:$K,$G202,'FCST data'!$N:$N,'SSD_eMMC_non volatile'!$K202)</f>
        <v>700</v>
      </c>
      <c r="V202" s="181">
        <f>SUMIFS('FCST data'!Y:Y,'FCST data'!$D:$D,$F202,'FCST data'!$K:$K,$G202,'FCST data'!$N:$N,'SSD_eMMC_non volatile'!$K202)</f>
        <v>700</v>
      </c>
      <c r="W202" s="181">
        <f>SUMIFS('FCST data'!Z:Z,'FCST data'!$D:$D,$F202,'FCST data'!$K:$K,$G202,'FCST data'!$N:$N,'SSD_eMMC_non volatile'!$K202)</f>
        <v>0</v>
      </c>
      <c r="X202" s="181">
        <f>SUMIFS('FCST data'!AA:AA,'FCST data'!$D:$D,$F202,'FCST data'!$K:$K,$G202,'FCST data'!$N:$N,'SSD_eMMC_non volatile'!$K202)</f>
        <v>0</v>
      </c>
      <c r="Y202" s="181">
        <f>SUMIFS('FCST data'!AB:AB,'FCST data'!$D:$D,$F202,'FCST data'!$K:$K,$G202,'FCST data'!$N:$N,'SSD_eMMC_non volatile'!$K202)</f>
        <v>0</v>
      </c>
      <c r="Z202" s="148"/>
      <c r="AA202" s="320"/>
      <c r="AB202" s="17">
        <f>E202-SUM(AA203:AA204)</f>
        <v>0</v>
      </c>
      <c r="AD202" s="320"/>
      <c r="AE202" s="17">
        <v>0</v>
      </c>
    </row>
    <row r="203" spans="3:31" ht="14.4" hidden="1">
      <c r="C203" s="283"/>
      <c r="D203" s="284"/>
      <c r="E203" s="147"/>
      <c r="F203" s="286" t="s">
        <v>910</v>
      </c>
      <c r="G203" s="286" t="s">
        <v>622</v>
      </c>
      <c r="H203" s="284" t="s">
        <v>724</v>
      </c>
      <c r="I203" s="287" t="s">
        <v>725</v>
      </c>
      <c r="J203" s="284" t="s">
        <v>115</v>
      </c>
      <c r="K203" s="287" t="s">
        <v>118</v>
      </c>
      <c r="L203" s="322">
        <v>1</v>
      </c>
      <c r="M203" s="362" t="s">
        <v>647</v>
      </c>
      <c r="N203" s="291"/>
      <c r="O203" s="291"/>
      <c r="P203" s="291"/>
      <c r="Q203" s="291">
        <v>500</v>
      </c>
      <c r="R203" s="291">
        <v>500</v>
      </c>
      <c r="S203" s="291">
        <v>500</v>
      </c>
      <c r="T203" s="291">
        <v>700</v>
      </c>
      <c r="U203" s="291">
        <v>700</v>
      </c>
      <c r="V203" s="291">
        <v>700</v>
      </c>
      <c r="W203" s="291"/>
      <c r="X203" s="291"/>
      <c r="Y203" s="291"/>
      <c r="Z203" s="177">
        <f>SUM(N203:Y203)*L203</f>
        <v>3600</v>
      </c>
      <c r="AA203" s="8">
        <f>SUM(N203:Y203)</f>
        <v>3600</v>
      </c>
      <c r="AD203" s="8">
        <v>0</v>
      </c>
      <c r="AE203" s="17">
        <v>0</v>
      </c>
    </row>
    <row r="204" spans="3:31" ht="14.4">
      <c r="C204" s="283"/>
      <c r="D204" s="284"/>
      <c r="E204" s="147"/>
      <c r="F204" s="286" t="s">
        <v>910</v>
      </c>
      <c r="G204" s="286" t="s">
        <v>622</v>
      </c>
      <c r="H204" s="284" t="s">
        <v>723</v>
      </c>
      <c r="I204" s="284" t="s">
        <v>305</v>
      </c>
      <c r="J204" s="284" t="s">
        <v>115</v>
      </c>
      <c r="K204" s="287" t="s">
        <v>118</v>
      </c>
      <c r="L204" s="294">
        <v>2</v>
      </c>
      <c r="M204" s="362"/>
      <c r="N204" s="291"/>
      <c r="O204" s="291"/>
      <c r="P204" s="291"/>
      <c r="Q204" s="291"/>
      <c r="R204" s="291"/>
      <c r="S204" s="291"/>
      <c r="T204" s="291"/>
      <c r="U204" s="291"/>
      <c r="V204" s="291"/>
      <c r="W204" s="291"/>
      <c r="X204" s="291"/>
      <c r="Y204" s="291"/>
      <c r="Z204" s="177">
        <f>SUM(N204:Y204)*L204</f>
        <v>0</v>
      </c>
      <c r="AA204" s="8">
        <f>SUM(N204:Y204)</f>
        <v>0</v>
      </c>
      <c r="AD204" s="8">
        <v>0</v>
      </c>
      <c r="AE204" s="17">
        <v>0</v>
      </c>
    </row>
    <row r="205" spans="3:31" ht="14.25" hidden="1" customHeight="1">
      <c r="C205" s="314" t="s">
        <v>770</v>
      </c>
      <c r="D205" s="174" t="s">
        <v>22</v>
      </c>
      <c r="E205" s="181">
        <f>SUM(N205:Y205)</f>
        <v>1700</v>
      </c>
      <c r="F205" s="175" t="s">
        <v>1016</v>
      </c>
      <c r="G205" s="175" t="s">
        <v>530</v>
      </c>
      <c r="H205" s="181"/>
      <c r="I205" s="182"/>
      <c r="J205" s="182"/>
      <c r="K205" s="182" t="s">
        <v>369</v>
      </c>
      <c r="L205" s="182"/>
      <c r="M205" s="363"/>
      <c r="N205" s="181">
        <f>SUMIFS('FCST data'!Q:Q,'FCST data'!$D:$D,$F205,'FCST data'!$K:$K,$G205,'FCST data'!$N:$N,'SSD_eMMC_non volatile'!$K205)</f>
        <v>0</v>
      </c>
      <c r="O205" s="181">
        <f>SUMIFS('FCST data'!R:R,'FCST data'!$D:$D,$F205,'FCST data'!$K:$K,$G205,'FCST data'!$N:$N,'SSD_eMMC_non volatile'!$K205)</f>
        <v>0</v>
      </c>
      <c r="P205" s="181">
        <f>SUMIFS('FCST data'!S:S,'FCST data'!$D:$D,$F205,'FCST data'!$K:$K,$G205,'FCST data'!$N:$N,'SSD_eMMC_non volatile'!$K205)</f>
        <v>0</v>
      </c>
      <c r="Q205" s="181">
        <f>SUMIFS('FCST data'!T:T,'FCST data'!$D:$D,$F205,'FCST data'!$K:$K,$G205,'FCST data'!$N:$N,'SSD_eMMC_non volatile'!$K205)</f>
        <v>0</v>
      </c>
      <c r="R205" s="181">
        <f>SUMIFS('FCST data'!U:U,'FCST data'!$D:$D,$F205,'FCST data'!$K:$K,$G205,'FCST data'!$N:$N,'SSD_eMMC_non volatile'!$K205)</f>
        <v>300</v>
      </c>
      <c r="S205" s="181">
        <f>SUMIFS('FCST data'!V:V,'FCST data'!$D:$D,$F205,'FCST data'!$K:$K,$G205,'FCST data'!$N:$N,'SSD_eMMC_non volatile'!$K205)</f>
        <v>300</v>
      </c>
      <c r="T205" s="181">
        <f>SUMIFS('FCST data'!W:W,'FCST data'!$D:$D,$F205,'FCST data'!$K:$K,$G205,'FCST data'!$N:$N,'SSD_eMMC_non volatile'!$K205)</f>
        <v>300</v>
      </c>
      <c r="U205" s="181">
        <f>SUMIFS('FCST data'!X:X,'FCST data'!$D:$D,$F205,'FCST data'!$K:$K,$G205,'FCST data'!$N:$N,'SSD_eMMC_non volatile'!$K205)</f>
        <v>400</v>
      </c>
      <c r="V205" s="181">
        <f>SUMIFS('FCST data'!Y:Y,'FCST data'!$D:$D,$F205,'FCST data'!$K:$K,$G205,'FCST data'!$N:$N,'SSD_eMMC_non volatile'!$K205)</f>
        <v>400</v>
      </c>
      <c r="W205" s="181">
        <f>SUMIFS('FCST data'!Z:Z,'FCST data'!$D:$D,$F205,'FCST data'!$K:$K,$G205,'FCST data'!$N:$N,'SSD_eMMC_non volatile'!$K205)</f>
        <v>0</v>
      </c>
      <c r="X205" s="181">
        <f>SUMIFS('FCST data'!AA:AA,'FCST data'!$D:$D,$F205,'FCST data'!$K:$K,$G205,'FCST data'!$N:$N,'SSD_eMMC_non volatile'!$K205)</f>
        <v>0</v>
      </c>
      <c r="Y205" s="181">
        <f>SUMIFS('FCST data'!AB:AB,'FCST data'!$D:$D,$F205,'FCST data'!$K:$K,$G205,'FCST data'!$N:$N,'SSD_eMMC_non volatile'!$K205)</f>
        <v>0</v>
      </c>
      <c r="Z205" s="148"/>
      <c r="AA205" s="320"/>
      <c r="AB205" s="17">
        <f>E205-SUM(AA206:AA207)</f>
        <v>0</v>
      </c>
      <c r="AD205" s="320"/>
      <c r="AE205" s="17">
        <v>0</v>
      </c>
    </row>
    <row r="206" spans="3:31" ht="14.4" hidden="1">
      <c r="C206" s="283"/>
      <c r="D206" s="284"/>
      <c r="E206" s="147"/>
      <c r="F206" s="286" t="s">
        <v>1016</v>
      </c>
      <c r="G206" s="286" t="s">
        <v>530</v>
      </c>
      <c r="H206" s="284" t="s">
        <v>724</v>
      </c>
      <c r="I206" s="287" t="s">
        <v>725</v>
      </c>
      <c r="J206" s="284" t="s">
        <v>115</v>
      </c>
      <c r="K206" s="287" t="s">
        <v>118</v>
      </c>
      <c r="L206" s="322">
        <v>1</v>
      </c>
      <c r="M206" s="359" t="s">
        <v>647</v>
      </c>
      <c r="N206" s="291"/>
      <c r="O206" s="291"/>
      <c r="P206" s="291"/>
      <c r="Q206" s="291">
        <v>0</v>
      </c>
      <c r="R206" s="291">
        <v>300</v>
      </c>
      <c r="S206" s="291">
        <v>300</v>
      </c>
      <c r="T206" s="291">
        <v>300</v>
      </c>
      <c r="U206" s="291">
        <v>400</v>
      </c>
      <c r="V206" s="291">
        <v>400</v>
      </c>
      <c r="W206" s="291"/>
      <c r="X206" s="291"/>
      <c r="Y206" s="291"/>
      <c r="Z206" s="177">
        <f>SUM(N206:Y206)*L206</f>
        <v>1700</v>
      </c>
      <c r="AA206" s="8">
        <f>SUM(N206:Y206)</f>
        <v>1700</v>
      </c>
      <c r="AD206" s="8">
        <v>0</v>
      </c>
      <c r="AE206" s="17">
        <v>0</v>
      </c>
    </row>
    <row r="207" spans="3:31" ht="14.4">
      <c r="C207" s="283"/>
      <c r="D207" s="284"/>
      <c r="E207" s="147"/>
      <c r="F207" s="286" t="s">
        <v>1016</v>
      </c>
      <c r="G207" s="286" t="s">
        <v>530</v>
      </c>
      <c r="H207" s="284" t="s">
        <v>723</v>
      </c>
      <c r="I207" s="284" t="s">
        <v>305</v>
      </c>
      <c r="J207" s="284" t="s">
        <v>115</v>
      </c>
      <c r="K207" s="287" t="s">
        <v>118</v>
      </c>
      <c r="L207" s="294">
        <v>2</v>
      </c>
      <c r="M207" s="362"/>
      <c r="N207" s="291"/>
      <c r="O207" s="291"/>
      <c r="P207" s="291"/>
      <c r="Q207" s="291"/>
      <c r="R207" s="291"/>
      <c r="S207" s="291"/>
      <c r="T207" s="291"/>
      <c r="U207" s="291"/>
      <c r="V207" s="291"/>
      <c r="W207" s="291"/>
      <c r="X207" s="291"/>
      <c r="Y207" s="291"/>
      <c r="Z207" s="177">
        <f>SUM(N207:Y207)*L207</f>
        <v>0</v>
      </c>
      <c r="AA207" s="8">
        <f>SUM(N207:Y207)</f>
        <v>0</v>
      </c>
      <c r="AD207" s="8">
        <v>0</v>
      </c>
      <c r="AE207" s="17">
        <v>0</v>
      </c>
    </row>
    <row r="208" spans="3:31" ht="15.6" hidden="1">
      <c r="C208" s="314" t="s">
        <v>770</v>
      </c>
      <c r="D208" s="174" t="s">
        <v>22</v>
      </c>
      <c r="E208" s="181">
        <f>SUM(N208:Y208)</f>
        <v>300</v>
      </c>
      <c r="F208" s="175" t="s">
        <v>989</v>
      </c>
      <c r="G208" s="175" t="s">
        <v>622</v>
      </c>
      <c r="H208" s="181"/>
      <c r="I208" s="182"/>
      <c r="J208" s="182"/>
      <c r="K208" s="182" t="s">
        <v>369</v>
      </c>
      <c r="L208" s="182"/>
      <c r="M208" s="363"/>
      <c r="N208" s="181">
        <f>SUMIFS('FCST data'!Q:Q,'FCST data'!$D:$D,$F208,'FCST data'!$K:$K,$G208,'FCST data'!$N:$N,'SSD_eMMC_non volatile'!$K208)</f>
        <v>0</v>
      </c>
      <c r="O208" s="181">
        <f>SUMIFS('FCST data'!R:R,'FCST data'!$D:$D,$F208,'FCST data'!$K:$K,$G208,'FCST data'!$N:$N,'SSD_eMMC_non volatile'!$K208)</f>
        <v>0</v>
      </c>
      <c r="P208" s="181">
        <f>SUMIFS('FCST data'!S:S,'FCST data'!$D:$D,$F208,'FCST data'!$K:$K,$G208,'FCST data'!$N:$N,'SSD_eMMC_non volatile'!$K208)</f>
        <v>0</v>
      </c>
      <c r="Q208" s="181">
        <f>SUMIFS('FCST data'!T:T,'FCST data'!$D:$D,$F208,'FCST data'!$K:$K,$G208,'FCST data'!$N:$N,'SSD_eMMC_non volatile'!$K208)</f>
        <v>0</v>
      </c>
      <c r="R208" s="181">
        <f>SUMIFS('FCST data'!U:U,'FCST data'!$D:$D,$F208,'FCST data'!$K:$K,$G208,'FCST data'!$N:$N,'SSD_eMMC_non volatile'!$K208)</f>
        <v>0</v>
      </c>
      <c r="S208" s="181">
        <f>SUMIFS('FCST data'!V:V,'FCST data'!$D:$D,$F208,'FCST data'!$K:$K,$G208,'FCST data'!$N:$N,'SSD_eMMC_non volatile'!$K208)</f>
        <v>0</v>
      </c>
      <c r="T208" s="181">
        <f>SUMIFS('FCST data'!W:W,'FCST data'!$D:$D,$F208,'FCST data'!$K:$K,$G208,'FCST data'!$N:$N,'SSD_eMMC_non volatile'!$K208)</f>
        <v>0</v>
      </c>
      <c r="U208" s="181">
        <f>SUMIFS('FCST data'!X:X,'FCST data'!$D:$D,$F208,'FCST data'!$K:$K,$G208,'FCST data'!$N:$N,'SSD_eMMC_non volatile'!$K208)</f>
        <v>150</v>
      </c>
      <c r="V208" s="181">
        <f>SUMIFS('FCST data'!Y:Y,'FCST data'!$D:$D,$F208,'FCST data'!$K:$K,$G208,'FCST data'!$N:$N,'SSD_eMMC_non volatile'!$K208)</f>
        <v>150</v>
      </c>
      <c r="W208" s="181">
        <f>SUMIFS('FCST data'!Z:Z,'FCST data'!$D:$D,$F208,'FCST data'!$K:$K,$G208,'FCST data'!$N:$N,'SSD_eMMC_non volatile'!$K208)</f>
        <v>0</v>
      </c>
      <c r="X208" s="181">
        <f>SUMIFS('FCST data'!AA:AA,'FCST data'!$D:$D,$F208,'FCST data'!$K:$K,$G208,'FCST data'!$N:$N,'SSD_eMMC_non volatile'!$K208)</f>
        <v>0</v>
      </c>
      <c r="Y208" s="181">
        <f>SUMIFS('FCST data'!AB:AB,'FCST data'!$D:$D,$F208,'FCST data'!$K:$K,$G208,'FCST data'!$N:$N,'SSD_eMMC_non volatile'!$K208)</f>
        <v>0</v>
      </c>
      <c r="Z208" s="148"/>
      <c r="AA208" s="320"/>
      <c r="AB208" s="17">
        <f>E208-SUM(AA209:AA210)</f>
        <v>0</v>
      </c>
    </row>
    <row r="209" spans="3:28" ht="14.4" hidden="1">
      <c r="C209" s="283"/>
      <c r="D209" s="284"/>
      <c r="E209" s="147"/>
      <c r="F209" s="286" t="s">
        <v>989</v>
      </c>
      <c r="G209" s="286" t="s">
        <v>622</v>
      </c>
      <c r="H209" s="284" t="s">
        <v>724</v>
      </c>
      <c r="I209" s="287" t="s">
        <v>725</v>
      </c>
      <c r="J209" s="284" t="s">
        <v>115</v>
      </c>
      <c r="K209" s="287" t="s">
        <v>118</v>
      </c>
      <c r="L209" s="322">
        <v>1</v>
      </c>
      <c r="M209" s="359" t="s">
        <v>647</v>
      </c>
      <c r="N209" s="291"/>
      <c r="O209" s="291"/>
      <c r="P209" s="291"/>
      <c r="Q209" s="291"/>
      <c r="R209" s="291"/>
      <c r="S209" s="291"/>
      <c r="T209" s="291"/>
      <c r="U209" s="291">
        <v>150</v>
      </c>
      <c r="V209" s="291">
        <v>150</v>
      </c>
      <c r="W209" s="291"/>
      <c r="X209" s="291"/>
      <c r="Y209" s="291"/>
      <c r="Z209" s="177">
        <f>SUM(N209:Y209)*L209</f>
        <v>300</v>
      </c>
      <c r="AA209" s="8">
        <f>SUM(N209:Y209)</f>
        <v>300</v>
      </c>
    </row>
    <row r="210" spans="3:28" ht="14.4">
      <c r="C210" s="283"/>
      <c r="D210" s="284"/>
      <c r="E210" s="147"/>
      <c r="F210" s="286" t="s">
        <v>989</v>
      </c>
      <c r="G210" s="286" t="s">
        <v>622</v>
      </c>
      <c r="H210" s="284" t="s">
        <v>723</v>
      </c>
      <c r="I210" s="284" t="s">
        <v>305</v>
      </c>
      <c r="J210" s="284" t="s">
        <v>115</v>
      </c>
      <c r="K210" s="287" t="s">
        <v>118</v>
      </c>
      <c r="L210" s="294">
        <v>2</v>
      </c>
      <c r="M210" s="362"/>
      <c r="N210" s="291"/>
      <c r="O210" s="291"/>
      <c r="P210" s="291"/>
      <c r="Q210" s="291"/>
      <c r="R210" s="291"/>
      <c r="S210" s="291"/>
      <c r="T210" s="291"/>
      <c r="U210" s="291"/>
      <c r="V210" s="291"/>
      <c r="W210" s="291"/>
      <c r="X210" s="291"/>
      <c r="Y210" s="291"/>
      <c r="Z210" s="177">
        <f>SUM(N210:Y210)*L210</f>
        <v>0</v>
      </c>
      <c r="AA210" s="8">
        <f>SUM(N210:Y210)</f>
        <v>0</v>
      </c>
    </row>
    <row r="211" spans="3:28" ht="15.6" hidden="1">
      <c r="C211" s="314" t="s">
        <v>770</v>
      </c>
      <c r="D211" s="174" t="s">
        <v>22</v>
      </c>
      <c r="E211" s="181">
        <f>SUM(N211:Y211)</f>
        <v>0</v>
      </c>
      <c r="F211" s="175" t="s">
        <v>989</v>
      </c>
      <c r="G211" s="175" t="s">
        <v>622</v>
      </c>
      <c r="H211" s="181"/>
      <c r="I211" s="182"/>
      <c r="J211" s="182"/>
      <c r="K211" s="182" t="s">
        <v>535</v>
      </c>
      <c r="L211" s="182"/>
      <c r="M211" s="363"/>
      <c r="N211" s="181">
        <f>SUMIFS('FCST data'!Q:Q,'FCST data'!$D:$D,$F211,'FCST data'!$K:$K,$G211,'FCST data'!$N:$N,'SSD_eMMC_non volatile'!$K211)</f>
        <v>0</v>
      </c>
      <c r="O211" s="181">
        <f>SUMIFS('FCST data'!R:R,'FCST data'!$D:$D,$F211,'FCST data'!$K:$K,$G211,'FCST data'!$N:$N,'SSD_eMMC_non volatile'!$K211)</f>
        <v>0</v>
      </c>
      <c r="P211" s="181">
        <f>SUMIFS('FCST data'!S:S,'FCST data'!$D:$D,$F211,'FCST data'!$K:$K,$G211,'FCST data'!$N:$N,'SSD_eMMC_non volatile'!$K211)</f>
        <v>0</v>
      </c>
      <c r="Q211" s="181">
        <f>SUMIFS('FCST data'!T:T,'FCST data'!$D:$D,$F211,'FCST data'!$K:$K,$G211,'FCST data'!$N:$N,'SSD_eMMC_non volatile'!$K211)</f>
        <v>0</v>
      </c>
      <c r="R211" s="181">
        <f>SUMIFS('FCST data'!U:U,'FCST data'!$D:$D,$F211,'FCST data'!$K:$K,$G211,'FCST data'!$N:$N,'SSD_eMMC_non volatile'!$K211)</f>
        <v>0</v>
      </c>
      <c r="S211" s="181">
        <f>SUMIFS('FCST data'!V:V,'FCST data'!$D:$D,$F211,'FCST data'!$K:$K,$G211,'FCST data'!$N:$N,'SSD_eMMC_non volatile'!$K211)</f>
        <v>0</v>
      </c>
      <c r="T211" s="181">
        <f>SUMIFS('FCST data'!W:W,'FCST data'!$D:$D,$F211,'FCST data'!$K:$K,$G211,'FCST data'!$N:$N,'SSD_eMMC_non volatile'!$K211)</f>
        <v>0</v>
      </c>
      <c r="U211" s="181">
        <f>SUMIFS('FCST data'!X:X,'FCST data'!$D:$D,$F211,'FCST data'!$K:$K,$G211,'FCST data'!$N:$N,'SSD_eMMC_non volatile'!$K211)</f>
        <v>0</v>
      </c>
      <c r="V211" s="181">
        <f>SUMIFS('FCST data'!Y:Y,'FCST data'!$D:$D,$F211,'FCST data'!$K:$K,$G211,'FCST data'!$N:$N,'SSD_eMMC_non volatile'!$K211)</f>
        <v>0</v>
      </c>
      <c r="W211" s="181">
        <f>SUMIFS('FCST data'!Z:Z,'FCST data'!$D:$D,$F211,'FCST data'!$K:$K,$G211,'FCST data'!$N:$N,'SSD_eMMC_non volatile'!$K211)</f>
        <v>0</v>
      </c>
      <c r="X211" s="181">
        <f>SUMIFS('FCST data'!AA:AA,'FCST data'!$D:$D,$F211,'FCST data'!$K:$K,$G211,'FCST data'!$N:$N,'SSD_eMMC_non volatile'!$K211)</f>
        <v>0</v>
      </c>
      <c r="Y211" s="181">
        <f>SUMIFS('FCST data'!AB:AB,'FCST data'!$D:$D,$F211,'FCST data'!$K:$K,$G211,'FCST data'!$N:$N,'SSD_eMMC_non volatile'!$K211)</f>
        <v>0</v>
      </c>
      <c r="Z211" s="148"/>
      <c r="AA211" s="320"/>
      <c r="AB211" s="17">
        <f>E211-SUM(AA212:AA213)</f>
        <v>0</v>
      </c>
    </row>
    <row r="212" spans="3:28" ht="14.4" hidden="1">
      <c r="C212" s="283"/>
      <c r="D212" s="284"/>
      <c r="E212" s="147"/>
      <c r="F212" s="286" t="s">
        <v>989</v>
      </c>
      <c r="G212" s="286" t="s">
        <v>622</v>
      </c>
      <c r="H212" s="284" t="s">
        <v>724</v>
      </c>
      <c r="I212" s="287" t="s">
        <v>725</v>
      </c>
      <c r="J212" s="284" t="s">
        <v>115</v>
      </c>
      <c r="K212" s="287" t="s">
        <v>114</v>
      </c>
      <c r="L212" s="322">
        <v>2</v>
      </c>
      <c r="M212" s="359" t="s">
        <v>578</v>
      </c>
      <c r="N212" s="291"/>
      <c r="O212" s="291"/>
      <c r="P212" s="291"/>
      <c r="Q212" s="291"/>
      <c r="R212" s="291"/>
      <c r="S212" s="291"/>
      <c r="T212" s="291"/>
      <c r="U212" s="291"/>
      <c r="V212" s="291"/>
      <c r="W212" s="291"/>
      <c r="X212" s="291"/>
      <c r="Y212" s="291"/>
      <c r="Z212" s="177">
        <f>SUM(N212:Y212)*L212</f>
        <v>0</v>
      </c>
      <c r="AA212" s="8">
        <f>SUM(N212:Y212)</f>
        <v>0</v>
      </c>
    </row>
    <row r="213" spans="3:28" ht="14.4">
      <c r="C213" s="283"/>
      <c r="D213" s="284"/>
      <c r="E213" s="147"/>
      <c r="F213" s="286" t="s">
        <v>989</v>
      </c>
      <c r="G213" s="286" t="s">
        <v>622</v>
      </c>
      <c r="H213" s="284" t="s">
        <v>723</v>
      </c>
      <c r="I213" s="284" t="s">
        <v>305</v>
      </c>
      <c r="J213" s="284" t="s">
        <v>115</v>
      </c>
      <c r="K213" s="287" t="s">
        <v>114</v>
      </c>
      <c r="L213" s="294">
        <v>2</v>
      </c>
      <c r="M213" s="362"/>
      <c r="N213" s="291"/>
      <c r="O213" s="291"/>
      <c r="P213" s="291"/>
      <c r="Q213" s="291"/>
      <c r="R213" s="291"/>
      <c r="S213" s="291"/>
      <c r="T213" s="291"/>
      <c r="U213" s="291"/>
      <c r="V213" s="291"/>
      <c r="W213" s="291"/>
      <c r="X213" s="291"/>
      <c r="Y213" s="291"/>
      <c r="Z213" s="177">
        <f>SUM(N213:Y213)*L213</f>
        <v>0</v>
      </c>
      <c r="AA213" s="8">
        <f>SUM(N213:Y213)</f>
        <v>0</v>
      </c>
    </row>
    <row r="214" spans="3:28" ht="15.6" hidden="1">
      <c r="C214" s="314" t="s">
        <v>770</v>
      </c>
      <c r="D214" s="174" t="s">
        <v>22</v>
      </c>
      <c r="E214" s="181">
        <f>SUM(N214:Y214)</f>
        <v>2150</v>
      </c>
      <c r="F214" s="175" t="s">
        <v>990</v>
      </c>
      <c r="G214" s="175" t="s">
        <v>1064</v>
      </c>
      <c r="H214" s="181"/>
      <c r="I214" s="182"/>
      <c r="J214" s="182"/>
      <c r="K214" s="182" t="s">
        <v>369</v>
      </c>
      <c r="L214" s="182"/>
      <c r="M214" s="363"/>
      <c r="N214" s="181">
        <f>SUMIFS('FCST data'!Q:Q,'FCST data'!$D:$D,$F214,'FCST data'!$K:$K,$G214,'FCST data'!$N:$N,'SSD_eMMC_non volatile'!$K214)</f>
        <v>0</v>
      </c>
      <c r="O214" s="181">
        <f>SUMIFS('FCST data'!R:R,'FCST data'!$D:$D,$F214,'FCST data'!$K:$K,$G214,'FCST data'!$N:$N,'SSD_eMMC_non volatile'!$K214)</f>
        <v>0</v>
      </c>
      <c r="P214" s="181">
        <f>SUMIFS('FCST data'!S:S,'FCST data'!$D:$D,$F214,'FCST data'!$K:$K,$G214,'FCST data'!$N:$N,'SSD_eMMC_non volatile'!$K214)</f>
        <v>0</v>
      </c>
      <c r="Q214" s="181">
        <f>SUMIFS('FCST data'!T:T,'FCST data'!$D:$D,$F214,'FCST data'!$K:$K,$G214,'FCST data'!$N:$N,'SSD_eMMC_non volatile'!$K214)</f>
        <v>0</v>
      </c>
      <c r="R214" s="181">
        <f>SUMIFS('FCST data'!U:U,'FCST data'!$D:$D,$F214,'FCST data'!$K:$K,$G214,'FCST data'!$N:$N,'SSD_eMMC_non volatile'!$K214)</f>
        <v>0</v>
      </c>
      <c r="S214" s="181">
        <f>SUMIFS('FCST data'!V:V,'FCST data'!$D:$D,$F214,'FCST data'!$K:$K,$G214,'FCST data'!$N:$N,'SSD_eMMC_non volatile'!$K214)</f>
        <v>0</v>
      </c>
      <c r="T214" s="181">
        <f>SUMIFS('FCST data'!W:W,'FCST data'!$D:$D,$F214,'FCST data'!$K:$K,$G214,'FCST data'!$N:$N,'SSD_eMMC_non volatile'!$K214)</f>
        <v>650</v>
      </c>
      <c r="U214" s="181">
        <f>SUMIFS('FCST data'!X:X,'FCST data'!$D:$D,$F214,'FCST data'!$K:$K,$G214,'FCST data'!$N:$N,'SSD_eMMC_non volatile'!$K214)</f>
        <v>750</v>
      </c>
      <c r="V214" s="181">
        <f>SUMIFS('FCST data'!Y:Y,'FCST data'!$D:$D,$F214,'FCST data'!$K:$K,$G214,'FCST data'!$N:$N,'SSD_eMMC_non volatile'!$K214)</f>
        <v>750</v>
      </c>
      <c r="W214" s="181">
        <f>SUMIFS('FCST data'!Z:Z,'FCST data'!$D:$D,$F214,'FCST data'!$K:$K,$G214,'FCST data'!$N:$N,'SSD_eMMC_non volatile'!$K214)</f>
        <v>0</v>
      </c>
      <c r="X214" s="181">
        <f>SUMIFS('FCST data'!AA:AA,'FCST data'!$D:$D,$F214,'FCST data'!$K:$K,$G214,'FCST data'!$N:$N,'SSD_eMMC_non volatile'!$K214)</f>
        <v>0</v>
      </c>
      <c r="Y214" s="181">
        <f>SUMIFS('FCST data'!AB:AB,'FCST data'!$D:$D,$F214,'FCST data'!$K:$K,$G214,'FCST data'!$N:$N,'SSD_eMMC_non volatile'!$K214)</f>
        <v>0</v>
      </c>
      <c r="Z214" s="148"/>
      <c r="AA214" s="320"/>
      <c r="AB214" s="17">
        <f>E214-SUM(AA215:AA216)</f>
        <v>0</v>
      </c>
    </row>
    <row r="215" spans="3:28" ht="14.4" hidden="1">
      <c r="C215" s="283"/>
      <c r="D215" s="284"/>
      <c r="E215" s="147"/>
      <c r="F215" s="286" t="s">
        <v>990</v>
      </c>
      <c r="G215" s="286" t="s">
        <v>1064</v>
      </c>
      <c r="H215" s="284" t="s">
        <v>724</v>
      </c>
      <c r="I215" s="287" t="s">
        <v>725</v>
      </c>
      <c r="J215" s="284" t="s">
        <v>115</v>
      </c>
      <c r="K215" s="287" t="s">
        <v>118</v>
      </c>
      <c r="L215" s="322">
        <v>1</v>
      </c>
      <c r="M215" s="359" t="s">
        <v>647</v>
      </c>
      <c r="N215" s="291"/>
      <c r="O215" s="291"/>
      <c r="P215" s="291"/>
      <c r="Q215" s="291"/>
      <c r="R215" s="291"/>
      <c r="S215" s="291"/>
      <c r="T215" s="291">
        <v>650</v>
      </c>
      <c r="U215" s="291">
        <v>750</v>
      </c>
      <c r="V215" s="291">
        <v>750</v>
      </c>
      <c r="W215" s="291"/>
      <c r="X215" s="291"/>
      <c r="Y215" s="291"/>
      <c r="Z215" s="177">
        <f>SUM(N215:Y215)*L215</f>
        <v>2150</v>
      </c>
      <c r="AA215" s="8">
        <f>SUM(N215:Y215)</f>
        <v>2150</v>
      </c>
    </row>
    <row r="216" spans="3:28" ht="14.4">
      <c r="C216" s="283"/>
      <c r="D216" s="284"/>
      <c r="E216" s="147"/>
      <c r="F216" s="286" t="s">
        <v>990</v>
      </c>
      <c r="G216" s="286" t="s">
        <v>1064</v>
      </c>
      <c r="H216" s="284" t="s">
        <v>723</v>
      </c>
      <c r="I216" s="284" t="s">
        <v>305</v>
      </c>
      <c r="J216" s="284" t="s">
        <v>115</v>
      </c>
      <c r="K216" s="287" t="s">
        <v>118</v>
      </c>
      <c r="L216" s="294">
        <v>2</v>
      </c>
      <c r="M216" s="362"/>
      <c r="N216" s="291"/>
      <c r="O216" s="291"/>
      <c r="P216" s="291"/>
      <c r="Q216" s="291"/>
      <c r="R216" s="291"/>
      <c r="S216" s="291"/>
      <c r="T216" s="291"/>
      <c r="U216" s="291"/>
      <c r="V216" s="291"/>
      <c r="W216" s="291"/>
      <c r="X216" s="291"/>
      <c r="Y216" s="291"/>
      <c r="Z216" s="177">
        <f>SUM(N216:Y216)*L216</f>
        <v>0</v>
      </c>
      <c r="AA216" s="8">
        <f>SUM(N216:Y216)</f>
        <v>0</v>
      </c>
    </row>
    <row r="217" spans="3:28" ht="15.6" hidden="1">
      <c r="C217" s="314" t="s">
        <v>770</v>
      </c>
      <c r="D217" s="174" t="s">
        <v>22</v>
      </c>
      <c r="E217" s="181">
        <f>SUM(N217:Y217)</f>
        <v>400</v>
      </c>
      <c r="F217" s="175" t="s">
        <v>1018</v>
      </c>
      <c r="G217" s="175" t="s">
        <v>1065</v>
      </c>
      <c r="H217" s="181"/>
      <c r="I217" s="182"/>
      <c r="J217" s="182"/>
      <c r="K217" s="182" t="s">
        <v>369</v>
      </c>
      <c r="L217" s="182"/>
      <c r="M217" s="363"/>
      <c r="N217" s="181">
        <f>SUMIFS('FCST data'!Q:Q,'FCST data'!$D:$D,$F217,'FCST data'!$K:$K,$G217,'FCST data'!$N:$N,'SSD_eMMC_non volatile'!$K217)</f>
        <v>0</v>
      </c>
      <c r="O217" s="181">
        <f>SUMIFS('FCST data'!R:R,'FCST data'!$D:$D,$F217,'FCST data'!$K:$K,$G217,'FCST data'!$N:$N,'SSD_eMMC_non volatile'!$K217)</f>
        <v>0</v>
      </c>
      <c r="P217" s="181">
        <f>SUMIFS('FCST data'!S:S,'FCST data'!$D:$D,$F217,'FCST data'!$K:$K,$G217,'FCST data'!$N:$N,'SSD_eMMC_non volatile'!$K217)</f>
        <v>0</v>
      </c>
      <c r="Q217" s="181">
        <f>SUMIFS('FCST data'!T:T,'FCST data'!$D:$D,$F217,'FCST data'!$K:$K,$G217,'FCST data'!$N:$N,'SSD_eMMC_non volatile'!$K217)</f>
        <v>0</v>
      </c>
      <c r="R217" s="181">
        <f>SUMIFS('FCST data'!U:U,'FCST data'!$D:$D,$F217,'FCST data'!$K:$K,$G217,'FCST data'!$N:$N,'SSD_eMMC_non volatile'!$K217)</f>
        <v>0</v>
      </c>
      <c r="S217" s="181">
        <f>SUMIFS('FCST data'!V:V,'FCST data'!$D:$D,$F217,'FCST data'!$K:$K,$G217,'FCST data'!$N:$N,'SSD_eMMC_non volatile'!$K217)</f>
        <v>0</v>
      </c>
      <c r="T217" s="181">
        <f>SUMIFS('FCST data'!W:W,'FCST data'!$D:$D,$F217,'FCST data'!$K:$K,$G217,'FCST data'!$N:$N,'SSD_eMMC_non volatile'!$K217)</f>
        <v>200</v>
      </c>
      <c r="U217" s="181">
        <f>SUMIFS('FCST data'!X:X,'FCST data'!$D:$D,$F217,'FCST data'!$K:$K,$G217,'FCST data'!$N:$N,'SSD_eMMC_non volatile'!$K217)</f>
        <v>100</v>
      </c>
      <c r="V217" s="181">
        <f>SUMIFS('FCST data'!Y:Y,'FCST data'!$D:$D,$F217,'FCST data'!$K:$K,$G217,'FCST data'!$N:$N,'SSD_eMMC_non volatile'!$K217)</f>
        <v>100</v>
      </c>
      <c r="W217" s="181">
        <f>SUMIFS('FCST data'!Z:Z,'FCST data'!$D:$D,$F217,'FCST data'!$K:$K,$G217,'FCST data'!$N:$N,'SSD_eMMC_non volatile'!$K217)</f>
        <v>0</v>
      </c>
      <c r="X217" s="181">
        <f>SUMIFS('FCST data'!AA:AA,'FCST data'!$D:$D,$F217,'FCST data'!$K:$K,$G217,'FCST data'!$N:$N,'SSD_eMMC_non volatile'!$K217)</f>
        <v>0</v>
      </c>
      <c r="Y217" s="181">
        <f>SUMIFS('FCST data'!AB:AB,'FCST data'!$D:$D,$F217,'FCST data'!$K:$K,$G217,'FCST data'!$N:$N,'SSD_eMMC_non volatile'!$K217)</f>
        <v>0</v>
      </c>
      <c r="Z217" s="148"/>
      <c r="AA217" s="320"/>
      <c r="AB217" s="17">
        <f>E217-SUM(AA218:AA219)</f>
        <v>0</v>
      </c>
    </row>
    <row r="218" spans="3:28" ht="14.4" hidden="1">
      <c r="C218" s="283"/>
      <c r="D218" s="284"/>
      <c r="E218" s="147"/>
      <c r="F218" s="286" t="s">
        <v>1018</v>
      </c>
      <c r="G218" s="286" t="s">
        <v>1065</v>
      </c>
      <c r="H218" s="284" t="s">
        <v>724</v>
      </c>
      <c r="I218" s="287" t="s">
        <v>725</v>
      </c>
      <c r="J218" s="284" t="s">
        <v>115</v>
      </c>
      <c r="K218" s="287" t="s">
        <v>118</v>
      </c>
      <c r="L218" s="322">
        <v>2</v>
      </c>
      <c r="M218" s="359" t="s">
        <v>1039</v>
      </c>
      <c r="N218" s="291"/>
      <c r="O218" s="291"/>
      <c r="P218" s="291"/>
      <c r="Q218" s="291"/>
      <c r="R218" s="291"/>
      <c r="S218" s="291"/>
      <c r="T218" s="291">
        <v>200</v>
      </c>
      <c r="U218" s="291">
        <v>100</v>
      </c>
      <c r="V218" s="291">
        <v>100</v>
      </c>
      <c r="W218" s="291"/>
      <c r="X218" s="291"/>
      <c r="Y218" s="291"/>
      <c r="Z218" s="177">
        <f>SUM(N218:Y218)*L218</f>
        <v>800</v>
      </c>
      <c r="AA218" s="8">
        <f>SUM(N218:Y218)</f>
        <v>400</v>
      </c>
    </row>
    <row r="219" spans="3:28" ht="14.4">
      <c r="C219" s="283"/>
      <c r="D219" s="284"/>
      <c r="E219" s="147"/>
      <c r="F219" s="286" t="s">
        <v>1018</v>
      </c>
      <c r="G219" s="286" t="s">
        <v>1065</v>
      </c>
      <c r="H219" s="284" t="s">
        <v>723</v>
      </c>
      <c r="I219" s="284" t="s">
        <v>305</v>
      </c>
      <c r="J219" s="284" t="s">
        <v>115</v>
      </c>
      <c r="K219" s="287" t="s">
        <v>118</v>
      </c>
      <c r="L219" s="294">
        <v>2</v>
      </c>
      <c r="M219" s="362"/>
      <c r="N219" s="291"/>
      <c r="O219" s="291"/>
      <c r="P219" s="291"/>
      <c r="Q219" s="291"/>
      <c r="R219" s="291"/>
      <c r="S219" s="291"/>
      <c r="T219" s="291"/>
      <c r="U219" s="291"/>
      <c r="V219" s="291"/>
      <c r="W219" s="291"/>
      <c r="X219" s="291"/>
      <c r="Y219" s="291"/>
      <c r="Z219" s="177">
        <f>SUM(N219:Y219)*L219</f>
        <v>0</v>
      </c>
      <c r="AA219" s="8">
        <f>SUM(N219:Y219)</f>
        <v>0</v>
      </c>
    </row>
    <row r="220" spans="3:28" ht="15.6" hidden="1">
      <c r="C220" s="314" t="s">
        <v>770</v>
      </c>
      <c r="D220" s="174" t="s">
        <v>22</v>
      </c>
      <c r="E220" s="181">
        <f>SUM(N220:Y220)</f>
        <v>210</v>
      </c>
      <c r="F220" s="175" t="s">
        <v>1003</v>
      </c>
      <c r="G220" s="175" t="s">
        <v>1066</v>
      </c>
      <c r="H220" s="181"/>
      <c r="I220" s="182"/>
      <c r="J220" s="182"/>
      <c r="K220" s="182" t="s">
        <v>535</v>
      </c>
      <c r="L220" s="182"/>
      <c r="M220" s="363"/>
      <c r="N220" s="181">
        <f>SUMIFS('FCST data'!Q:Q,'FCST data'!$D:$D,$F220,'FCST data'!$K:$K,$G220,'FCST data'!$N:$N,'SSD_eMMC_non volatile'!$K220)</f>
        <v>0</v>
      </c>
      <c r="O220" s="181">
        <f>SUMIFS('FCST data'!R:R,'FCST data'!$D:$D,$F220,'FCST data'!$K:$K,$G220,'FCST data'!$N:$N,'SSD_eMMC_non volatile'!$K220)</f>
        <v>0</v>
      </c>
      <c r="P220" s="181">
        <f>SUMIFS('FCST data'!S:S,'FCST data'!$D:$D,$F220,'FCST data'!$K:$K,$G220,'FCST data'!$N:$N,'SSD_eMMC_non volatile'!$K220)</f>
        <v>0</v>
      </c>
      <c r="Q220" s="181">
        <f>SUMIFS('FCST data'!T:T,'FCST data'!$D:$D,$F220,'FCST data'!$K:$K,$G220,'FCST data'!$N:$N,'SSD_eMMC_non volatile'!$K220)</f>
        <v>0</v>
      </c>
      <c r="R220" s="181">
        <f>SUMIFS('FCST data'!U:U,'FCST data'!$D:$D,$F220,'FCST data'!$K:$K,$G220,'FCST data'!$N:$N,'SSD_eMMC_non volatile'!$K220)</f>
        <v>0</v>
      </c>
      <c r="S220" s="181">
        <f>SUMIFS('FCST data'!V:V,'FCST data'!$D:$D,$F220,'FCST data'!$K:$K,$G220,'FCST data'!$N:$N,'SSD_eMMC_non volatile'!$K220)</f>
        <v>0</v>
      </c>
      <c r="T220" s="181">
        <f>SUMIFS('FCST data'!W:W,'FCST data'!$D:$D,$F220,'FCST data'!$K:$K,$G220,'FCST data'!$N:$N,'SSD_eMMC_non volatile'!$K220)</f>
        <v>210</v>
      </c>
      <c r="U220" s="181">
        <f>SUMIFS('FCST data'!X:X,'FCST data'!$D:$D,$F220,'FCST data'!$K:$K,$G220,'FCST data'!$N:$N,'SSD_eMMC_non volatile'!$K220)</f>
        <v>0</v>
      </c>
      <c r="V220" s="181">
        <f>SUMIFS('FCST data'!Y:Y,'FCST data'!$D:$D,$F220,'FCST data'!$K:$K,$G220,'FCST data'!$N:$N,'SSD_eMMC_non volatile'!$K220)</f>
        <v>0</v>
      </c>
      <c r="W220" s="181">
        <f>SUMIFS('FCST data'!Z:Z,'FCST data'!$D:$D,$F220,'FCST data'!$K:$K,$G220,'FCST data'!$N:$N,'SSD_eMMC_non volatile'!$K220)</f>
        <v>0</v>
      </c>
      <c r="X220" s="181">
        <f>SUMIFS('FCST data'!AA:AA,'FCST data'!$D:$D,$F220,'FCST data'!$K:$K,$G220,'FCST data'!$N:$N,'SSD_eMMC_non volatile'!$K220)</f>
        <v>0</v>
      </c>
      <c r="Y220" s="181">
        <f>SUMIFS('FCST data'!AB:AB,'FCST data'!$D:$D,$F220,'FCST data'!$K:$K,$G220,'FCST data'!$N:$N,'SSD_eMMC_non volatile'!$K220)</f>
        <v>0</v>
      </c>
      <c r="Z220" s="148"/>
      <c r="AA220" s="320"/>
      <c r="AB220" s="17">
        <f>E220-SUM(AA221:AA222)</f>
        <v>0</v>
      </c>
    </row>
    <row r="221" spans="3:28" ht="14.4" hidden="1">
      <c r="C221" s="283"/>
      <c r="D221" s="284"/>
      <c r="E221" s="147"/>
      <c r="F221" s="286" t="s">
        <v>1003</v>
      </c>
      <c r="G221" s="286" t="s">
        <v>1066</v>
      </c>
      <c r="H221" s="284" t="s">
        <v>724</v>
      </c>
      <c r="I221" s="287" t="s">
        <v>725</v>
      </c>
      <c r="J221" s="284" t="s">
        <v>115</v>
      </c>
      <c r="K221" s="287" t="s">
        <v>114</v>
      </c>
      <c r="L221" s="322">
        <v>2</v>
      </c>
      <c r="M221" s="359" t="s">
        <v>1040</v>
      </c>
      <c r="N221" s="291"/>
      <c r="O221" s="291"/>
      <c r="P221" s="291"/>
      <c r="Q221" s="291"/>
      <c r="R221" s="291"/>
      <c r="S221" s="291"/>
      <c r="T221" s="291">
        <v>210</v>
      </c>
      <c r="U221" s="291">
        <v>0</v>
      </c>
      <c r="V221" s="291">
        <v>0</v>
      </c>
      <c r="W221" s="291"/>
      <c r="X221" s="291"/>
      <c r="Y221" s="291"/>
      <c r="Z221" s="177">
        <f>SUM(N221:Y221)*L221</f>
        <v>420</v>
      </c>
      <c r="AA221" s="8">
        <f>SUM(N221:Y221)</f>
        <v>210</v>
      </c>
    </row>
    <row r="222" spans="3:28" ht="14.4">
      <c r="C222" s="283"/>
      <c r="D222" s="284"/>
      <c r="E222" s="147"/>
      <c r="F222" s="286" t="s">
        <v>1003</v>
      </c>
      <c r="G222" s="286" t="s">
        <v>1066</v>
      </c>
      <c r="H222" s="284" t="s">
        <v>723</v>
      </c>
      <c r="I222" s="284" t="s">
        <v>305</v>
      </c>
      <c r="J222" s="284" t="s">
        <v>115</v>
      </c>
      <c r="K222" s="287" t="s">
        <v>114</v>
      </c>
      <c r="L222" s="294">
        <v>2</v>
      </c>
      <c r="M222" s="362"/>
      <c r="N222" s="291"/>
      <c r="O222" s="291"/>
      <c r="P222" s="291"/>
      <c r="Q222" s="291"/>
      <c r="R222" s="291"/>
      <c r="S222" s="291"/>
      <c r="T222" s="291"/>
      <c r="U222" s="291"/>
      <c r="V222" s="291"/>
      <c r="W222" s="291"/>
      <c r="X222" s="291"/>
      <c r="Y222" s="291"/>
      <c r="Z222" s="177">
        <f>SUM(N222:Y222)*L222</f>
        <v>0</v>
      </c>
      <c r="AA222" s="8">
        <f>SUM(N222:Y222)</f>
        <v>0</v>
      </c>
    </row>
    <row r="223" spans="3:28">
      <c r="N223" s="17">
        <f>SUBTOTAL(9,N14:N222)</f>
        <v>0</v>
      </c>
      <c r="O223" s="17">
        <f t="shared" ref="O223:Y223" si="0">SUBTOTAL(9,O14:O222)</f>
        <v>0</v>
      </c>
      <c r="P223" s="17">
        <f t="shared" si="0"/>
        <v>0</v>
      </c>
      <c r="Q223" s="17">
        <f t="shared" si="0"/>
        <v>0</v>
      </c>
      <c r="R223" s="17">
        <f t="shared" si="0"/>
        <v>100</v>
      </c>
      <c r="S223" s="17">
        <f t="shared" si="0"/>
        <v>4400</v>
      </c>
      <c r="T223" s="17">
        <f t="shared" si="0"/>
        <v>6480</v>
      </c>
      <c r="U223" s="17">
        <f t="shared" si="0"/>
        <v>6480</v>
      </c>
      <c r="V223" s="17">
        <f t="shared" si="0"/>
        <v>6480</v>
      </c>
      <c r="W223" s="17">
        <f t="shared" si="0"/>
        <v>0</v>
      </c>
      <c r="X223" s="17">
        <f t="shared" si="0"/>
        <v>0</v>
      </c>
      <c r="Y223" s="17">
        <f t="shared" si="0"/>
        <v>0</v>
      </c>
    </row>
  </sheetData>
  <autoFilter ref="B13:AC222">
    <filterColumn colId="7">
      <filters>
        <filter val="TBD"/>
      </filters>
    </filterColumn>
  </autoFilter>
  <phoneticPr fontId="13" type="noConversion"/>
  <conditionalFormatting sqref="N70:Y70 N79:Y79 N23:Y23">
    <cfRule type="cellIs" dxfId="55" priority="95" operator="notEqual">
      <formula>SUM(N24:N28)</formula>
    </cfRule>
  </conditionalFormatting>
  <conditionalFormatting sqref="N43:Y43 N34:Y34 N29:Y29">
    <cfRule type="cellIs" dxfId="54" priority="92" operator="notEqual">
      <formula>SUM(N30:N33)</formula>
    </cfRule>
  </conditionalFormatting>
  <conditionalFormatting sqref="N48:Y48 N64:Y64 N14:Y14 N178:Y178 N112:Y112 N118:Y118">
    <cfRule type="cellIs" dxfId="53" priority="76" operator="notEqual">
      <formula>SUM(N15:N16)</formula>
    </cfRule>
  </conditionalFormatting>
  <conditionalFormatting sqref="N67:Y67">
    <cfRule type="cellIs" dxfId="52" priority="74" operator="notEqual">
      <formula>SUM(N68:N69)</formula>
    </cfRule>
  </conditionalFormatting>
  <conditionalFormatting sqref="N85:Y85 N94:Y94 N106:Y106 N124:Y124 N127:Y127 N139:Y139 N142:Y142 N145:Y145 N151:Y151 N154:Y154 N157:Y157 N100:Y100 N103:Y103 N109:Y109 N51:Y51 N76:Y76 N88:Y88 N97:Y97 N160:Y160 N133:Y133 N148:Y148 N91:Y91 N163:Y163 N172:Y172 N175:Y175 N166:Y166">
    <cfRule type="cellIs" dxfId="51" priority="73" operator="notEqual">
      <formula>SUM(N52:N53)</formula>
    </cfRule>
  </conditionalFormatting>
  <conditionalFormatting sqref="N54:Y54 N59:Y59">
    <cfRule type="cellIs" dxfId="50" priority="52" operator="notEqual">
      <formula>SUM(N55:N58)</formula>
    </cfRule>
  </conditionalFormatting>
  <conditionalFormatting sqref="N39:Y39">
    <cfRule type="cellIs" dxfId="49" priority="39" operator="notEqual">
      <formula>SUM(N40:N42)</formula>
    </cfRule>
  </conditionalFormatting>
  <conditionalFormatting sqref="N17:Y17">
    <cfRule type="cellIs" dxfId="48" priority="36" operator="notEqual">
      <formula>SUM(N18:N22)</formula>
    </cfRule>
  </conditionalFormatting>
  <conditionalFormatting sqref="N186:Y186">
    <cfRule type="cellIs" dxfId="47" priority="18" operator="notEqual">
      <formula>SUM(N187:N188)</formula>
    </cfRule>
  </conditionalFormatting>
  <conditionalFormatting sqref="N196:Y196">
    <cfRule type="cellIs" dxfId="46" priority="17" operator="notEqual">
      <formula>SUM(N197:N198)</formula>
    </cfRule>
  </conditionalFormatting>
  <conditionalFormatting sqref="N115:Y115">
    <cfRule type="cellIs" dxfId="45" priority="16" operator="notEqual">
      <formula>SUM(N116:N117)</formula>
    </cfRule>
  </conditionalFormatting>
  <conditionalFormatting sqref="N136:Y136">
    <cfRule type="cellIs" dxfId="44" priority="13" operator="notEqual">
      <formula>SUM(N137:N138)</formula>
    </cfRule>
  </conditionalFormatting>
  <conditionalFormatting sqref="N130:Y130">
    <cfRule type="cellIs" dxfId="43" priority="14" operator="notEqual">
      <formula>SUM(N131:N132)</formula>
    </cfRule>
  </conditionalFormatting>
  <conditionalFormatting sqref="N193:Y193">
    <cfRule type="cellIs" dxfId="42" priority="11" operator="notEqual">
      <formula>SUM(N194:N195)</formula>
    </cfRule>
  </conditionalFormatting>
  <conditionalFormatting sqref="N189:Y189">
    <cfRule type="cellIs" dxfId="41" priority="12" operator="notEqual">
      <formula>SUM(N190:N192)</formula>
    </cfRule>
  </conditionalFormatting>
  <conditionalFormatting sqref="N169:Y169">
    <cfRule type="cellIs" dxfId="40" priority="10" operator="notEqual">
      <formula>SUM(N170:N171)</formula>
    </cfRule>
  </conditionalFormatting>
  <conditionalFormatting sqref="N199:Y199">
    <cfRule type="cellIs" dxfId="39" priority="9" operator="notEqual">
      <formula>SUM(N200:N201)</formula>
    </cfRule>
  </conditionalFormatting>
  <conditionalFormatting sqref="N202:Y202">
    <cfRule type="cellIs" dxfId="38" priority="8" operator="notEqual">
      <formula>SUM(N203:N204)</formula>
    </cfRule>
  </conditionalFormatting>
  <conditionalFormatting sqref="N181:Y181">
    <cfRule type="cellIs" dxfId="37" priority="192" operator="notEqual">
      <formula>SUM(N182:N185)</formula>
    </cfRule>
  </conditionalFormatting>
  <conditionalFormatting sqref="N205:Y205">
    <cfRule type="cellIs" dxfId="36" priority="7" operator="notEqual">
      <formula>SUM(N206:N207)</formula>
    </cfRule>
  </conditionalFormatting>
  <conditionalFormatting sqref="N208:Y208">
    <cfRule type="cellIs" dxfId="35" priority="6" operator="notEqual">
      <formula>SUM(N209:N210)</formula>
    </cfRule>
  </conditionalFormatting>
  <conditionalFormatting sqref="N211:Y211">
    <cfRule type="cellIs" dxfId="34" priority="5" operator="notEqual">
      <formula>SUM(N212:N213)</formula>
    </cfRule>
  </conditionalFormatting>
  <conditionalFormatting sqref="N214:Y214">
    <cfRule type="cellIs" dxfId="33" priority="4" operator="notEqual">
      <formula>SUM(N215:N216)</formula>
    </cfRule>
  </conditionalFormatting>
  <conditionalFormatting sqref="N217:Y217">
    <cfRule type="cellIs" dxfId="32" priority="3" operator="notEqual">
      <formula>SUM(N218:N219)</formula>
    </cfRule>
  </conditionalFormatting>
  <conditionalFormatting sqref="N220:Y220">
    <cfRule type="cellIs" dxfId="31" priority="2" operator="notEqual">
      <formula>SUM(N221:N222)</formula>
    </cfRule>
  </conditionalFormatting>
  <conditionalFormatting sqref="N121:Y121">
    <cfRule type="cellIs" dxfId="30" priority="1" operator="notEqual">
      <formula>SUM(N122:N123)</formula>
    </cfRule>
  </conditionalFormatting>
  <pageMargins left="0.511811024" right="0.511811024" top="0.78740157499999996" bottom="0.78740157499999996" header="0.31496062000000002" footer="0.31496062000000002"/>
  <pageSetup orientation="portrait" r:id="rId1"/>
  <ignoredErrors>
    <ignoredError sqref="Z106 Z64 Z79 Z85 Z23 Z15 Z139 Z151 Z48 Z43 Z29 Z34 Z118 Z67 Z70 Z124 Z127 Z142 Z154 Z157" unlockedFormula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theme="9"/>
  </sheetPr>
  <dimension ref="C1:AB20"/>
  <sheetViews>
    <sheetView showGridLines="0" topLeftCell="D1" zoomScale="70" zoomScaleNormal="70" workbookViewId="0">
      <pane ySplit="13" topLeftCell="A14" activePane="bottomLeft" state="frozen"/>
      <selection activeCell="R22" sqref="R22"/>
      <selection pane="bottomLeft" activeCell="G14" sqref="G14"/>
    </sheetView>
  </sheetViews>
  <sheetFormatPr defaultColWidth="9.109375" defaultRowHeight="14.4" outlineLevelRow="1"/>
  <cols>
    <col min="1" max="1" width="4.88671875" style="14" customWidth="1"/>
    <col min="2" max="2" width="6.44140625" style="14" customWidth="1"/>
    <col min="3" max="3" width="9.109375" style="14"/>
    <col min="4" max="4" width="6.5546875" style="16" customWidth="1"/>
    <col min="5" max="5" width="11.44140625" style="16" customWidth="1"/>
    <col min="6" max="7" width="22.88671875" style="16" customWidth="1"/>
    <col min="8" max="8" width="10.5546875" style="1" bestFit="1" customWidth="1"/>
    <col min="9" max="9" width="8.6640625" style="1" customWidth="1"/>
    <col min="10" max="10" width="11.33203125" style="5" customWidth="1"/>
    <col min="11" max="11" width="16.44140625" style="5" bestFit="1" customWidth="1"/>
    <col min="12" max="12" width="11.6640625" style="5" customWidth="1"/>
    <col min="13" max="13" width="18.88671875" style="5" customWidth="1"/>
    <col min="14" max="20" width="9.44140625" style="17" customWidth="1"/>
    <col min="21" max="21" width="8.109375" style="17" bestFit="1" customWidth="1"/>
    <col min="22" max="22" width="9.109375" style="17" bestFit="1" customWidth="1"/>
    <col min="23" max="23" width="8.88671875" style="17" bestFit="1" customWidth="1"/>
    <col min="24" max="24" width="8.6640625" style="17" bestFit="1" customWidth="1"/>
    <col min="25" max="25" width="9.33203125" style="17" bestFit="1" customWidth="1"/>
    <col min="26" max="26" width="9.109375" style="17" bestFit="1" customWidth="1"/>
    <col min="27" max="27" width="8.109375" style="17" customWidth="1"/>
    <col min="28" max="37" width="9.109375" style="14"/>
    <col min="38" max="38" width="6.6640625" style="14" bestFit="1" customWidth="1"/>
    <col min="39" max="16384" width="9.109375" style="14"/>
  </cols>
  <sheetData>
    <row r="1" spans="3:28" ht="12" customHeight="1">
      <c r="N1" s="5"/>
      <c r="O1" s="5"/>
      <c r="P1" s="5"/>
      <c r="Q1" s="5"/>
      <c r="R1" s="5"/>
      <c r="S1" s="5"/>
    </row>
    <row r="2" spans="3:28" ht="12" customHeight="1">
      <c r="G2" s="92" t="s">
        <v>25</v>
      </c>
      <c r="H2" s="16"/>
      <c r="I2" s="16"/>
      <c r="M2" s="16"/>
      <c r="N2" s="16"/>
      <c r="O2" s="16"/>
      <c r="P2" s="16"/>
      <c r="Q2" s="16"/>
      <c r="R2" s="16"/>
      <c r="AA2" s="14"/>
    </row>
    <row r="3" spans="3:28" ht="12" customHeight="1">
      <c r="F3" s="53" t="s">
        <v>40</v>
      </c>
      <c r="G3" s="51">
        <v>7</v>
      </c>
      <c r="H3" s="16"/>
      <c r="I3" s="16"/>
      <c r="L3" s="282"/>
      <c r="M3" s="16"/>
      <c r="N3" s="16"/>
      <c r="O3" s="16"/>
      <c r="P3" s="16"/>
      <c r="Q3" s="16"/>
      <c r="R3" s="16"/>
      <c r="AA3" s="14"/>
    </row>
    <row r="4" spans="3:28" ht="15.75" customHeight="1" outlineLevel="1">
      <c r="F4" s="50" t="s">
        <v>35</v>
      </c>
      <c r="G4" s="370">
        <v>1137</v>
      </c>
      <c r="H4" s="16"/>
      <c r="I4" s="16"/>
      <c r="L4" s="282"/>
      <c r="M4" s="16"/>
      <c r="N4" s="16"/>
      <c r="O4" s="16"/>
      <c r="P4" s="16"/>
      <c r="Q4" s="16"/>
      <c r="R4" s="16"/>
      <c r="AA4" s="14"/>
    </row>
    <row r="5" spans="3:28" ht="15.75" customHeight="1" outlineLevel="1">
      <c r="F5" s="50" t="s">
        <v>37</v>
      </c>
      <c r="G5" s="372">
        <v>0</v>
      </c>
      <c r="H5" s="16"/>
      <c r="I5" s="16"/>
      <c r="L5" s="282"/>
      <c r="M5" s="16"/>
      <c r="N5" s="16"/>
      <c r="O5" s="16"/>
      <c r="P5" s="16"/>
      <c r="Q5" s="16"/>
      <c r="R5" s="16"/>
      <c r="AA5" s="14"/>
    </row>
    <row r="6" spans="3:28" ht="15.75" customHeight="1" outlineLevel="1">
      <c r="F6" s="50" t="s">
        <v>38</v>
      </c>
      <c r="G6" s="49">
        <f>SUMIFS($AA$14:$AA$49770,$H$14:$H$49770,"Local",$J$14:$J$49770,"HDD")+G5</f>
        <v>0</v>
      </c>
      <c r="H6" s="16"/>
      <c r="I6" s="16"/>
      <c r="M6" s="16"/>
      <c r="N6" s="16"/>
      <c r="O6" s="16"/>
      <c r="P6" s="16"/>
      <c r="Q6" s="16"/>
      <c r="R6" s="16"/>
      <c r="AA6" s="14"/>
    </row>
    <row r="7" spans="3:28" ht="15.75" customHeight="1" outlineLevel="1">
      <c r="D7" s="35"/>
      <c r="E7" s="35"/>
      <c r="F7" s="50" t="s">
        <v>39</v>
      </c>
      <c r="G7" s="49">
        <f>SUMIFS($AA$14:$AA$49770,$H$14:$H$49770,"Imported",$J$14:$J$49770,"HDD")</f>
        <v>0</v>
      </c>
      <c r="H7" s="16"/>
      <c r="I7" s="35"/>
      <c r="M7" s="35"/>
      <c r="N7" s="35"/>
      <c r="O7" s="35"/>
      <c r="P7" s="35"/>
      <c r="Q7" s="35"/>
      <c r="R7" s="35"/>
      <c r="AA7" s="14"/>
    </row>
    <row r="8" spans="3:28" ht="15.75" customHeight="1" outlineLevel="1">
      <c r="F8" s="50" t="s">
        <v>36</v>
      </c>
      <c r="G8" s="49">
        <f>MB!E12+G4</f>
        <v>219767</v>
      </c>
      <c r="H8" s="16"/>
      <c r="I8" s="16"/>
      <c r="M8" s="16"/>
      <c r="N8" s="16"/>
      <c r="O8" s="16"/>
      <c r="P8" s="16"/>
      <c r="Q8" s="16"/>
      <c r="R8" s="16"/>
      <c r="AA8" s="14"/>
    </row>
    <row r="9" spans="3:28">
      <c r="E9" s="321"/>
      <c r="F9" s="16" t="s">
        <v>33</v>
      </c>
      <c r="G9" s="58">
        <f>(G6)/G8</f>
        <v>0</v>
      </c>
      <c r="H9" s="16"/>
      <c r="I9" s="54"/>
      <c r="M9" s="54"/>
      <c r="N9" s="54"/>
      <c r="O9" s="54"/>
      <c r="P9" s="54"/>
      <c r="Q9" s="54"/>
      <c r="R9" s="54"/>
      <c r="AA9" s="14"/>
    </row>
    <row r="10" spans="3:28" ht="12" customHeight="1">
      <c r="E10" s="5" t="e">
        <f>#REF!</f>
        <v>#REF!</v>
      </c>
      <c r="F10" s="12" t="s">
        <v>34</v>
      </c>
      <c r="G10" s="89">
        <f>IF(G9*G3&gt;7,"7",G9*G3)</f>
        <v>0</v>
      </c>
      <c r="H10" s="16"/>
      <c r="I10" s="54"/>
      <c r="M10" s="54"/>
      <c r="N10" s="54"/>
      <c r="O10" s="54"/>
      <c r="P10" s="54"/>
      <c r="Q10" s="54"/>
      <c r="R10" s="54"/>
      <c r="AA10" s="14"/>
    </row>
    <row r="11" spans="3:28">
      <c r="E11" s="5"/>
      <c r="F11" s="15"/>
      <c r="G11" s="15"/>
      <c r="H11" s="15"/>
      <c r="I11" s="15"/>
      <c r="J11" s="15"/>
    </row>
    <row r="12" spans="3:28">
      <c r="E12" s="22">
        <f>SUMIFS($E$13:$E$9761,$D$13:$D$9761,$D$13)+F12</f>
        <v>0</v>
      </c>
      <c r="AA12" s="17">
        <f>SUM(AA14:AA28)</f>
        <v>0</v>
      </c>
      <c r="AB12" s="331">
        <f>E12-AA12</f>
        <v>0</v>
      </c>
    </row>
    <row r="13" spans="3:28" ht="27.6">
      <c r="C13" s="20" t="s">
        <v>97</v>
      </c>
      <c r="D13" s="28" t="s">
        <v>22</v>
      </c>
      <c r="E13" s="38" t="s">
        <v>24</v>
      </c>
      <c r="F13" s="30" t="s">
        <v>14</v>
      </c>
      <c r="G13" s="30" t="s">
        <v>265</v>
      </c>
      <c r="H13" s="30" t="s">
        <v>15</v>
      </c>
      <c r="I13" s="31" t="s">
        <v>16</v>
      </c>
      <c r="J13" s="31" t="s">
        <v>17</v>
      </c>
      <c r="K13" s="32" t="s">
        <v>18</v>
      </c>
      <c r="L13" s="32" t="s">
        <v>23</v>
      </c>
      <c r="M13" s="84" t="s">
        <v>19</v>
      </c>
      <c r="N13" s="172" t="s">
        <v>1</v>
      </c>
      <c r="O13" s="172" t="s">
        <v>3</v>
      </c>
      <c r="P13" s="172" t="s">
        <v>4</v>
      </c>
      <c r="Q13" s="172" t="s">
        <v>5</v>
      </c>
      <c r="R13" s="172" t="s">
        <v>6</v>
      </c>
      <c r="S13" s="172" t="s">
        <v>842</v>
      </c>
      <c r="T13" s="172" t="s">
        <v>8</v>
      </c>
      <c r="U13" s="172" t="s">
        <v>9</v>
      </c>
      <c r="V13" s="172" t="s">
        <v>10</v>
      </c>
      <c r="W13" s="172" t="s">
        <v>11</v>
      </c>
      <c r="X13" s="172" t="s">
        <v>12</v>
      </c>
      <c r="Y13" s="172" t="s">
        <v>210</v>
      </c>
      <c r="Z13" s="172" t="s">
        <v>210</v>
      </c>
      <c r="AA13" s="26" t="s">
        <v>0</v>
      </c>
    </row>
    <row r="14" spans="3:28" ht="15.6">
      <c r="C14" s="23"/>
      <c r="D14" s="42" t="s">
        <v>22</v>
      </c>
      <c r="E14" s="44">
        <f>SUM(N14:Z14)</f>
        <v>0</v>
      </c>
      <c r="F14" s="117" t="s">
        <v>110</v>
      </c>
      <c r="G14" s="117" t="s">
        <v>297</v>
      </c>
      <c r="H14" s="308"/>
      <c r="I14" s="43"/>
      <c r="J14" s="43"/>
      <c r="K14" s="43" t="s">
        <v>379</v>
      </c>
      <c r="L14" s="43"/>
      <c r="M14" s="366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4"/>
      <c r="AB14" s="319">
        <f>E14-SUM(AA15:AA16)</f>
        <v>0</v>
      </c>
    </row>
    <row r="15" spans="3:28">
      <c r="C15" s="23"/>
      <c r="D15" s="18"/>
      <c r="E15" s="21"/>
      <c r="F15" s="116" t="s">
        <v>110</v>
      </c>
      <c r="G15" s="116" t="s">
        <v>297</v>
      </c>
      <c r="H15" s="7" t="s">
        <v>2</v>
      </c>
      <c r="I15" s="19" t="s">
        <v>31</v>
      </c>
      <c r="J15" s="19" t="s">
        <v>25</v>
      </c>
      <c r="K15" s="19" t="s">
        <v>114</v>
      </c>
      <c r="L15" s="19"/>
      <c r="M15" s="360" t="s">
        <v>544</v>
      </c>
      <c r="N15" s="338"/>
      <c r="O15" s="338"/>
      <c r="P15" s="338"/>
      <c r="Q15" s="338"/>
      <c r="R15" s="338"/>
      <c r="S15" s="338"/>
      <c r="T15" s="338"/>
      <c r="U15" s="338"/>
      <c r="V15" s="338"/>
      <c r="W15" s="338"/>
      <c r="X15" s="7"/>
      <c r="Y15" s="7"/>
      <c r="Z15" s="7"/>
      <c r="AA15" s="21">
        <f>SUM(N15:Z15)</f>
        <v>0</v>
      </c>
    </row>
    <row r="16" spans="3:28">
      <c r="C16" s="23"/>
      <c r="D16" s="6"/>
      <c r="E16" s="21"/>
      <c r="F16" s="116" t="s">
        <v>110</v>
      </c>
      <c r="G16" s="116" t="s">
        <v>297</v>
      </c>
      <c r="H16" s="7" t="s">
        <v>20</v>
      </c>
      <c r="I16" s="19" t="s">
        <v>125</v>
      </c>
      <c r="J16" s="19" t="s">
        <v>25</v>
      </c>
      <c r="K16" s="19" t="s">
        <v>114</v>
      </c>
      <c r="L16" s="19"/>
      <c r="M16" s="360" t="s">
        <v>306</v>
      </c>
      <c r="N16" s="338"/>
      <c r="O16" s="338"/>
      <c r="P16" s="338"/>
      <c r="Q16" s="338"/>
      <c r="R16" s="338"/>
      <c r="S16" s="338"/>
      <c r="T16" s="7"/>
      <c r="U16" s="7"/>
      <c r="V16" s="7"/>
      <c r="W16" s="7"/>
      <c r="X16" s="7"/>
      <c r="Y16" s="7"/>
      <c r="Z16" s="7"/>
      <c r="AA16" s="21">
        <f>SUM(N16:Z16)</f>
        <v>0</v>
      </c>
    </row>
    <row r="17" spans="3:28" ht="15.6">
      <c r="C17" s="23"/>
      <c r="D17" s="42" t="s">
        <v>22</v>
      </c>
      <c r="E17" s="44">
        <f>SUM(N17:Z17)</f>
        <v>0</v>
      </c>
      <c r="F17" s="117" t="s">
        <v>198</v>
      </c>
      <c r="G17" s="117" t="s">
        <v>382</v>
      </c>
      <c r="H17" s="308"/>
      <c r="I17" s="43"/>
      <c r="J17" s="43"/>
      <c r="K17" s="43" t="s">
        <v>379</v>
      </c>
      <c r="L17" s="43"/>
      <c r="M17" s="366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>
        <v>0</v>
      </c>
      <c r="Y17" s="43">
        <v>0</v>
      </c>
      <c r="Z17" s="43">
        <v>0</v>
      </c>
      <c r="AA17" s="44"/>
      <c r="AB17" s="319">
        <f>E17-SUM(AA18:AA19)</f>
        <v>0</v>
      </c>
    </row>
    <row r="18" spans="3:28">
      <c r="C18" s="23"/>
      <c r="D18" s="18"/>
      <c r="E18" s="21"/>
      <c r="F18" s="116" t="s">
        <v>198</v>
      </c>
      <c r="G18" s="116" t="s">
        <v>382</v>
      </c>
      <c r="H18" s="7" t="s">
        <v>2</v>
      </c>
      <c r="I18" s="19" t="s">
        <v>31</v>
      </c>
      <c r="J18" s="19" t="s">
        <v>25</v>
      </c>
      <c r="K18" s="19" t="s">
        <v>114</v>
      </c>
      <c r="L18" s="19"/>
      <c r="M18" s="360" t="s">
        <v>544</v>
      </c>
      <c r="N18" s="338"/>
      <c r="O18" s="338"/>
      <c r="P18" s="338"/>
      <c r="Q18" s="338"/>
      <c r="R18" s="338"/>
      <c r="S18" s="338"/>
      <c r="T18" s="338"/>
      <c r="U18" s="338"/>
      <c r="V18" s="338"/>
      <c r="W18" s="338"/>
      <c r="X18" s="7"/>
      <c r="Y18" s="7"/>
      <c r="Z18" s="7"/>
      <c r="AA18" s="21">
        <f>SUM(N18:Z18)</f>
        <v>0</v>
      </c>
    </row>
    <row r="19" spans="3:28">
      <c r="C19" s="23"/>
      <c r="D19" s="6"/>
      <c r="E19" s="21"/>
      <c r="F19" s="116" t="s">
        <v>198</v>
      </c>
      <c r="G19" s="116" t="s">
        <v>382</v>
      </c>
      <c r="H19" s="7" t="s">
        <v>20</v>
      </c>
      <c r="I19" s="19" t="s">
        <v>125</v>
      </c>
      <c r="J19" s="19" t="s">
        <v>25</v>
      </c>
      <c r="K19" s="19" t="s">
        <v>114</v>
      </c>
      <c r="L19" s="19"/>
      <c r="M19" s="360" t="s">
        <v>306</v>
      </c>
      <c r="N19" s="338"/>
      <c r="O19" s="338"/>
      <c r="P19" s="338"/>
      <c r="Q19" s="338"/>
      <c r="R19" s="338"/>
      <c r="S19" s="338"/>
      <c r="T19" s="338"/>
      <c r="U19" s="7"/>
      <c r="V19" s="7"/>
      <c r="W19" s="7"/>
      <c r="X19" s="7"/>
      <c r="Y19" s="7"/>
      <c r="Z19" s="7"/>
      <c r="AA19" s="21">
        <f>SUM(N19:Z19)</f>
        <v>0</v>
      </c>
    </row>
    <row r="20" spans="3:28">
      <c r="H20" s="5"/>
    </row>
  </sheetData>
  <autoFilter ref="C13:AA19"/>
  <phoneticPr fontId="26" type="noConversion"/>
  <conditionalFormatting sqref="N14:Z14">
    <cfRule type="cellIs" dxfId="29" priority="6" operator="notEqual">
      <formula>SUM(N15:N16)</formula>
    </cfRule>
  </conditionalFormatting>
  <conditionalFormatting sqref="N17:Z17">
    <cfRule type="cellIs" dxfId="28" priority="4" operator="notEqual">
      <formula>SUM(N18:N19)</formula>
    </cfRule>
  </conditionalFormatting>
  <pageMargins left="0.7" right="0.7" top="0.75" bottom="0.75" header="0.3" footer="0.3"/>
  <pageSetup paperSize="164" orientation="portrait" horizontalDpi="180" verticalDpi="18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 filterMode="1">
    <tabColor theme="9"/>
  </sheetPr>
  <dimension ref="C1:AA153"/>
  <sheetViews>
    <sheetView showGridLines="0" tabSelected="1" topLeftCell="C1" zoomScale="85" zoomScaleNormal="85" workbookViewId="0">
      <pane ySplit="13" topLeftCell="A14" activePane="bottomLeft" state="frozen"/>
      <selection activeCell="R22" sqref="R22"/>
      <selection pane="bottomLeft" activeCell="Q153" sqref="Q153"/>
    </sheetView>
  </sheetViews>
  <sheetFormatPr defaultColWidth="9.109375" defaultRowHeight="13.8" outlineLevelRow="1"/>
  <cols>
    <col min="1" max="2" width="9.109375" style="17"/>
    <col min="3" max="3" width="7.21875" style="17" bestFit="1" customWidth="1"/>
    <col min="4" max="4" width="8.5546875" style="17" bestFit="1" customWidth="1"/>
    <col min="5" max="5" width="10.44140625" style="3" bestFit="1" customWidth="1"/>
    <col min="6" max="6" width="21.88671875" style="3" bestFit="1" customWidth="1"/>
    <col min="7" max="7" width="14.44140625" style="3" bestFit="1" customWidth="1"/>
    <col min="8" max="8" width="10" style="3" bestFit="1" customWidth="1"/>
    <col min="9" max="9" width="9.33203125" style="3" customWidth="1"/>
    <col min="10" max="10" width="14.109375" style="3" bestFit="1" customWidth="1"/>
    <col min="11" max="11" width="8.5546875" style="3" customWidth="1"/>
    <col min="12" max="12" width="12.77734375" style="3" bestFit="1" customWidth="1"/>
    <col min="13" max="13" width="17.109375" style="305" customWidth="1"/>
    <col min="14" max="25" width="10.109375" style="17" customWidth="1"/>
    <col min="26" max="26" width="12.109375" style="17" bestFit="1" customWidth="1"/>
    <col min="27" max="37" width="9.109375" style="17"/>
    <col min="38" max="38" width="19.5546875" style="17" bestFit="1" customWidth="1"/>
    <col min="39" max="51" width="9.109375" style="17"/>
    <col min="52" max="52" width="17.88671875" style="17" customWidth="1"/>
    <col min="53" max="16384" width="9.109375" style="17"/>
  </cols>
  <sheetData>
    <row r="1" spans="3:27" ht="10.199999999999999" customHeight="1">
      <c r="M1" s="9"/>
      <c r="N1" s="3"/>
      <c r="O1" s="3"/>
    </row>
    <row r="2" spans="3:27" ht="12" customHeight="1">
      <c r="F2" s="16"/>
      <c r="G2" s="96" t="s">
        <v>88</v>
      </c>
      <c r="L2" s="9"/>
      <c r="M2" s="3"/>
    </row>
    <row r="3" spans="3:27" ht="15.6">
      <c r="F3" s="53" t="s">
        <v>40</v>
      </c>
      <c r="G3" s="51"/>
      <c r="L3" s="9"/>
      <c r="M3" s="3"/>
    </row>
    <row r="4" spans="3:27" ht="15.6" outlineLevel="1">
      <c r="F4" s="50" t="s">
        <v>35</v>
      </c>
      <c r="G4" s="370"/>
      <c r="L4" s="9"/>
      <c r="M4" s="3"/>
    </row>
    <row r="5" spans="3:27" ht="15.6" outlineLevel="1">
      <c r="F5" s="50" t="s">
        <v>37</v>
      </c>
      <c r="G5" s="49"/>
      <c r="L5" s="9"/>
      <c r="M5" s="3"/>
    </row>
    <row r="6" spans="3:27" ht="15.6" outlineLevel="1">
      <c r="F6" s="50" t="s">
        <v>38</v>
      </c>
      <c r="G6" s="49">
        <f>SUMIFS($Z$14:$Z$49916,$H$14:$H$49916,"Local")+G5</f>
        <v>80450</v>
      </c>
      <c r="H6" s="87"/>
      <c r="J6" s="88"/>
      <c r="K6" s="88"/>
      <c r="L6" s="9"/>
      <c r="M6" s="3"/>
    </row>
    <row r="7" spans="3:27" ht="15.6" outlineLevel="1">
      <c r="F7" s="50" t="s">
        <v>39</v>
      </c>
      <c r="G7" s="49">
        <f>SUMIFS($Z$14:$Z$49916,$H$14:$H$49916,"Imported")</f>
        <v>138180</v>
      </c>
      <c r="L7" s="9"/>
      <c r="M7" s="3"/>
    </row>
    <row r="8" spans="3:27" ht="15.6" outlineLevel="1">
      <c r="F8" s="50" t="s">
        <v>36</v>
      </c>
      <c r="G8" s="49">
        <f>E12+G4</f>
        <v>218630</v>
      </c>
      <c r="L8" s="9"/>
      <c r="M8" s="3"/>
      <c r="N8" s="90"/>
      <c r="O8" s="90"/>
      <c r="P8" s="90"/>
      <c r="Q8" s="90"/>
      <c r="R8" s="90"/>
      <c r="S8" s="90"/>
    </row>
    <row r="9" spans="3:27">
      <c r="F9" s="16" t="s">
        <v>33</v>
      </c>
      <c r="G9" s="58">
        <f>(G6)/G8</f>
        <v>0.36797328820381464</v>
      </c>
      <c r="L9" s="9"/>
      <c r="M9" s="3"/>
      <c r="N9" s="3"/>
      <c r="O9" s="3"/>
    </row>
    <row r="10" spans="3:27">
      <c r="F10" s="12" t="s">
        <v>34</v>
      </c>
      <c r="G10" s="89">
        <f>IF(G9*G3&gt;11,"11",G9*G3)</f>
        <v>0</v>
      </c>
      <c r="L10" s="9"/>
      <c r="M10" s="3"/>
      <c r="N10" s="3"/>
      <c r="O10" s="3"/>
    </row>
    <row r="11" spans="3:27" ht="14.4">
      <c r="D11" s="326" t="s">
        <v>415</v>
      </c>
      <c r="E11" s="327">
        <f>E12-MB!E12</f>
        <v>0</v>
      </c>
      <c r="N11" s="3"/>
      <c r="O11" s="3"/>
      <c r="P11" s="3"/>
    </row>
    <row r="12" spans="3:27">
      <c r="E12" s="17">
        <f>SUMIFS($E$13:$E$9919,$D$13:$D$9919,$D$13)</f>
        <v>218630</v>
      </c>
      <c r="Z12" s="17">
        <f>SUM(Z14:Z403)</f>
        <v>218630</v>
      </c>
      <c r="AA12" s="329">
        <f>E12-Z12</f>
        <v>0</v>
      </c>
    </row>
    <row r="13" spans="3:27" s="16" customFormat="1" ht="27.6">
      <c r="C13" s="99" t="s">
        <v>97</v>
      </c>
      <c r="D13" s="95" t="s">
        <v>22</v>
      </c>
      <c r="E13" s="38" t="s">
        <v>24</v>
      </c>
      <c r="F13" s="30" t="s">
        <v>14</v>
      </c>
      <c r="G13" s="30" t="s">
        <v>307</v>
      </c>
      <c r="H13" s="30" t="s">
        <v>15</v>
      </c>
      <c r="I13" s="31" t="s">
        <v>16</v>
      </c>
      <c r="J13" s="31" t="s">
        <v>17</v>
      </c>
      <c r="K13" s="32" t="s">
        <v>18</v>
      </c>
      <c r="L13" s="32" t="s">
        <v>23</v>
      </c>
      <c r="M13" s="25" t="s">
        <v>19</v>
      </c>
      <c r="N13" s="172" t="s">
        <v>1</v>
      </c>
      <c r="O13" s="172" t="s">
        <v>3</v>
      </c>
      <c r="P13" s="172" t="s">
        <v>4</v>
      </c>
      <c r="Q13" s="172" t="s">
        <v>5</v>
      </c>
      <c r="R13" s="172" t="s">
        <v>6</v>
      </c>
      <c r="S13" s="172" t="s">
        <v>842</v>
      </c>
      <c r="T13" s="172" t="s">
        <v>8</v>
      </c>
      <c r="U13" s="172" t="s">
        <v>9</v>
      </c>
      <c r="V13" s="172" t="s">
        <v>10</v>
      </c>
      <c r="W13" s="172" t="s">
        <v>11</v>
      </c>
      <c r="X13" s="172" t="s">
        <v>12</v>
      </c>
      <c r="Y13" s="172" t="s">
        <v>210</v>
      </c>
      <c r="Z13" s="26" t="s">
        <v>0</v>
      </c>
    </row>
    <row r="14" spans="3:27" ht="15.6" hidden="1">
      <c r="C14" s="314"/>
      <c r="D14" s="174" t="s">
        <v>22</v>
      </c>
      <c r="E14" s="181">
        <f>SUM(N14:Y14)</f>
        <v>21300</v>
      </c>
      <c r="F14" s="183" t="s">
        <v>107</v>
      </c>
      <c r="G14" s="183" t="s">
        <v>394</v>
      </c>
      <c r="H14" s="181"/>
      <c r="I14" s="182"/>
      <c r="J14" s="182"/>
      <c r="K14" s="182"/>
      <c r="L14" s="182"/>
      <c r="M14" s="368"/>
      <c r="N14" s="181">
        <f>SUMIFS('FCST data'!Q:Q,'FCST data'!$D:$D,$F14,'FCST data'!$K:$K,$G14)</f>
        <v>8800</v>
      </c>
      <c r="O14" s="181">
        <f>SUMIFS('FCST data'!R:R,'FCST data'!$D:$D,$F14,'FCST data'!$K:$K,$G14)</f>
        <v>5700</v>
      </c>
      <c r="P14" s="181">
        <f>SUMIFS('FCST data'!S:S,'FCST data'!$D:$D,$F14,'FCST data'!$K:$K,$G14)</f>
        <v>6800</v>
      </c>
      <c r="Q14" s="181">
        <f>SUMIFS('FCST data'!T:T,'FCST data'!$D:$D,$F14,'FCST data'!$K:$K,$G14)</f>
        <v>0</v>
      </c>
      <c r="R14" s="181">
        <f>SUMIFS('FCST data'!U:U,'FCST data'!$D:$D,$F14,'FCST data'!$K:$K,$G14)</f>
        <v>0</v>
      </c>
      <c r="S14" s="181">
        <f>SUMIFS('FCST data'!V:V,'FCST data'!$D:$D,$F14,'FCST data'!$K:$K,$G14)</f>
        <v>0</v>
      </c>
      <c r="T14" s="181">
        <f>SUMIFS('FCST data'!W:W,'FCST data'!$D:$D,$F14,'FCST data'!$K:$K,$G14)</f>
        <v>0</v>
      </c>
      <c r="U14" s="181">
        <f>SUMIFS('FCST data'!X:X,'FCST data'!$D:$D,$F14,'FCST data'!$K:$K,$G14)</f>
        <v>0</v>
      </c>
      <c r="V14" s="181">
        <f>SUMIFS('FCST data'!Y:Y,'FCST data'!$D:$D,$F14,'FCST data'!$K:$K,$G14)</f>
        <v>0</v>
      </c>
      <c r="W14" s="181">
        <f>SUMIFS('FCST data'!Z:Z,'FCST data'!$D:$D,$F14,'FCST data'!$K:$K,$G14)</f>
        <v>0</v>
      </c>
      <c r="X14" s="181">
        <f>SUMIFS('FCST data'!AA:AA,'FCST data'!$D:$D,$F14,'FCST data'!$K:$K,$G14)</f>
        <v>0</v>
      </c>
      <c r="Y14" s="181">
        <f>SUMIFS('FCST data'!AB:AB,'FCST data'!$D:$D,$F14,'FCST data'!$K:$K,$G14)</f>
        <v>0</v>
      </c>
      <c r="Z14" s="148"/>
      <c r="AA14" s="17">
        <f>E14-Z15-Z16</f>
        <v>0</v>
      </c>
    </row>
    <row r="15" spans="3:27" ht="14.4" hidden="1">
      <c r="C15" s="283"/>
      <c r="D15" s="284"/>
      <c r="E15" s="147"/>
      <c r="F15" s="286" t="s">
        <v>107</v>
      </c>
      <c r="G15" s="286" t="s">
        <v>394</v>
      </c>
      <c r="H15" s="284" t="s">
        <v>2</v>
      </c>
      <c r="I15" s="287" t="s">
        <v>31</v>
      </c>
      <c r="J15" s="287" t="s">
        <v>285</v>
      </c>
      <c r="K15" s="287"/>
      <c r="L15" s="160"/>
      <c r="M15" s="362"/>
      <c r="N15" s="291"/>
      <c r="O15" s="291"/>
      <c r="P15" s="291"/>
      <c r="Q15" s="291"/>
      <c r="R15" s="291"/>
      <c r="S15" s="291"/>
      <c r="T15" s="291"/>
      <c r="U15" s="291"/>
      <c r="V15" s="291"/>
      <c r="W15" s="291"/>
      <c r="X15" s="291"/>
      <c r="Y15" s="291"/>
      <c r="Z15" s="177">
        <f>SUM(N15:Y15)</f>
        <v>0</v>
      </c>
    </row>
    <row r="16" spans="3:27" ht="14.4" hidden="1">
      <c r="C16" s="283"/>
      <c r="D16" s="284"/>
      <c r="E16" s="147"/>
      <c r="F16" s="286" t="s">
        <v>107</v>
      </c>
      <c r="G16" s="286" t="s">
        <v>394</v>
      </c>
      <c r="H16" s="301" t="s">
        <v>20</v>
      </c>
      <c r="I16" s="287" t="s">
        <v>291</v>
      </c>
      <c r="J16" s="287" t="s">
        <v>285</v>
      </c>
      <c r="K16" s="287"/>
      <c r="L16" s="160"/>
      <c r="M16" s="362" t="s">
        <v>286</v>
      </c>
      <c r="N16" s="291">
        <f>N14</f>
        <v>8800</v>
      </c>
      <c r="O16" s="291">
        <f t="shared" ref="O16:R16" si="0">O14</f>
        <v>5700</v>
      </c>
      <c r="P16" s="291">
        <f t="shared" si="0"/>
        <v>6800</v>
      </c>
      <c r="Q16" s="291">
        <f t="shared" si="0"/>
        <v>0</v>
      </c>
      <c r="R16" s="291">
        <f t="shared" si="0"/>
        <v>0</v>
      </c>
      <c r="S16" s="291">
        <f t="shared" ref="S16:Y16" si="1">S14</f>
        <v>0</v>
      </c>
      <c r="T16" s="291">
        <f t="shared" si="1"/>
        <v>0</v>
      </c>
      <c r="U16" s="291">
        <f t="shared" si="1"/>
        <v>0</v>
      </c>
      <c r="V16" s="291">
        <f t="shared" si="1"/>
        <v>0</v>
      </c>
      <c r="W16" s="291">
        <f t="shared" si="1"/>
        <v>0</v>
      </c>
      <c r="X16" s="291">
        <f t="shared" si="1"/>
        <v>0</v>
      </c>
      <c r="Y16" s="291">
        <f t="shared" si="1"/>
        <v>0</v>
      </c>
      <c r="Z16" s="177">
        <f>SUM(N16:Y16)</f>
        <v>21300</v>
      </c>
    </row>
    <row r="17" spans="3:27" ht="14.4" hidden="1">
      <c r="C17" s="283"/>
      <c r="D17" s="284"/>
      <c r="E17" s="197"/>
      <c r="F17" s="286" t="s">
        <v>107</v>
      </c>
      <c r="G17" s="286" t="s">
        <v>394</v>
      </c>
      <c r="H17" s="301" t="s">
        <v>20</v>
      </c>
      <c r="I17" s="287" t="s">
        <v>291</v>
      </c>
      <c r="J17" s="302" t="s">
        <v>287</v>
      </c>
      <c r="K17" s="302"/>
      <c r="L17" s="267"/>
      <c r="M17" s="365" t="s">
        <v>288</v>
      </c>
      <c r="N17" s="291">
        <f>N14</f>
        <v>8800</v>
      </c>
      <c r="O17" s="291">
        <f t="shared" ref="O17:R17" si="2">O14</f>
        <v>5700</v>
      </c>
      <c r="P17" s="291">
        <f t="shared" si="2"/>
        <v>6800</v>
      </c>
      <c r="Q17" s="291">
        <f t="shared" si="2"/>
        <v>0</v>
      </c>
      <c r="R17" s="291">
        <f t="shared" si="2"/>
        <v>0</v>
      </c>
      <c r="S17" s="291">
        <f t="shared" ref="S17:Y17" si="3">S14</f>
        <v>0</v>
      </c>
      <c r="T17" s="291">
        <f t="shared" si="3"/>
        <v>0</v>
      </c>
      <c r="U17" s="291">
        <f t="shared" si="3"/>
        <v>0</v>
      </c>
      <c r="V17" s="291">
        <f t="shared" si="3"/>
        <v>0</v>
      </c>
      <c r="W17" s="291">
        <f t="shared" si="3"/>
        <v>0</v>
      </c>
      <c r="X17" s="291">
        <f t="shared" si="3"/>
        <v>0</v>
      </c>
      <c r="Y17" s="291">
        <f t="shared" si="3"/>
        <v>0</v>
      </c>
      <c r="Z17" s="177"/>
    </row>
    <row r="18" spans="3:27" ht="14.4">
      <c r="C18" s="283"/>
      <c r="D18" s="284"/>
      <c r="E18" s="197"/>
      <c r="F18" s="286" t="s">
        <v>107</v>
      </c>
      <c r="G18" s="286" t="s">
        <v>394</v>
      </c>
      <c r="H18" s="301" t="s">
        <v>20</v>
      </c>
      <c r="I18" s="287" t="s">
        <v>291</v>
      </c>
      <c r="J18" s="302" t="s">
        <v>289</v>
      </c>
      <c r="K18" s="302"/>
      <c r="L18" s="19">
        <v>2</v>
      </c>
      <c r="M18" s="360" t="s">
        <v>290</v>
      </c>
      <c r="N18" s="303">
        <f>N14*$L$18</f>
        <v>17600</v>
      </c>
      <c r="O18" s="303">
        <f t="shared" ref="O18:R18" si="4">O14*$L$18</f>
        <v>11400</v>
      </c>
      <c r="P18" s="303">
        <f t="shared" si="4"/>
        <v>13600</v>
      </c>
      <c r="Q18" s="303">
        <f t="shared" si="4"/>
        <v>0</v>
      </c>
      <c r="R18" s="303">
        <f t="shared" si="4"/>
        <v>0</v>
      </c>
      <c r="S18" s="303">
        <f t="shared" ref="S18:Y18" si="5">S14*$L$18</f>
        <v>0</v>
      </c>
      <c r="T18" s="303">
        <f t="shared" si="5"/>
        <v>0</v>
      </c>
      <c r="U18" s="303">
        <f t="shared" si="5"/>
        <v>0</v>
      </c>
      <c r="V18" s="303">
        <f t="shared" si="5"/>
        <v>0</v>
      </c>
      <c r="W18" s="303">
        <f t="shared" si="5"/>
        <v>0</v>
      </c>
      <c r="X18" s="303">
        <f t="shared" si="5"/>
        <v>0</v>
      </c>
      <c r="Y18" s="303">
        <f t="shared" si="5"/>
        <v>0</v>
      </c>
      <c r="Z18" s="177"/>
    </row>
    <row r="19" spans="3:27" ht="15.6" hidden="1">
      <c r="C19" s="314"/>
      <c r="D19" s="174" t="s">
        <v>22</v>
      </c>
      <c r="E19" s="181">
        <f>SUM(N19:Y19)</f>
        <v>23050</v>
      </c>
      <c r="F19" s="183" t="s">
        <v>107</v>
      </c>
      <c r="G19" s="183" t="s">
        <v>297</v>
      </c>
      <c r="H19" s="181"/>
      <c r="I19" s="182"/>
      <c r="J19" s="182"/>
      <c r="K19" s="182"/>
      <c r="L19" s="182"/>
      <c r="M19" s="358"/>
      <c r="N19" s="181">
        <f>SUMIFS('FCST data'!Q:Q,'FCST data'!$D:$D,$F19,'FCST data'!$K:$K,$G19)</f>
        <v>5500</v>
      </c>
      <c r="O19" s="181">
        <f>SUMIFS('FCST data'!R:R,'FCST data'!$D:$D,$F19,'FCST data'!$K:$K,$G19)</f>
        <v>3800</v>
      </c>
      <c r="P19" s="181">
        <f>SUMIFS('FCST data'!S:S,'FCST data'!$D:$D,$F19,'FCST data'!$K:$K,$G19)</f>
        <v>8000</v>
      </c>
      <c r="Q19" s="181">
        <f>SUMIFS('FCST data'!T:T,'FCST data'!$D:$D,$F19,'FCST data'!$K:$K,$G19)</f>
        <v>5750</v>
      </c>
      <c r="R19" s="181">
        <f>SUMIFS('FCST data'!U:U,'FCST data'!$D:$D,$F19,'FCST data'!$K:$K,$G19)</f>
        <v>0</v>
      </c>
      <c r="S19" s="181">
        <f>SUMIFS('FCST data'!V:V,'FCST data'!$D:$D,$F19,'FCST data'!$K:$K,$G19)</f>
        <v>0</v>
      </c>
      <c r="T19" s="181">
        <f>SUMIFS('FCST data'!W:W,'FCST data'!$D:$D,$F19,'FCST data'!$K:$K,$G19)</f>
        <v>0</v>
      </c>
      <c r="U19" s="181">
        <f>SUMIFS('FCST data'!X:X,'FCST data'!$D:$D,$F19,'FCST data'!$K:$K,$G19)</f>
        <v>0</v>
      </c>
      <c r="V19" s="181">
        <f>SUMIFS('FCST data'!Y:Y,'FCST data'!$D:$D,$F19,'FCST data'!$K:$K,$G19)</f>
        <v>0</v>
      </c>
      <c r="W19" s="181">
        <f>SUMIFS('FCST data'!Z:Z,'FCST data'!$D:$D,$F19,'FCST data'!$K:$K,$G19)</f>
        <v>0</v>
      </c>
      <c r="X19" s="181">
        <f>SUMIFS('FCST data'!AA:AA,'FCST data'!$D:$D,$F19,'FCST data'!$K:$K,$G19)</f>
        <v>0</v>
      </c>
      <c r="Y19" s="181">
        <f>SUMIFS('FCST data'!AB:AB,'FCST data'!$D:$D,$F19,'FCST data'!$K:$K,$G19)</f>
        <v>0</v>
      </c>
      <c r="Z19" s="148"/>
      <c r="AA19" s="17">
        <f>E19-Z20-Z21</f>
        <v>0</v>
      </c>
    </row>
    <row r="20" spans="3:27" ht="14.4" hidden="1">
      <c r="C20" s="283"/>
      <c r="D20" s="284"/>
      <c r="E20" s="147"/>
      <c r="F20" s="286" t="s">
        <v>107</v>
      </c>
      <c r="G20" s="286" t="s">
        <v>297</v>
      </c>
      <c r="H20" s="284" t="s">
        <v>2</v>
      </c>
      <c r="I20" s="287" t="s">
        <v>31</v>
      </c>
      <c r="J20" s="287" t="s">
        <v>285</v>
      </c>
      <c r="K20" s="287"/>
      <c r="L20" s="160"/>
      <c r="M20" s="362"/>
      <c r="N20" s="291"/>
      <c r="O20" s="291"/>
      <c r="P20" s="291"/>
      <c r="Q20" s="291"/>
      <c r="R20" s="291"/>
      <c r="S20" s="291"/>
      <c r="T20" s="291"/>
      <c r="U20" s="291"/>
      <c r="V20" s="291"/>
      <c r="W20" s="291"/>
      <c r="X20" s="291"/>
      <c r="Y20" s="291"/>
      <c r="Z20" s="177">
        <f>SUM(N20:Y20)</f>
        <v>0</v>
      </c>
    </row>
    <row r="21" spans="3:27" ht="14.4" hidden="1">
      <c r="C21" s="283"/>
      <c r="D21" s="284"/>
      <c r="E21" s="147"/>
      <c r="F21" s="286" t="s">
        <v>107</v>
      </c>
      <c r="G21" s="286" t="s">
        <v>297</v>
      </c>
      <c r="H21" s="301" t="s">
        <v>20</v>
      </c>
      <c r="I21" s="287" t="s">
        <v>291</v>
      </c>
      <c r="J21" s="287" t="s">
        <v>285</v>
      </c>
      <c r="K21" s="287"/>
      <c r="L21" s="160"/>
      <c r="M21" s="362" t="s">
        <v>286</v>
      </c>
      <c r="N21" s="291">
        <f>N19</f>
        <v>5500</v>
      </c>
      <c r="O21" s="291">
        <f t="shared" ref="O21:R21" si="6">O19</f>
        <v>3800</v>
      </c>
      <c r="P21" s="291">
        <f t="shared" si="6"/>
        <v>8000</v>
      </c>
      <c r="Q21" s="291">
        <f t="shared" si="6"/>
        <v>5750</v>
      </c>
      <c r="R21" s="291">
        <f t="shared" si="6"/>
        <v>0</v>
      </c>
      <c r="S21" s="291">
        <f t="shared" ref="S21:Y21" si="7">S19</f>
        <v>0</v>
      </c>
      <c r="T21" s="291">
        <f t="shared" si="7"/>
        <v>0</v>
      </c>
      <c r="U21" s="291">
        <f t="shared" si="7"/>
        <v>0</v>
      </c>
      <c r="V21" s="291">
        <f t="shared" si="7"/>
        <v>0</v>
      </c>
      <c r="W21" s="291">
        <f t="shared" si="7"/>
        <v>0</v>
      </c>
      <c r="X21" s="291">
        <f t="shared" si="7"/>
        <v>0</v>
      </c>
      <c r="Y21" s="291">
        <f t="shared" si="7"/>
        <v>0</v>
      </c>
      <c r="Z21" s="177">
        <f>SUM(N21:Y21)</f>
        <v>23050</v>
      </c>
    </row>
    <row r="22" spans="3:27" ht="14.4" hidden="1">
      <c r="C22" s="283"/>
      <c r="D22" s="284"/>
      <c r="E22" s="197"/>
      <c r="F22" s="286" t="s">
        <v>107</v>
      </c>
      <c r="G22" s="286" t="s">
        <v>297</v>
      </c>
      <c r="H22" s="301" t="s">
        <v>20</v>
      </c>
      <c r="I22" s="287" t="s">
        <v>291</v>
      </c>
      <c r="J22" s="302" t="s">
        <v>287</v>
      </c>
      <c r="K22" s="302"/>
      <c r="L22" s="267"/>
      <c r="M22" s="365" t="s">
        <v>288</v>
      </c>
      <c r="N22" s="291">
        <f>N19</f>
        <v>5500</v>
      </c>
      <c r="O22" s="291">
        <f t="shared" ref="O22:R22" si="8">O19</f>
        <v>3800</v>
      </c>
      <c r="P22" s="291">
        <f t="shared" si="8"/>
        <v>8000</v>
      </c>
      <c r="Q22" s="291">
        <f t="shared" si="8"/>
        <v>5750</v>
      </c>
      <c r="R22" s="291">
        <f t="shared" si="8"/>
        <v>0</v>
      </c>
      <c r="S22" s="291">
        <f t="shared" ref="S22:Y22" si="9">S19</f>
        <v>0</v>
      </c>
      <c r="T22" s="291">
        <f t="shared" si="9"/>
        <v>0</v>
      </c>
      <c r="U22" s="291">
        <f t="shared" si="9"/>
        <v>0</v>
      </c>
      <c r="V22" s="291">
        <f t="shared" si="9"/>
        <v>0</v>
      </c>
      <c r="W22" s="291">
        <f t="shared" si="9"/>
        <v>0</v>
      </c>
      <c r="X22" s="291">
        <f t="shared" si="9"/>
        <v>0</v>
      </c>
      <c r="Y22" s="291">
        <f t="shared" si="9"/>
        <v>0</v>
      </c>
      <c r="Z22" s="177"/>
    </row>
    <row r="23" spans="3:27" ht="14.4">
      <c r="C23" s="283"/>
      <c r="D23" s="284"/>
      <c r="E23" s="197"/>
      <c r="F23" s="286" t="s">
        <v>107</v>
      </c>
      <c r="G23" s="286" t="s">
        <v>297</v>
      </c>
      <c r="H23" s="301" t="s">
        <v>20</v>
      </c>
      <c r="I23" s="287" t="s">
        <v>291</v>
      </c>
      <c r="J23" s="302" t="s">
        <v>289</v>
      </c>
      <c r="K23" s="302"/>
      <c r="L23" s="19">
        <v>2</v>
      </c>
      <c r="M23" s="360" t="s">
        <v>290</v>
      </c>
      <c r="N23" s="303">
        <f>N19*$L$23</f>
        <v>11000</v>
      </c>
      <c r="O23" s="303">
        <f t="shared" ref="O23:R23" si="10">O19*$L$23</f>
        <v>7600</v>
      </c>
      <c r="P23" s="303">
        <f t="shared" si="10"/>
        <v>16000</v>
      </c>
      <c r="Q23" s="303">
        <f t="shared" si="10"/>
        <v>11500</v>
      </c>
      <c r="R23" s="303">
        <f t="shared" si="10"/>
        <v>0</v>
      </c>
      <c r="S23" s="303">
        <f t="shared" ref="S23:Y23" si="11">S19*$L$23</f>
        <v>0</v>
      </c>
      <c r="T23" s="303">
        <f t="shared" si="11"/>
        <v>0</v>
      </c>
      <c r="U23" s="303">
        <f t="shared" si="11"/>
        <v>0</v>
      </c>
      <c r="V23" s="303">
        <f t="shared" si="11"/>
        <v>0</v>
      </c>
      <c r="W23" s="303">
        <f t="shared" si="11"/>
        <v>0</v>
      </c>
      <c r="X23" s="303">
        <f t="shared" si="11"/>
        <v>0</v>
      </c>
      <c r="Y23" s="303">
        <f t="shared" si="11"/>
        <v>0</v>
      </c>
      <c r="Z23" s="177"/>
    </row>
    <row r="24" spans="3:27" ht="15.6" hidden="1">
      <c r="C24" s="314"/>
      <c r="D24" s="174" t="s">
        <v>22</v>
      </c>
      <c r="E24" s="181">
        <f>SUM(N24:Y24)</f>
        <v>2800</v>
      </c>
      <c r="F24" s="183" t="s">
        <v>110</v>
      </c>
      <c r="G24" s="183" t="s">
        <v>297</v>
      </c>
      <c r="H24" s="181"/>
      <c r="I24" s="182"/>
      <c r="J24" s="182"/>
      <c r="K24" s="182"/>
      <c r="L24" s="182"/>
      <c r="M24" s="358"/>
      <c r="N24" s="181">
        <f>SUMIFS('FCST data'!Q:Q,'FCST data'!$D:$D,$F24,'FCST data'!$K:$K,$G24)</f>
        <v>700</v>
      </c>
      <c r="O24" s="181">
        <f>SUMIFS('FCST data'!R:R,'FCST data'!$D:$D,$F24,'FCST data'!$K:$K,$G24)</f>
        <v>1050</v>
      </c>
      <c r="P24" s="181">
        <f>SUMIFS('FCST data'!S:S,'FCST data'!$D:$D,$F24,'FCST data'!$K:$K,$G24)</f>
        <v>1050</v>
      </c>
      <c r="Q24" s="181">
        <f>SUMIFS('FCST data'!T:T,'FCST data'!$D:$D,$F24,'FCST data'!$K:$K,$G24)</f>
        <v>0</v>
      </c>
      <c r="R24" s="181">
        <f>SUMIFS('FCST data'!U:U,'FCST data'!$D:$D,$F24,'FCST data'!$K:$K,$G24)</f>
        <v>0</v>
      </c>
      <c r="S24" s="181">
        <f>SUMIFS('FCST data'!V:V,'FCST data'!$D:$D,$F24,'FCST data'!$K:$K,$G24)</f>
        <v>0</v>
      </c>
      <c r="T24" s="181">
        <f>SUMIFS('FCST data'!W:W,'FCST data'!$D:$D,$F24,'FCST data'!$K:$K,$G24)</f>
        <v>0</v>
      </c>
      <c r="U24" s="181">
        <f>SUMIFS('FCST data'!X:X,'FCST data'!$D:$D,$F24,'FCST data'!$K:$K,$G24)</f>
        <v>0</v>
      </c>
      <c r="V24" s="181">
        <f>SUMIFS('FCST data'!Y:Y,'FCST data'!$D:$D,$F24,'FCST data'!$K:$K,$G24)</f>
        <v>0</v>
      </c>
      <c r="W24" s="181">
        <f>SUMIFS('FCST data'!Z:Z,'FCST data'!$D:$D,$F24,'FCST data'!$K:$K,$G24)</f>
        <v>0</v>
      </c>
      <c r="X24" s="181">
        <f>SUMIFS('FCST data'!AA:AA,'FCST data'!$D:$D,$F24,'FCST data'!$K:$K,$G24)</f>
        <v>0</v>
      </c>
      <c r="Y24" s="181">
        <f>SUMIFS('FCST data'!AB:AB,'FCST data'!$D:$D,$F24,'FCST data'!$K:$K,$G24)</f>
        <v>0</v>
      </c>
      <c r="Z24" s="148"/>
      <c r="AA24" s="17">
        <f>E24-Z25-Z26</f>
        <v>0</v>
      </c>
    </row>
    <row r="25" spans="3:27" ht="14.4" hidden="1">
      <c r="C25" s="283"/>
      <c r="D25" s="284"/>
      <c r="E25" s="285"/>
      <c r="F25" s="286" t="s">
        <v>110</v>
      </c>
      <c r="G25" s="286" t="s">
        <v>297</v>
      </c>
      <c r="H25" s="284" t="s">
        <v>2</v>
      </c>
      <c r="I25" s="287" t="s">
        <v>31</v>
      </c>
      <c r="J25" s="287" t="s">
        <v>285</v>
      </c>
      <c r="K25" s="287"/>
      <c r="L25" s="160"/>
      <c r="M25" s="362"/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177">
        <f>SUM(N25:Y25)</f>
        <v>0</v>
      </c>
    </row>
    <row r="26" spans="3:27" ht="14.4" hidden="1">
      <c r="C26" s="283"/>
      <c r="D26" s="284"/>
      <c r="E26" s="285"/>
      <c r="F26" s="286" t="s">
        <v>110</v>
      </c>
      <c r="G26" s="286" t="s">
        <v>297</v>
      </c>
      <c r="H26" s="301" t="s">
        <v>20</v>
      </c>
      <c r="I26" s="287" t="s">
        <v>291</v>
      </c>
      <c r="J26" s="287" t="s">
        <v>285</v>
      </c>
      <c r="K26" s="287"/>
      <c r="L26" s="160"/>
      <c r="M26" s="362" t="s">
        <v>286</v>
      </c>
      <c r="N26" s="291">
        <f>N24</f>
        <v>700</v>
      </c>
      <c r="O26" s="291">
        <f t="shared" ref="O26:R26" si="12">O24</f>
        <v>1050</v>
      </c>
      <c r="P26" s="291">
        <f t="shared" si="12"/>
        <v>1050</v>
      </c>
      <c r="Q26" s="291">
        <f t="shared" si="12"/>
        <v>0</v>
      </c>
      <c r="R26" s="291">
        <f t="shared" si="12"/>
        <v>0</v>
      </c>
      <c r="S26" s="291">
        <f t="shared" ref="S26:Y26" si="13">S24</f>
        <v>0</v>
      </c>
      <c r="T26" s="291">
        <f t="shared" si="13"/>
        <v>0</v>
      </c>
      <c r="U26" s="291">
        <f t="shared" si="13"/>
        <v>0</v>
      </c>
      <c r="V26" s="291">
        <f t="shared" si="13"/>
        <v>0</v>
      </c>
      <c r="W26" s="291">
        <f t="shared" si="13"/>
        <v>0</v>
      </c>
      <c r="X26" s="291">
        <f t="shared" si="13"/>
        <v>0</v>
      </c>
      <c r="Y26" s="291">
        <f t="shared" si="13"/>
        <v>0</v>
      </c>
      <c r="Z26" s="177">
        <f>SUM(N26:Y26)</f>
        <v>2800</v>
      </c>
    </row>
    <row r="27" spans="3:27" ht="14.4" hidden="1">
      <c r="C27" s="283"/>
      <c r="D27" s="284"/>
      <c r="E27" s="285"/>
      <c r="F27" s="286" t="s">
        <v>110</v>
      </c>
      <c r="G27" s="286" t="s">
        <v>297</v>
      </c>
      <c r="H27" s="301" t="s">
        <v>20</v>
      </c>
      <c r="I27" s="287" t="s">
        <v>291</v>
      </c>
      <c r="J27" s="302" t="s">
        <v>287</v>
      </c>
      <c r="K27" s="302"/>
      <c r="L27" s="267"/>
      <c r="M27" s="365" t="s">
        <v>288</v>
      </c>
      <c r="N27" s="291">
        <f>N24</f>
        <v>700</v>
      </c>
      <c r="O27" s="291">
        <f t="shared" ref="O27:R27" si="14">O24</f>
        <v>1050</v>
      </c>
      <c r="P27" s="291">
        <f t="shared" si="14"/>
        <v>1050</v>
      </c>
      <c r="Q27" s="291">
        <f t="shared" si="14"/>
        <v>0</v>
      </c>
      <c r="R27" s="291">
        <f t="shared" si="14"/>
        <v>0</v>
      </c>
      <c r="S27" s="291">
        <f t="shared" ref="S27:Y27" si="15">S24</f>
        <v>0</v>
      </c>
      <c r="T27" s="291">
        <f t="shared" si="15"/>
        <v>0</v>
      </c>
      <c r="U27" s="291">
        <f t="shared" si="15"/>
        <v>0</v>
      </c>
      <c r="V27" s="291">
        <f t="shared" si="15"/>
        <v>0</v>
      </c>
      <c r="W27" s="291">
        <f t="shared" si="15"/>
        <v>0</v>
      </c>
      <c r="X27" s="291">
        <f t="shared" si="15"/>
        <v>0</v>
      </c>
      <c r="Y27" s="291">
        <f t="shared" si="15"/>
        <v>0</v>
      </c>
      <c r="Z27" s="177"/>
    </row>
    <row r="28" spans="3:27" ht="14.4">
      <c r="C28" s="283"/>
      <c r="D28" s="284"/>
      <c r="E28" s="285"/>
      <c r="F28" s="286" t="s">
        <v>110</v>
      </c>
      <c r="G28" s="286" t="s">
        <v>297</v>
      </c>
      <c r="H28" s="301" t="s">
        <v>20</v>
      </c>
      <c r="I28" s="287" t="s">
        <v>291</v>
      </c>
      <c r="J28" s="302" t="s">
        <v>289</v>
      </c>
      <c r="K28" s="302"/>
      <c r="L28" s="267">
        <v>2</v>
      </c>
      <c r="M28" s="360" t="s">
        <v>290</v>
      </c>
      <c r="N28" s="303">
        <f>N24*$L$28</f>
        <v>1400</v>
      </c>
      <c r="O28" s="303">
        <f t="shared" ref="O28:R28" si="16">O24*$L$28</f>
        <v>2100</v>
      </c>
      <c r="P28" s="303">
        <f t="shared" si="16"/>
        <v>2100</v>
      </c>
      <c r="Q28" s="303">
        <f t="shared" si="16"/>
        <v>0</v>
      </c>
      <c r="R28" s="303">
        <f t="shared" si="16"/>
        <v>0</v>
      </c>
      <c r="S28" s="303">
        <f t="shared" ref="S28:Y28" si="17">S24*$L$28</f>
        <v>0</v>
      </c>
      <c r="T28" s="303">
        <f t="shared" si="17"/>
        <v>0</v>
      </c>
      <c r="U28" s="303">
        <f t="shared" si="17"/>
        <v>0</v>
      </c>
      <c r="V28" s="303">
        <f t="shared" si="17"/>
        <v>0</v>
      </c>
      <c r="W28" s="303">
        <f t="shared" si="17"/>
        <v>0</v>
      </c>
      <c r="X28" s="303">
        <f t="shared" si="17"/>
        <v>0</v>
      </c>
      <c r="Y28" s="303">
        <f t="shared" si="17"/>
        <v>0</v>
      </c>
      <c r="Z28" s="177"/>
    </row>
    <row r="29" spans="3:27" ht="15.6" hidden="1">
      <c r="C29" s="314"/>
      <c r="D29" s="174" t="s">
        <v>22</v>
      </c>
      <c r="E29" s="181">
        <f>SUM(N29:Y29)</f>
        <v>0</v>
      </c>
      <c r="F29" s="183" t="s">
        <v>200</v>
      </c>
      <c r="G29" s="183" t="s">
        <v>365</v>
      </c>
      <c r="H29" s="181"/>
      <c r="I29" s="182"/>
      <c r="J29" s="182"/>
      <c r="K29" s="182"/>
      <c r="L29" s="182"/>
      <c r="M29" s="358"/>
      <c r="N29" s="181">
        <f>SUMIFS('FCST data'!Q:Q,'FCST data'!$D:$D,$F29,'FCST data'!$K:$K,$G29)</f>
        <v>0</v>
      </c>
      <c r="O29" s="181">
        <f>SUMIFS('FCST data'!R:R,'FCST data'!$D:$D,$F29,'FCST data'!$K:$K,$G29)</f>
        <v>0</v>
      </c>
      <c r="P29" s="181">
        <f>SUMIFS('FCST data'!S:S,'FCST data'!$D:$D,$F29,'FCST data'!$K:$K,$G29)</f>
        <v>0</v>
      </c>
      <c r="Q29" s="181">
        <f>SUMIFS('FCST data'!T:T,'FCST data'!$D:$D,$F29,'FCST data'!$K:$K,$G29)</f>
        <v>0</v>
      </c>
      <c r="R29" s="181">
        <f>SUMIFS('FCST data'!U:U,'FCST data'!$D:$D,$F29,'FCST data'!$K:$K,$G29)</f>
        <v>0</v>
      </c>
      <c r="S29" s="181">
        <f>SUMIFS('FCST data'!V:V,'FCST data'!$D:$D,$F29,'FCST data'!$K:$K,$G29)</f>
        <v>0</v>
      </c>
      <c r="T29" s="181">
        <f>SUMIFS('FCST data'!W:W,'FCST data'!$D:$D,$F29,'FCST data'!$K:$K,$G29)</f>
        <v>0</v>
      </c>
      <c r="U29" s="181">
        <f>SUMIFS('FCST data'!X:X,'FCST data'!$D:$D,$F29,'FCST data'!$K:$K,$G29)</f>
        <v>0</v>
      </c>
      <c r="V29" s="181">
        <f>SUMIFS('FCST data'!Y:Y,'FCST data'!$D:$D,$F29,'FCST data'!$K:$K,$G29)</f>
        <v>0</v>
      </c>
      <c r="W29" s="181">
        <f>SUMIFS('FCST data'!Z:Z,'FCST data'!$D:$D,$F29,'FCST data'!$K:$K,$G29)</f>
        <v>0</v>
      </c>
      <c r="X29" s="181">
        <f>SUMIFS('FCST data'!AA:AA,'FCST data'!$D:$D,$F29,'FCST data'!$K:$K,$G29)</f>
        <v>0</v>
      </c>
      <c r="Y29" s="181">
        <f>SUMIFS('FCST data'!AB:AB,'FCST data'!$D:$D,$F29,'FCST data'!$K:$K,$G29)</f>
        <v>0</v>
      </c>
      <c r="Z29" s="148"/>
      <c r="AA29" s="17">
        <f>E29-Z30-Z31</f>
        <v>0</v>
      </c>
    </row>
    <row r="30" spans="3:27" ht="14.4" hidden="1">
      <c r="C30" s="283"/>
      <c r="D30" s="284"/>
      <c r="E30" s="147"/>
      <c r="F30" s="286" t="s">
        <v>200</v>
      </c>
      <c r="G30" s="286" t="s">
        <v>365</v>
      </c>
      <c r="H30" s="287" t="s">
        <v>2</v>
      </c>
      <c r="I30" s="209" t="s">
        <v>31</v>
      </c>
      <c r="J30" s="287" t="s">
        <v>285</v>
      </c>
      <c r="K30" s="209"/>
      <c r="L30" s="209"/>
      <c r="M30" s="362"/>
      <c r="N30" s="291"/>
      <c r="O30" s="291"/>
      <c r="P30" s="291"/>
      <c r="Q30" s="291"/>
      <c r="R30" s="291"/>
      <c r="S30" s="291"/>
      <c r="T30" s="291"/>
      <c r="U30" s="291"/>
      <c r="V30" s="291"/>
      <c r="W30" s="291"/>
      <c r="X30" s="291"/>
      <c r="Y30" s="291"/>
      <c r="Z30" s="177">
        <f>SUM(N30:Y30)</f>
        <v>0</v>
      </c>
    </row>
    <row r="31" spans="3:27" ht="14.4" hidden="1">
      <c r="C31" s="283"/>
      <c r="D31" s="284"/>
      <c r="E31" s="147"/>
      <c r="F31" s="286" t="s">
        <v>200</v>
      </c>
      <c r="G31" s="286" t="s">
        <v>365</v>
      </c>
      <c r="H31" s="301" t="s">
        <v>20</v>
      </c>
      <c r="I31" s="287" t="s">
        <v>291</v>
      </c>
      <c r="J31" s="287" t="s">
        <v>285</v>
      </c>
      <c r="K31" s="209"/>
      <c r="L31" s="209"/>
      <c r="M31" s="362" t="s">
        <v>286</v>
      </c>
      <c r="N31" s="291">
        <f>N29</f>
        <v>0</v>
      </c>
      <c r="O31" s="291">
        <f t="shared" ref="O31:R31" si="18">O29</f>
        <v>0</v>
      </c>
      <c r="P31" s="291">
        <f t="shared" si="18"/>
        <v>0</v>
      </c>
      <c r="Q31" s="291">
        <f t="shared" si="18"/>
        <v>0</v>
      </c>
      <c r="R31" s="291">
        <f t="shared" si="18"/>
        <v>0</v>
      </c>
      <c r="S31" s="291">
        <f t="shared" ref="S31:Y31" si="19">S29</f>
        <v>0</v>
      </c>
      <c r="T31" s="291">
        <f t="shared" si="19"/>
        <v>0</v>
      </c>
      <c r="U31" s="291">
        <f t="shared" si="19"/>
        <v>0</v>
      </c>
      <c r="V31" s="291">
        <f t="shared" si="19"/>
        <v>0</v>
      </c>
      <c r="W31" s="291">
        <f t="shared" si="19"/>
        <v>0</v>
      </c>
      <c r="X31" s="291">
        <f t="shared" si="19"/>
        <v>0</v>
      </c>
      <c r="Y31" s="291">
        <f t="shared" si="19"/>
        <v>0</v>
      </c>
      <c r="Z31" s="177">
        <f>SUM(N31:Y31)</f>
        <v>0</v>
      </c>
    </row>
    <row r="32" spans="3:27" ht="14.4" hidden="1">
      <c r="C32" s="283"/>
      <c r="D32" s="284"/>
      <c r="E32" s="147"/>
      <c r="F32" s="286" t="s">
        <v>200</v>
      </c>
      <c r="G32" s="286" t="s">
        <v>365</v>
      </c>
      <c r="H32" s="301" t="s">
        <v>20</v>
      </c>
      <c r="I32" s="287" t="s">
        <v>291</v>
      </c>
      <c r="J32" s="302" t="s">
        <v>287</v>
      </c>
      <c r="K32" s="304"/>
      <c r="L32" s="304"/>
      <c r="M32" s="365" t="s">
        <v>288</v>
      </c>
      <c r="N32" s="291">
        <f>N29</f>
        <v>0</v>
      </c>
      <c r="O32" s="291">
        <f t="shared" ref="O32:R32" si="20">O29</f>
        <v>0</v>
      </c>
      <c r="P32" s="291">
        <f t="shared" si="20"/>
        <v>0</v>
      </c>
      <c r="Q32" s="291">
        <f t="shared" si="20"/>
        <v>0</v>
      </c>
      <c r="R32" s="291">
        <f t="shared" si="20"/>
        <v>0</v>
      </c>
      <c r="S32" s="291">
        <f t="shared" ref="S32:Y32" si="21">S29</f>
        <v>0</v>
      </c>
      <c r="T32" s="291">
        <f t="shared" si="21"/>
        <v>0</v>
      </c>
      <c r="U32" s="291">
        <f t="shared" si="21"/>
        <v>0</v>
      </c>
      <c r="V32" s="291">
        <f t="shared" si="21"/>
        <v>0</v>
      </c>
      <c r="W32" s="291">
        <f t="shared" si="21"/>
        <v>0</v>
      </c>
      <c r="X32" s="291">
        <f t="shared" si="21"/>
        <v>0</v>
      </c>
      <c r="Y32" s="291">
        <f t="shared" si="21"/>
        <v>0</v>
      </c>
      <c r="Z32" s="177"/>
    </row>
    <row r="33" spans="3:27" ht="14.4">
      <c r="C33" s="283"/>
      <c r="D33" s="284"/>
      <c r="E33" s="147"/>
      <c r="F33" s="286" t="s">
        <v>200</v>
      </c>
      <c r="G33" s="286" t="s">
        <v>365</v>
      </c>
      <c r="H33" s="301" t="s">
        <v>20</v>
      </c>
      <c r="I33" s="287" t="s">
        <v>291</v>
      </c>
      <c r="J33" s="302" t="s">
        <v>289</v>
      </c>
      <c r="K33" s="304"/>
      <c r="L33" s="304">
        <v>2</v>
      </c>
      <c r="M33" s="360" t="s">
        <v>290</v>
      </c>
      <c r="N33" s="303">
        <f>N29*$L$33</f>
        <v>0</v>
      </c>
      <c r="O33" s="303">
        <f t="shared" ref="O33:R33" si="22">O29*$L$33</f>
        <v>0</v>
      </c>
      <c r="P33" s="303">
        <f t="shared" si="22"/>
        <v>0</v>
      </c>
      <c r="Q33" s="303">
        <f t="shared" si="22"/>
        <v>0</v>
      </c>
      <c r="R33" s="303">
        <f t="shared" si="22"/>
        <v>0</v>
      </c>
      <c r="S33" s="303">
        <f t="shared" ref="S33:Y33" si="23">S29*$L$33</f>
        <v>0</v>
      </c>
      <c r="T33" s="303">
        <f t="shared" si="23"/>
        <v>0</v>
      </c>
      <c r="U33" s="303">
        <f t="shared" si="23"/>
        <v>0</v>
      </c>
      <c r="V33" s="303">
        <f t="shared" si="23"/>
        <v>0</v>
      </c>
      <c r="W33" s="303">
        <f t="shared" si="23"/>
        <v>0</v>
      </c>
      <c r="X33" s="303">
        <f t="shared" si="23"/>
        <v>0</v>
      </c>
      <c r="Y33" s="303">
        <f t="shared" si="23"/>
        <v>0</v>
      </c>
      <c r="Z33" s="177"/>
    </row>
    <row r="34" spans="3:27" ht="15.6" hidden="1">
      <c r="C34" s="314"/>
      <c r="D34" s="174" t="s">
        <v>22</v>
      </c>
      <c r="E34" s="181">
        <f>SUM(N34:Y34)</f>
        <v>14100</v>
      </c>
      <c r="F34" s="183" t="s">
        <v>243</v>
      </c>
      <c r="G34" s="183" t="s">
        <v>264</v>
      </c>
      <c r="H34" s="181"/>
      <c r="I34" s="182"/>
      <c r="J34" s="182"/>
      <c r="K34" s="182"/>
      <c r="L34" s="182"/>
      <c r="M34" s="358"/>
      <c r="N34" s="181">
        <f>SUMIFS('FCST data'!Q:Q,'FCST data'!$D:$D,$F34,'FCST data'!$K:$K,$G34)</f>
        <v>4000</v>
      </c>
      <c r="O34" s="181">
        <f>SUMIFS('FCST data'!R:R,'FCST data'!$D:$D,$F34,'FCST data'!$K:$K,$G34)</f>
        <v>5100</v>
      </c>
      <c r="P34" s="181">
        <f>SUMIFS('FCST data'!S:S,'FCST data'!$D:$D,$F34,'FCST data'!$K:$K,$G34)</f>
        <v>0</v>
      </c>
      <c r="Q34" s="181">
        <f>SUMIFS('FCST data'!T:T,'FCST data'!$D:$D,$F34,'FCST data'!$K:$K,$G34)</f>
        <v>0</v>
      </c>
      <c r="R34" s="181">
        <f>SUMIFS('FCST data'!U:U,'FCST data'!$D:$D,$F34,'FCST data'!$K:$K,$G34)</f>
        <v>0</v>
      </c>
      <c r="S34" s="181">
        <f>SUMIFS('FCST data'!V:V,'FCST data'!$D:$D,$F34,'FCST data'!$K:$K,$G34)</f>
        <v>0</v>
      </c>
      <c r="T34" s="181">
        <f>SUMIFS('FCST data'!W:W,'FCST data'!$D:$D,$F34,'FCST data'!$K:$K,$G34)</f>
        <v>2000</v>
      </c>
      <c r="U34" s="181">
        <f>SUMIFS('FCST data'!X:X,'FCST data'!$D:$D,$F34,'FCST data'!$K:$K,$G34)</f>
        <v>2000</v>
      </c>
      <c r="V34" s="181">
        <f>SUMIFS('FCST data'!Y:Y,'FCST data'!$D:$D,$F34,'FCST data'!$K:$K,$G34)</f>
        <v>1000</v>
      </c>
      <c r="W34" s="181">
        <f>SUMIFS('FCST data'!Z:Z,'FCST data'!$D:$D,$F34,'FCST data'!$K:$K,$G34)</f>
        <v>0</v>
      </c>
      <c r="X34" s="181">
        <f>SUMIFS('FCST data'!AA:AA,'FCST data'!$D:$D,$F34,'FCST data'!$K:$K,$G34)</f>
        <v>0</v>
      </c>
      <c r="Y34" s="181">
        <f>SUMIFS('FCST data'!AB:AB,'FCST data'!$D:$D,$F34,'FCST data'!$K:$K,$G34)</f>
        <v>0</v>
      </c>
      <c r="Z34" s="148"/>
      <c r="AA34" s="17">
        <f>E34-Z35-Z36</f>
        <v>0</v>
      </c>
    </row>
    <row r="35" spans="3:27" ht="14.4" hidden="1">
      <c r="C35" s="283"/>
      <c r="D35" s="284"/>
      <c r="E35" s="285"/>
      <c r="F35" s="286" t="s">
        <v>243</v>
      </c>
      <c r="G35" s="286" t="s">
        <v>264</v>
      </c>
      <c r="H35" s="284" t="s">
        <v>2</v>
      </c>
      <c r="I35" s="287" t="s">
        <v>31</v>
      </c>
      <c r="J35" s="287" t="s">
        <v>285</v>
      </c>
      <c r="K35" s="287"/>
      <c r="L35" s="160"/>
      <c r="M35" s="362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177">
        <f>SUM(N35:Y35)</f>
        <v>0</v>
      </c>
    </row>
    <row r="36" spans="3:27" ht="14.4" hidden="1">
      <c r="C36" s="283"/>
      <c r="D36" s="284"/>
      <c r="E36" s="285"/>
      <c r="F36" s="286" t="s">
        <v>243</v>
      </c>
      <c r="G36" s="286" t="s">
        <v>264</v>
      </c>
      <c r="H36" s="301" t="s">
        <v>20</v>
      </c>
      <c r="I36" s="287" t="s">
        <v>291</v>
      </c>
      <c r="J36" s="287" t="s">
        <v>285</v>
      </c>
      <c r="K36" s="287"/>
      <c r="L36" s="160"/>
      <c r="M36" s="362" t="s">
        <v>286</v>
      </c>
      <c r="N36" s="291">
        <f>N34</f>
        <v>4000</v>
      </c>
      <c r="O36" s="291">
        <f t="shared" ref="O36:R36" si="24">O34</f>
        <v>5100</v>
      </c>
      <c r="P36" s="291">
        <f t="shared" si="24"/>
        <v>0</v>
      </c>
      <c r="Q36" s="291">
        <f t="shared" si="24"/>
        <v>0</v>
      </c>
      <c r="R36" s="291">
        <f t="shared" si="24"/>
        <v>0</v>
      </c>
      <c r="S36" s="291">
        <f t="shared" ref="S36:Y36" si="25">S34</f>
        <v>0</v>
      </c>
      <c r="T36" s="291">
        <f t="shared" si="25"/>
        <v>2000</v>
      </c>
      <c r="U36" s="291">
        <f t="shared" si="25"/>
        <v>2000</v>
      </c>
      <c r="V36" s="291">
        <f t="shared" si="25"/>
        <v>1000</v>
      </c>
      <c r="W36" s="291">
        <f t="shared" si="25"/>
        <v>0</v>
      </c>
      <c r="X36" s="291">
        <f t="shared" si="25"/>
        <v>0</v>
      </c>
      <c r="Y36" s="291">
        <f t="shared" si="25"/>
        <v>0</v>
      </c>
      <c r="Z36" s="177">
        <f>SUM(N36:Y36)</f>
        <v>14100</v>
      </c>
    </row>
    <row r="37" spans="3:27" ht="14.4" hidden="1">
      <c r="C37" s="283"/>
      <c r="D37" s="284"/>
      <c r="E37" s="285"/>
      <c r="F37" s="286" t="s">
        <v>243</v>
      </c>
      <c r="G37" s="286" t="s">
        <v>264</v>
      </c>
      <c r="H37" s="301" t="s">
        <v>20</v>
      </c>
      <c r="I37" s="287" t="s">
        <v>291</v>
      </c>
      <c r="J37" s="302" t="s">
        <v>287</v>
      </c>
      <c r="K37" s="287"/>
      <c r="L37" s="160"/>
      <c r="M37" s="365" t="s">
        <v>288</v>
      </c>
      <c r="N37" s="291">
        <f>N34</f>
        <v>4000</v>
      </c>
      <c r="O37" s="291">
        <f t="shared" ref="O37:R37" si="26">O34</f>
        <v>5100</v>
      </c>
      <c r="P37" s="291">
        <f t="shared" si="26"/>
        <v>0</v>
      </c>
      <c r="Q37" s="291">
        <f t="shared" si="26"/>
        <v>0</v>
      </c>
      <c r="R37" s="291">
        <f t="shared" si="26"/>
        <v>0</v>
      </c>
      <c r="S37" s="291">
        <f t="shared" ref="S37:Y37" si="27">S34</f>
        <v>0</v>
      </c>
      <c r="T37" s="291">
        <f t="shared" si="27"/>
        <v>2000</v>
      </c>
      <c r="U37" s="291">
        <f t="shared" si="27"/>
        <v>2000</v>
      </c>
      <c r="V37" s="291">
        <f t="shared" si="27"/>
        <v>1000</v>
      </c>
      <c r="W37" s="291">
        <f t="shared" si="27"/>
        <v>0</v>
      </c>
      <c r="X37" s="291">
        <f t="shared" si="27"/>
        <v>0</v>
      </c>
      <c r="Y37" s="291">
        <f t="shared" si="27"/>
        <v>0</v>
      </c>
      <c r="Z37" s="177"/>
    </row>
    <row r="38" spans="3:27" ht="14.4">
      <c r="C38" s="283"/>
      <c r="D38" s="284"/>
      <c r="E38" s="285"/>
      <c r="F38" s="286" t="s">
        <v>243</v>
      </c>
      <c r="G38" s="286" t="s">
        <v>264</v>
      </c>
      <c r="H38" s="301" t="s">
        <v>20</v>
      </c>
      <c r="I38" s="287" t="s">
        <v>291</v>
      </c>
      <c r="J38" s="302" t="s">
        <v>289</v>
      </c>
      <c r="K38" s="287"/>
      <c r="L38" s="160">
        <v>2</v>
      </c>
      <c r="M38" s="360" t="s">
        <v>290</v>
      </c>
      <c r="N38" s="291">
        <f>N34*$L$38</f>
        <v>8000</v>
      </c>
      <c r="O38" s="291">
        <f t="shared" ref="O38:R38" si="28">O34*$L$38</f>
        <v>10200</v>
      </c>
      <c r="P38" s="291">
        <f t="shared" si="28"/>
        <v>0</v>
      </c>
      <c r="Q38" s="291">
        <f t="shared" si="28"/>
        <v>0</v>
      </c>
      <c r="R38" s="291">
        <f t="shared" si="28"/>
        <v>0</v>
      </c>
      <c r="S38" s="291">
        <f t="shared" ref="S38:Y38" si="29">S34*$L$38</f>
        <v>0</v>
      </c>
      <c r="T38" s="291">
        <f t="shared" si="29"/>
        <v>4000</v>
      </c>
      <c r="U38" s="291">
        <f t="shared" si="29"/>
        <v>4000</v>
      </c>
      <c r="V38" s="291">
        <f t="shared" si="29"/>
        <v>2000</v>
      </c>
      <c r="W38" s="291">
        <f t="shared" si="29"/>
        <v>0</v>
      </c>
      <c r="X38" s="291">
        <f t="shared" si="29"/>
        <v>0</v>
      </c>
      <c r="Y38" s="291">
        <f t="shared" si="29"/>
        <v>0</v>
      </c>
      <c r="Z38" s="177"/>
    </row>
    <row r="39" spans="3:27" ht="15.6" hidden="1">
      <c r="C39" s="314"/>
      <c r="D39" s="174" t="s">
        <v>22</v>
      </c>
      <c r="E39" s="181">
        <f>SUM(N39:Y39)</f>
        <v>17000</v>
      </c>
      <c r="F39" s="183" t="s">
        <v>294</v>
      </c>
      <c r="G39" s="183" t="s">
        <v>266</v>
      </c>
      <c r="H39" s="181"/>
      <c r="I39" s="182"/>
      <c r="J39" s="182"/>
      <c r="K39" s="182"/>
      <c r="L39" s="182"/>
      <c r="M39" s="358"/>
      <c r="N39" s="181">
        <f>SUMIFS('FCST data'!Q:Q,'FCST data'!$D:$D,$F39,'FCST data'!$K:$K,$G39)</f>
        <v>1500</v>
      </c>
      <c r="O39" s="181">
        <f>SUMIFS('FCST data'!R:R,'FCST data'!$D:$D,$F39,'FCST data'!$K:$K,$G39)</f>
        <v>3700</v>
      </c>
      <c r="P39" s="181">
        <f>SUMIFS('FCST data'!S:S,'FCST data'!$D:$D,$F39,'FCST data'!$K:$K,$G39)</f>
        <v>4000</v>
      </c>
      <c r="Q39" s="181">
        <f>SUMIFS('FCST data'!T:T,'FCST data'!$D:$D,$F39,'FCST data'!$K:$K,$G39)</f>
        <v>4000</v>
      </c>
      <c r="R39" s="181">
        <f>SUMIFS('FCST data'!U:U,'FCST data'!$D:$D,$F39,'FCST data'!$K:$K,$G39)</f>
        <v>3800</v>
      </c>
      <c r="S39" s="181">
        <f>SUMIFS('FCST data'!V:V,'FCST data'!$D:$D,$F39,'FCST data'!$K:$K,$G39)</f>
        <v>0</v>
      </c>
      <c r="T39" s="181">
        <f>SUMIFS('FCST data'!W:W,'FCST data'!$D:$D,$F39,'FCST data'!$K:$K,$G39)</f>
        <v>0</v>
      </c>
      <c r="U39" s="181">
        <f>SUMIFS('FCST data'!X:X,'FCST data'!$D:$D,$F39,'FCST data'!$K:$K,$G39)</f>
        <v>0</v>
      </c>
      <c r="V39" s="181">
        <f>SUMIFS('FCST data'!Y:Y,'FCST data'!$D:$D,$F39,'FCST data'!$K:$K,$G39)</f>
        <v>0</v>
      </c>
      <c r="W39" s="181">
        <f>SUMIFS('FCST data'!Z:Z,'FCST data'!$D:$D,$F39,'FCST data'!$K:$K,$G39)</f>
        <v>0</v>
      </c>
      <c r="X39" s="181">
        <f>SUMIFS('FCST data'!AA:AA,'FCST data'!$D:$D,$F39,'FCST data'!$K:$K,$G39)</f>
        <v>0</v>
      </c>
      <c r="Y39" s="181">
        <f>SUMIFS('FCST data'!AB:AB,'FCST data'!$D:$D,$F39,'FCST data'!$K:$K,$G39)</f>
        <v>0</v>
      </c>
      <c r="Z39" s="148"/>
      <c r="AA39" s="17">
        <f>E39-Z40-Z41</f>
        <v>0</v>
      </c>
    </row>
    <row r="40" spans="3:27" ht="14.4" hidden="1">
      <c r="C40" s="283"/>
      <c r="D40" s="284"/>
      <c r="E40" s="285"/>
      <c r="F40" s="286" t="s">
        <v>294</v>
      </c>
      <c r="G40" s="286" t="s">
        <v>266</v>
      </c>
      <c r="H40" s="284" t="s">
        <v>2</v>
      </c>
      <c r="I40" s="287" t="s">
        <v>31</v>
      </c>
      <c r="J40" s="287" t="s">
        <v>285</v>
      </c>
      <c r="K40" s="287"/>
      <c r="L40" s="160"/>
      <c r="M40" s="362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177">
        <f>SUM(N40:Y40)</f>
        <v>0</v>
      </c>
    </row>
    <row r="41" spans="3:27" ht="14.4" hidden="1">
      <c r="C41" s="283"/>
      <c r="D41" s="284"/>
      <c r="E41" s="285"/>
      <c r="F41" s="286" t="s">
        <v>294</v>
      </c>
      <c r="G41" s="286" t="s">
        <v>266</v>
      </c>
      <c r="H41" s="301" t="s">
        <v>20</v>
      </c>
      <c r="I41" s="287" t="s">
        <v>291</v>
      </c>
      <c r="J41" s="287" t="s">
        <v>285</v>
      </c>
      <c r="K41" s="287"/>
      <c r="L41" s="160"/>
      <c r="M41" s="362" t="s">
        <v>414</v>
      </c>
      <c r="N41" s="291">
        <f>N39</f>
        <v>1500</v>
      </c>
      <c r="O41" s="291">
        <f t="shared" ref="O41:R41" si="30">O39</f>
        <v>3700</v>
      </c>
      <c r="P41" s="291">
        <f t="shared" si="30"/>
        <v>4000</v>
      </c>
      <c r="Q41" s="291">
        <f t="shared" si="30"/>
        <v>4000</v>
      </c>
      <c r="R41" s="291">
        <f t="shared" si="30"/>
        <v>3800</v>
      </c>
      <c r="S41" s="291">
        <f t="shared" ref="S41:Y41" si="31">S39</f>
        <v>0</v>
      </c>
      <c r="T41" s="291">
        <f t="shared" si="31"/>
        <v>0</v>
      </c>
      <c r="U41" s="291">
        <f t="shared" si="31"/>
        <v>0</v>
      </c>
      <c r="V41" s="291">
        <f t="shared" si="31"/>
        <v>0</v>
      </c>
      <c r="W41" s="291">
        <f t="shared" si="31"/>
        <v>0</v>
      </c>
      <c r="X41" s="291">
        <f t="shared" si="31"/>
        <v>0</v>
      </c>
      <c r="Y41" s="291">
        <f t="shared" si="31"/>
        <v>0</v>
      </c>
      <c r="Z41" s="177">
        <f>SUM(N41:Y41)</f>
        <v>17000</v>
      </c>
    </row>
    <row r="42" spans="3:27" ht="14.4" hidden="1">
      <c r="C42" s="283"/>
      <c r="D42" s="284"/>
      <c r="E42" s="285"/>
      <c r="F42" s="286" t="s">
        <v>294</v>
      </c>
      <c r="G42" s="286" t="s">
        <v>266</v>
      </c>
      <c r="H42" s="301" t="s">
        <v>20</v>
      </c>
      <c r="I42" s="287" t="s">
        <v>291</v>
      </c>
      <c r="J42" s="302" t="s">
        <v>287</v>
      </c>
      <c r="K42" s="287"/>
      <c r="L42" s="160"/>
      <c r="M42" s="365" t="s">
        <v>288</v>
      </c>
      <c r="N42" s="291">
        <f>N39</f>
        <v>1500</v>
      </c>
      <c r="O42" s="291">
        <f t="shared" ref="O42:R42" si="32">O39</f>
        <v>3700</v>
      </c>
      <c r="P42" s="291">
        <f t="shared" si="32"/>
        <v>4000</v>
      </c>
      <c r="Q42" s="291">
        <f t="shared" si="32"/>
        <v>4000</v>
      </c>
      <c r="R42" s="291">
        <f t="shared" si="32"/>
        <v>3800</v>
      </c>
      <c r="S42" s="291">
        <f t="shared" ref="S42:Y42" si="33">S39</f>
        <v>0</v>
      </c>
      <c r="T42" s="291">
        <f t="shared" si="33"/>
        <v>0</v>
      </c>
      <c r="U42" s="291">
        <f t="shared" si="33"/>
        <v>0</v>
      </c>
      <c r="V42" s="291">
        <f t="shared" si="33"/>
        <v>0</v>
      </c>
      <c r="W42" s="291">
        <f t="shared" si="33"/>
        <v>0</v>
      </c>
      <c r="X42" s="291">
        <f t="shared" si="33"/>
        <v>0</v>
      </c>
      <c r="Y42" s="291">
        <f t="shared" si="33"/>
        <v>0</v>
      </c>
      <c r="Z42" s="177"/>
    </row>
    <row r="43" spans="3:27" ht="14.4">
      <c r="C43" s="283"/>
      <c r="D43" s="284"/>
      <c r="E43" s="285"/>
      <c r="F43" s="286" t="s">
        <v>294</v>
      </c>
      <c r="G43" s="286" t="s">
        <v>266</v>
      </c>
      <c r="H43" s="301" t="s">
        <v>20</v>
      </c>
      <c r="I43" s="287" t="s">
        <v>291</v>
      </c>
      <c r="J43" s="302" t="s">
        <v>289</v>
      </c>
      <c r="K43" s="287"/>
      <c r="L43" s="160">
        <v>2</v>
      </c>
      <c r="M43" s="360" t="s">
        <v>290</v>
      </c>
      <c r="N43" s="291">
        <f>N39*$L$38</f>
        <v>3000</v>
      </c>
      <c r="O43" s="291">
        <f t="shared" ref="O43:R43" si="34">O39*$L$38</f>
        <v>7400</v>
      </c>
      <c r="P43" s="291">
        <f t="shared" si="34"/>
        <v>8000</v>
      </c>
      <c r="Q43" s="291">
        <f t="shared" si="34"/>
        <v>8000</v>
      </c>
      <c r="R43" s="291">
        <f t="shared" si="34"/>
        <v>7600</v>
      </c>
      <c r="S43" s="291">
        <f t="shared" ref="S43:Y43" si="35">S39*$L$38</f>
        <v>0</v>
      </c>
      <c r="T43" s="291">
        <f t="shared" si="35"/>
        <v>0</v>
      </c>
      <c r="U43" s="291">
        <f t="shared" si="35"/>
        <v>0</v>
      </c>
      <c r="V43" s="291">
        <f t="shared" si="35"/>
        <v>0</v>
      </c>
      <c r="W43" s="291">
        <f t="shared" si="35"/>
        <v>0</v>
      </c>
      <c r="X43" s="291">
        <f t="shared" si="35"/>
        <v>0</v>
      </c>
      <c r="Y43" s="291">
        <f t="shared" si="35"/>
        <v>0</v>
      </c>
      <c r="Z43" s="177"/>
    </row>
    <row r="44" spans="3:27" ht="15.6" hidden="1">
      <c r="C44" s="314"/>
      <c r="D44" s="174" t="s">
        <v>22</v>
      </c>
      <c r="E44" s="181">
        <f>SUM(N44:Y44)</f>
        <v>500</v>
      </c>
      <c r="F44" s="183" t="s">
        <v>294</v>
      </c>
      <c r="G44" s="183" t="s">
        <v>690</v>
      </c>
      <c r="H44" s="181"/>
      <c r="I44" s="182"/>
      <c r="J44" s="182"/>
      <c r="K44" s="182"/>
      <c r="L44" s="182"/>
      <c r="M44" s="358"/>
      <c r="N44" s="181">
        <f>SUMIFS('FCST data'!Q:Q,'FCST data'!$D:$D,$F44,'FCST data'!$K:$K,$G44)</f>
        <v>500</v>
      </c>
      <c r="O44" s="181">
        <f>SUMIFS('FCST data'!R:R,'FCST data'!$D:$D,$F44,'FCST data'!$K:$K,$G44)</f>
        <v>0</v>
      </c>
      <c r="P44" s="181">
        <f>SUMIFS('FCST data'!S:S,'FCST data'!$D:$D,$F44,'FCST data'!$K:$K,$G44)</f>
        <v>0</v>
      </c>
      <c r="Q44" s="181">
        <f>SUMIFS('FCST data'!T:T,'FCST data'!$D:$D,$F44,'FCST data'!$K:$K,$G44)</f>
        <v>0</v>
      </c>
      <c r="R44" s="181">
        <f>SUMIFS('FCST data'!U:U,'FCST data'!$D:$D,$F44,'FCST data'!$K:$K,$G44)</f>
        <v>0</v>
      </c>
      <c r="S44" s="181">
        <f>SUMIFS('FCST data'!V:V,'FCST data'!$D:$D,$F44,'FCST data'!$K:$K,$G44)</f>
        <v>0</v>
      </c>
      <c r="T44" s="181">
        <f>SUMIFS('FCST data'!W:W,'FCST data'!$D:$D,$F44,'FCST data'!$K:$K,$G44)</f>
        <v>0</v>
      </c>
      <c r="U44" s="181">
        <f>SUMIFS('FCST data'!X:X,'FCST data'!$D:$D,$F44,'FCST data'!$K:$K,$G44)</f>
        <v>0</v>
      </c>
      <c r="V44" s="181">
        <f>SUMIFS('FCST data'!Y:Y,'FCST data'!$D:$D,$F44,'FCST data'!$K:$K,$G44)</f>
        <v>0</v>
      </c>
      <c r="W44" s="181">
        <f>SUMIFS('FCST data'!Z:Z,'FCST data'!$D:$D,$F44,'FCST data'!$K:$K,$G44)</f>
        <v>0</v>
      </c>
      <c r="X44" s="181">
        <f>SUMIFS('FCST data'!AA:AA,'FCST data'!$D:$D,$F44,'FCST data'!$K:$K,$G44)</f>
        <v>0</v>
      </c>
      <c r="Y44" s="181">
        <f>SUMIFS('FCST data'!AB:AB,'FCST data'!$D:$D,$F44,'FCST data'!$K:$K,$G44)</f>
        <v>0</v>
      </c>
      <c r="Z44" s="148"/>
      <c r="AA44" s="17">
        <f>E44-Z45-Z46</f>
        <v>0</v>
      </c>
    </row>
    <row r="45" spans="3:27" ht="14.4" hidden="1">
      <c r="C45" s="283"/>
      <c r="D45" s="284"/>
      <c r="E45" s="285"/>
      <c r="F45" s="286" t="s">
        <v>294</v>
      </c>
      <c r="G45" s="286" t="s">
        <v>690</v>
      </c>
      <c r="H45" s="284" t="s">
        <v>2</v>
      </c>
      <c r="I45" s="287" t="s">
        <v>31</v>
      </c>
      <c r="J45" s="287" t="s">
        <v>285</v>
      </c>
      <c r="K45" s="287"/>
      <c r="L45" s="160"/>
      <c r="M45" s="362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177">
        <f>SUM(N45:Y45)</f>
        <v>0</v>
      </c>
    </row>
    <row r="46" spans="3:27" ht="14.4" hidden="1">
      <c r="C46" s="283"/>
      <c r="D46" s="284"/>
      <c r="E46" s="285"/>
      <c r="F46" s="286" t="s">
        <v>294</v>
      </c>
      <c r="G46" s="286" t="s">
        <v>690</v>
      </c>
      <c r="H46" s="301" t="s">
        <v>20</v>
      </c>
      <c r="I46" s="287" t="s">
        <v>291</v>
      </c>
      <c r="J46" s="287" t="s">
        <v>285</v>
      </c>
      <c r="K46" s="287"/>
      <c r="L46" s="160"/>
      <c r="M46" s="362" t="s">
        <v>414</v>
      </c>
      <c r="N46" s="291">
        <f>N44</f>
        <v>500</v>
      </c>
      <c r="O46" s="291">
        <f t="shared" ref="O46:R46" si="36">O44</f>
        <v>0</v>
      </c>
      <c r="P46" s="291">
        <f t="shared" si="36"/>
        <v>0</v>
      </c>
      <c r="Q46" s="291">
        <f t="shared" si="36"/>
        <v>0</v>
      </c>
      <c r="R46" s="291">
        <f t="shared" si="36"/>
        <v>0</v>
      </c>
      <c r="S46" s="291">
        <f t="shared" ref="S46:Y46" si="37">S44</f>
        <v>0</v>
      </c>
      <c r="T46" s="291">
        <f t="shared" si="37"/>
        <v>0</v>
      </c>
      <c r="U46" s="291">
        <f t="shared" si="37"/>
        <v>0</v>
      </c>
      <c r="V46" s="291">
        <f t="shared" si="37"/>
        <v>0</v>
      </c>
      <c r="W46" s="291">
        <f t="shared" si="37"/>
        <v>0</v>
      </c>
      <c r="X46" s="291">
        <f t="shared" si="37"/>
        <v>0</v>
      </c>
      <c r="Y46" s="291">
        <f t="shared" si="37"/>
        <v>0</v>
      </c>
      <c r="Z46" s="177">
        <f>SUM(N46:Y46)</f>
        <v>500</v>
      </c>
    </row>
    <row r="47" spans="3:27" ht="14.4" hidden="1">
      <c r="C47" s="283"/>
      <c r="D47" s="284"/>
      <c r="E47" s="285"/>
      <c r="F47" s="286" t="s">
        <v>294</v>
      </c>
      <c r="G47" s="286" t="s">
        <v>690</v>
      </c>
      <c r="H47" s="301" t="s">
        <v>20</v>
      </c>
      <c r="I47" s="287" t="s">
        <v>291</v>
      </c>
      <c r="J47" s="302" t="s">
        <v>287</v>
      </c>
      <c r="K47" s="287"/>
      <c r="L47" s="160"/>
      <c r="M47" s="365" t="s">
        <v>288</v>
      </c>
      <c r="N47" s="291">
        <f>N44</f>
        <v>500</v>
      </c>
      <c r="O47" s="291">
        <f t="shared" ref="O47:R47" si="38">O44</f>
        <v>0</v>
      </c>
      <c r="P47" s="291">
        <f t="shared" si="38"/>
        <v>0</v>
      </c>
      <c r="Q47" s="291">
        <f t="shared" si="38"/>
        <v>0</v>
      </c>
      <c r="R47" s="291">
        <f t="shared" si="38"/>
        <v>0</v>
      </c>
      <c r="S47" s="291">
        <f t="shared" ref="S47:Y47" si="39">S44</f>
        <v>0</v>
      </c>
      <c r="T47" s="291">
        <f t="shared" si="39"/>
        <v>0</v>
      </c>
      <c r="U47" s="291">
        <f t="shared" si="39"/>
        <v>0</v>
      </c>
      <c r="V47" s="291">
        <f t="shared" si="39"/>
        <v>0</v>
      </c>
      <c r="W47" s="291">
        <f t="shared" si="39"/>
        <v>0</v>
      </c>
      <c r="X47" s="291">
        <f t="shared" si="39"/>
        <v>0</v>
      </c>
      <c r="Y47" s="291">
        <f t="shared" si="39"/>
        <v>0</v>
      </c>
      <c r="Z47" s="177"/>
    </row>
    <row r="48" spans="3:27" ht="14.4">
      <c r="C48" s="283"/>
      <c r="D48" s="284"/>
      <c r="E48" s="285"/>
      <c r="F48" s="286" t="s">
        <v>294</v>
      </c>
      <c r="G48" s="286" t="s">
        <v>690</v>
      </c>
      <c r="H48" s="301" t="s">
        <v>20</v>
      </c>
      <c r="I48" s="287" t="s">
        <v>291</v>
      </c>
      <c r="J48" s="302" t="s">
        <v>289</v>
      </c>
      <c r="K48" s="287"/>
      <c r="L48" s="160">
        <v>2</v>
      </c>
      <c r="M48" s="360" t="s">
        <v>290</v>
      </c>
      <c r="N48" s="291">
        <f>N44*$L$38</f>
        <v>1000</v>
      </c>
      <c r="O48" s="291">
        <f t="shared" ref="O48:R48" si="40">O44*$L$38</f>
        <v>0</v>
      </c>
      <c r="P48" s="291">
        <f t="shared" si="40"/>
        <v>0</v>
      </c>
      <c r="Q48" s="291">
        <f t="shared" si="40"/>
        <v>0</v>
      </c>
      <c r="R48" s="291">
        <f t="shared" si="40"/>
        <v>0</v>
      </c>
      <c r="S48" s="291">
        <f t="shared" ref="S48:Y48" si="41">S44*$L$38</f>
        <v>0</v>
      </c>
      <c r="T48" s="291">
        <f t="shared" si="41"/>
        <v>0</v>
      </c>
      <c r="U48" s="291">
        <f t="shared" si="41"/>
        <v>0</v>
      </c>
      <c r="V48" s="291">
        <f t="shared" si="41"/>
        <v>0</v>
      </c>
      <c r="W48" s="291">
        <f t="shared" si="41"/>
        <v>0</v>
      </c>
      <c r="X48" s="291">
        <f t="shared" si="41"/>
        <v>0</v>
      </c>
      <c r="Y48" s="291">
        <f t="shared" si="41"/>
        <v>0</v>
      </c>
      <c r="Z48" s="177"/>
    </row>
    <row r="49" spans="3:27" ht="15.6" hidden="1">
      <c r="C49" s="314"/>
      <c r="D49" s="174" t="s">
        <v>22</v>
      </c>
      <c r="E49" s="181">
        <f>SUM(N49:Y49)</f>
        <v>2600</v>
      </c>
      <c r="F49" s="183" t="s">
        <v>139</v>
      </c>
      <c r="G49" s="183" t="s">
        <v>264</v>
      </c>
      <c r="H49" s="288"/>
      <c r="I49" s="182"/>
      <c r="J49" s="182"/>
      <c r="K49" s="182"/>
      <c r="L49" s="182"/>
      <c r="M49" s="358"/>
      <c r="N49" s="181">
        <f>SUMIFS('FCST data'!Q:Q,'FCST data'!$D:$D,$F49,'FCST data'!$K:$K,$G49)</f>
        <v>200</v>
      </c>
      <c r="O49" s="181">
        <f>SUMIFS('FCST data'!R:R,'FCST data'!$D:$D,$F49,'FCST data'!$K:$K,$G49)</f>
        <v>1200</v>
      </c>
      <c r="P49" s="181">
        <f>SUMIFS('FCST data'!S:S,'FCST data'!$D:$D,$F49,'FCST data'!$K:$K,$G49)</f>
        <v>0</v>
      </c>
      <c r="Q49" s="181">
        <f>SUMIFS('FCST data'!T:T,'FCST data'!$D:$D,$F49,'FCST data'!$K:$K,$G49)</f>
        <v>0</v>
      </c>
      <c r="R49" s="181">
        <f>SUMIFS('FCST data'!U:U,'FCST data'!$D:$D,$F49,'FCST data'!$K:$K,$G49)</f>
        <v>600</v>
      </c>
      <c r="S49" s="181">
        <f>SUMIFS('FCST data'!V:V,'FCST data'!$D:$D,$F49,'FCST data'!$K:$K,$G49)</f>
        <v>600</v>
      </c>
      <c r="T49" s="181">
        <f>SUMIFS('FCST data'!W:W,'FCST data'!$D:$D,$F49,'FCST data'!$K:$K,$G49)</f>
        <v>0</v>
      </c>
      <c r="U49" s="181">
        <f>SUMIFS('FCST data'!X:X,'FCST data'!$D:$D,$F49,'FCST data'!$K:$K,$G49)</f>
        <v>0</v>
      </c>
      <c r="V49" s="181">
        <f>SUMIFS('FCST data'!Y:Y,'FCST data'!$D:$D,$F49,'FCST data'!$K:$K,$G49)</f>
        <v>0</v>
      </c>
      <c r="W49" s="181">
        <f>SUMIFS('FCST data'!Z:Z,'FCST data'!$D:$D,$F49,'FCST data'!$K:$K,$G49)</f>
        <v>0</v>
      </c>
      <c r="X49" s="181">
        <f>SUMIFS('FCST data'!AA:AA,'FCST data'!$D:$D,$F49,'FCST data'!$K:$K,$G49)</f>
        <v>0</v>
      </c>
      <c r="Y49" s="181">
        <f>SUMIFS('FCST data'!AB:AB,'FCST data'!$D:$D,$F49,'FCST data'!$K:$K,$G49)</f>
        <v>0</v>
      </c>
      <c r="Z49" s="148"/>
      <c r="AA49" s="17">
        <f>E49-Z50-Z51</f>
        <v>0</v>
      </c>
    </row>
    <row r="50" spans="3:27" ht="14.4" hidden="1">
      <c r="C50" s="283"/>
      <c r="D50" s="284"/>
      <c r="E50" s="285"/>
      <c r="F50" s="286" t="s">
        <v>139</v>
      </c>
      <c r="G50" s="286" t="s">
        <v>264</v>
      </c>
      <c r="H50" s="284" t="s">
        <v>2</v>
      </c>
      <c r="I50" s="287" t="s">
        <v>31</v>
      </c>
      <c r="J50" s="287" t="s">
        <v>285</v>
      </c>
      <c r="K50" s="287"/>
      <c r="L50" s="160"/>
      <c r="M50" s="362"/>
      <c r="N50" s="291">
        <f>N49</f>
        <v>200</v>
      </c>
      <c r="O50" s="291">
        <f t="shared" ref="O50:R50" si="42">O49</f>
        <v>1200</v>
      </c>
      <c r="P50" s="291">
        <f t="shared" si="42"/>
        <v>0</v>
      </c>
      <c r="Q50" s="291">
        <f t="shared" si="42"/>
        <v>0</v>
      </c>
      <c r="R50" s="291">
        <f t="shared" si="42"/>
        <v>600</v>
      </c>
      <c r="S50" s="291">
        <f t="shared" ref="S50:Y50" si="43">S49</f>
        <v>600</v>
      </c>
      <c r="T50" s="291">
        <f t="shared" si="43"/>
        <v>0</v>
      </c>
      <c r="U50" s="291">
        <f t="shared" si="43"/>
        <v>0</v>
      </c>
      <c r="V50" s="291">
        <f t="shared" si="43"/>
        <v>0</v>
      </c>
      <c r="W50" s="291">
        <f t="shared" si="43"/>
        <v>0</v>
      </c>
      <c r="X50" s="291">
        <f t="shared" si="43"/>
        <v>0</v>
      </c>
      <c r="Y50" s="291">
        <f t="shared" si="43"/>
        <v>0</v>
      </c>
      <c r="Z50" s="177">
        <f>SUM(N50:Y50)</f>
        <v>2600</v>
      </c>
    </row>
    <row r="51" spans="3:27" ht="14.4" hidden="1">
      <c r="C51" s="283"/>
      <c r="D51" s="284"/>
      <c r="E51" s="285"/>
      <c r="F51" s="286" t="s">
        <v>139</v>
      </c>
      <c r="G51" s="286" t="s">
        <v>264</v>
      </c>
      <c r="H51" s="284" t="s">
        <v>20</v>
      </c>
      <c r="I51" s="287" t="s">
        <v>31</v>
      </c>
      <c r="J51" s="287" t="s">
        <v>285</v>
      </c>
      <c r="K51" s="287"/>
      <c r="L51" s="160"/>
      <c r="M51" s="362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177">
        <f>SUM(N51:Y51)</f>
        <v>0</v>
      </c>
    </row>
    <row r="52" spans="3:27" ht="15.6" hidden="1">
      <c r="C52" s="314"/>
      <c r="D52" s="174" t="s">
        <v>22</v>
      </c>
      <c r="E52" s="181">
        <f>SUM(N52:Y52)</f>
        <v>0</v>
      </c>
      <c r="F52" s="183" t="s">
        <v>416</v>
      </c>
      <c r="G52" s="183" t="s">
        <v>264</v>
      </c>
      <c r="H52" s="288"/>
      <c r="I52" s="182"/>
      <c r="J52" s="182"/>
      <c r="K52" s="182"/>
      <c r="L52" s="182"/>
      <c r="M52" s="358"/>
      <c r="N52" s="181">
        <f>SUMIFS('FCST data'!Q:Q,'FCST data'!$D:$D,$F52,'FCST data'!$K:$K,$G52)</f>
        <v>0</v>
      </c>
      <c r="O52" s="181">
        <f>SUMIFS('FCST data'!R:R,'FCST data'!$D:$D,$F52,'FCST data'!$K:$K,$G52)</f>
        <v>0</v>
      </c>
      <c r="P52" s="181">
        <f>SUMIFS('FCST data'!S:S,'FCST data'!$D:$D,$F52,'FCST data'!$K:$K,$G52)</f>
        <v>0</v>
      </c>
      <c r="Q52" s="181">
        <f>SUMIFS('FCST data'!T:T,'FCST data'!$D:$D,$F52,'FCST data'!$K:$K,$G52)</f>
        <v>0</v>
      </c>
      <c r="R52" s="181">
        <f>SUMIFS('FCST data'!U:U,'FCST data'!$D:$D,$F52,'FCST data'!$K:$K,$G52)</f>
        <v>0</v>
      </c>
      <c r="S52" s="181">
        <f>SUMIFS('FCST data'!V:V,'FCST data'!$D:$D,$F52,'FCST data'!$K:$K,$G52)</f>
        <v>0</v>
      </c>
      <c r="T52" s="181">
        <f>SUMIFS('FCST data'!W:W,'FCST data'!$D:$D,$F52,'FCST data'!$K:$K,$G52)</f>
        <v>0</v>
      </c>
      <c r="U52" s="181">
        <f>SUMIFS('FCST data'!X:X,'FCST data'!$D:$D,$F52,'FCST data'!$K:$K,$G52)</f>
        <v>0</v>
      </c>
      <c r="V52" s="181">
        <f>SUMIFS('FCST data'!Y:Y,'FCST data'!$D:$D,$F52,'FCST data'!$K:$K,$G52)</f>
        <v>0</v>
      </c>
      <c r="W52" s="181">
        <f>SUMIFS('FCST data'!Z:Z,'FCST data'!$D:$D,$F52,'FCST data'!$K:$K,$G52)</f>
        <v>0</v>
      </c>
      <c r="X52" s="181">
        <f>SUMIFS('FCST data'!AA:AA,'FCST data'!$D:$D,$F52,'FCST data'!$K:$K,$G52)</f>
        <v>0</v>
      </c>
      <c r="Y52" s="181">
        <f>SUMIFS('FCST data'!AB:AB,'FCST data'!$D:$D,$F52,'FCST data'!$K:$K,$G52)</f>
        <v>0</v>
      </c>
      <c r="Z52" s="148"/>
      <c r="AA52" s="17">
        <f>E52-Z53-Z54</f>
        <v>0</v>
      </c>
    </row>
    <row r="53" spans="3:27" ht="14.4" hidden="1">
      <c r="C53" s="283"/>
      <c r="D53" s="284"/>
      <c r="E53" s="285"/>
      <c r="F53" s="286" t="s">
        <v>416</v>
      </c>
      <c r="G53" s="286" t="s">
        <v>264</v>
      </c>
      <c r="H53" s="284" t="s">
        <v>2</v>
      </c>
      <c r="I53" s="287" t="s">
        <v>31</v>
      </c>
      <c r="J53" s="287" t="s">
        <v>285</v>
      </c>
      <c r="K53" s="287"/>
      <c r="L53" s="160"/>
      <c r="M53" s="362"/>
      <c r="N53" s="291">
        <f>N52</f>
        <v>0</v>
      </c>
      <c r="O53" s="291">
        <f t="shared" ref="O53" si="44">O52</f>
        <v>0</v>
      </c>
      <c r="P53" s="291">
        <f t="shared" ref="P53" si="45">P52</f>
        <v>0</v>
      </c>
      <c r="Q53" s="291">
        <f t="shared" ref="Q53" si="46">Q52</f>
        <v>0</v>
      </c>
      <c r="R53" s="291">
        <f t="shared" ref="R53" si="47">R52</f>
        <v>0</v>
      </c>
      <c r="S53" s="291">
        <f t="shared" ref="S53:Y53" si="48">S52</f>
        <v>0</v>
      </c>
      <c r="T53" s="291">
        <f t="shared" si="48"/>
        <v>0</v>
      </c>
      <c r="U53" s="291">
        <f t="shared" si="48"/>
        <v>0</v>
      </c>
      <c r="V53" s="291">
        <f t="shared" si="48"/>
        <v>0</v>
      </c>
      <c r="W53" s="291">
        <f t="shared" si="48"/>
        <v>0</v>
      </c>
      <c r="X53" s="291">
        <f t="shared" si="48"/>
        <v>0</v>
      </c>
      <c r="Y53" s="291">
        <f t="shared" si="48"/>
        <v>0</v>
      </c>
      <c r="Z53" s="177">
        <f>SUM(N53:Y53)</f>
        <v>0</v>
      </c>
    </row>
    <row r="54" spans="3:27" ht="14.4" hidden="1">
      <c r="C54" s="283"/>
      <c r="D54" s="284"/>
      <c r="E54" s="285"/>
      <c r="F54" s="286" t="s">
        <v>416</v>
      </c>
      <c r="G54" s="286" t="s">
        <v>264</v>
      </c>
      <c r="H54" s="284" t="s">
        <v>20</v>
      </c>
      <c r="I54" s="287" t="s">
        <v>31</v>
      </c>
      <c r="J54" s="287" t="s">
        <v>285</v>
      </c>
      <c r="K54" s="287"/>
      <c r="L54" s="160"/>
      <c r="M54" s="362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177">
        <f>SUM(N54:Y54)</f>
        <v>0</v>
      </c>
    </row>
    <row r="55" spans="3:27" ht="15.6" hidden="1">
      <c r="C55" s="314"/>
      <c r="D55" s="174" t="s">
        <v>22</v>
      </c>
      <c r="E55" s="181">
        <f>SUM(N55:Y55)</f>
        <v>950</v>
      </c>
      <c r="F55" s="175" t="s">
        <v>198</v>
      </c>
      <c r="G55" s="183" t="s">
        <v>373</v>
      </c>
      <c r="H55" s="181"/>
      <c r="I55" s="182"/>
      <c r="J55" s="182"/>
      <c r="K55" s="182"/>
      <c r="L55" s="182"/>
      <c r="M55" s="358"/>
      <c r="N55" s="181">
        <f>SUMIFS('FCST data'!Q:Q,'FCST data'!$D:$D,$F55,'FCST data'!$K:$K,$G55)</f>
        <v>150</v>
      </c>
      <c r="O55" s="181">
        <f>SUMIFS('FCST data'!R:R,'FCST data'!$D:$D,$F55,'FCST data'!$K:$K,$G55)</f>
        <v>800</v>
      </c>
      <c r="P55" s="181">
        <f>SUMIFS('FCST data'!S:S,'FCST data'!$D:$D,$F55,'FCST data'!$K:$K,$G55)</f>
        <v>0</v>
      </c>
      <c r="Q55" s="181">
        <f>SUMIFS('FCST data'!T:T,'FCST data'!$D:$D,$F55,'FCST data'!$K:$K,$G55)</f>
        <v>0</v>
      </c>
      <c r="R55" s="181">
        <f>SUMIFS('FCST data'!U:U,'FCST data'!$D:$D,$F55,'FCST data'!$K:$K,$G55)</f>
        <v>0</v>
      </c>
      <c r="S55" s="181">
        <f>SUMIFS('FCST data'!V:V,'FCST data'!$D:$D,$F55,'FCST data'!$K:$K,$G55)</f>
        <v>0</v>
      </c>
      <c r="T55" s="181">
        <f>SUMIFS('FCST data'!W:W,'FCST data'!$D:$D,$F55,'FCST data'!$K:$K,$G55)</f>
        <v>0</v>
      </c>
      <c r="U55" s="181">
        <f>SUMIFS('FCST data'!X:X,'FCST data'!$D:$D,$F55,'FCST data'!$K:$K,$G55)</f>
        <v>0</v>
      </c>
      <c r="V55" s="181">
        <f>SUMIFS('FCST data'!Y:Y,'FCST data'!$D:$D,$F55,'FCST data'!$K:$K,$G55)</f>
        <v>0</v>
      </c>
      <c r="W55" s="181">
        <f>SUMIFS('FCST data'!Z:Z,'FCST data'!$D:$D,$F55,'FCST data'!$K:$K,$G55)</f>
        <v>0</v>
      </c>
      <c r="X55" s="181">
        <f>SUMIFS('FCST data'!AA:AA,'FCST data'!$D:$D,$F55,'FCST data'!$K:$K,$G55)</f>
        <v>0</v>
      </c>
      <c r="Y55" s="181">
        <f>SUMIFS('FCST data'!AB:AB,'FCST data'!$D:$D,$F55,'FCST data'!$K:$K,$G55)</f>
        <v>0</v>
      </c>
      <c r="Z55" s="148"/>
      <c r="AA55" s="17">
        <f>E55-Z56-Z57</f>
        <v>0</v>
      </c>
    </row>
    <row r="56" spans="3:27" ht="14.4" hidden="1">
      <c r="C56" s="283"/>
      <c r="D56" s="284"/>
      <c r="E56" s="285"/>
      <c r="F56" s="286" t="s">
        <v>198</v>
      </c>
      <c r="G56" s="286" t="s">
        <v>373</v>
      </c>
      <c r="H56" s="284" t="s">
        <v>2</v>
      </c>
      <c r="I56" s="287" t="s">
        <v>31</v>
      </c>
      <c r="J56" s="287" t="s">
        <v>285</v>
      </c>
      <c r="K56" s="287"/>
      <c r="L56" s="160"/>
      <c r="M56" s="362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177">
        <f>SUM(N56:Y56)</f>
        <v>0</v>
      </c>
    </row>
    <row r="57" spans="3:27" ht="14.4" hidden="1">
      <c r="C57" s="283"/>
      <c r="D57" s="284"/>
      <c r="E57" s="285"/>
      <c r="F57" s="286" t="s">
        <v>198</v>
      </c>
      <c r="G57" s="286" t="s">
        <v>373</v>
      </c>
      <c r="H57" s="301" t="s">
        <v>20</v>
      </c>
      <c r="I57" s="287" t="s">
        <v>291</v>
      </c>
      <c r="J57" s="287" t="s">
        <v>285</v>
      </c>
      <c r="K57" s="287"/>
      <c r="L57" s="160"/>
      <c r="M57" s="362" t="s">
        <v>286</v>
      </c>
      <c r="N57" s="291">
        <f>N55</f>
        <v>150</v>
      </c>
      <c r="O57" s="291">
        <f t="shared" ref="O57:R57" si="49">O55</f>
        <v>800</v>
      </c>
      <c r="P57" s="291">
        <f t="shared" si="49"/>
        <v>0</v>
      </c>
      <c r="Q57" s="291">
        <f t="shared" si="49"/>
        <v>0</v>
      </c>
      <c r="R57" s="291">
        <f t="shared" si="49"/>
        <v>0</v>
      </c>
      <c r="S57" s="291">
        <f t="shared" ref="S57:Y57" si="50">S55</f>
        <v>0</v>
      </c>
      <c r="T57" s="291">
        <f t="shared" si="50"/>
        <v>0</v>
      </c>
      <c r="U57" s="291">
        <f t="shared" si="50"/>
        <v>0</v>
      </c>
      <c r="V57" s="291">
        <f t="shared" si="50"/>
        <v>0</v>
      </c>
      <c r="W57" s="291">
        <f t="shared" si="50"/>
        <v>0</v>
      </c>
      <c r="X57" s="291">
        <f t="shared" si="50"/>
        <v>0</v>
      </c>
      <c r="Y57" s="291">
        <f t="shared" si="50"/>
        <v>0</v>
      </c>
      <c r="Z57" s="177">
        <f>SUM(N57:Y57)</f>
        <v>950</v>
      </c>
    </row>
    <row r="58" spans="3:27" ht="14.4" hidden="1">
      <c r="C58" s="283"/>
      <c r="D58" s="284"/>
      <c r="E58" s="285"/>
      <c r="F58" s="286" t="s">
        <v>198</v>
      </c>
      <c r="G58" s="286" t="s">
        <v>373</v>
      </c>
      <c r="H58" s="301" t="s">
        <v>20</v>
      </c>
      <c r="I58" s="287" t="s">
        <v>291</v>
      </c>
      <c r="J58" s="302" t="s">
        <v>287</v>
      </c>
      <c r="K58" s="302"/>
      <c r="L58" s="267"/>
      <c r="M58" s="365" t="s">
        <v>288</v>
      </c>
      <c r="N58" s="291">
        <f>N55</f>
        <v>150</v>
      </c>
      <c r="O58" s="291">
        <f t="shared" ref="O58:R58" si="51">O55</f>
        <v>800</v>
      </c>
      <c r="P58" s="291">
        <f t="shared" si="51"/>
        <v>0</v>
      </c>
      <c r="Q58" s="291">
        <f t="shared" si="51"/>
        <v>0</v>
      </c>
      <c r="R58" s="291">
        <f t="shared" si="51"/>
        <v>0</v>
      </c>
      <c r="S58" s="291">
        <f t="shared" ref="S58:Y58" si="52">S55</f>
        <v>0</v>
      </c>
      <c r="T58" s="291">
        <f t="shared" si="52"/>
        <v>0</v>
      </c>
      <c r="U58" s="291">
        <f t="shared" si="52"/>
        <v>0</v>
      </c>
      <c r="V58" s="291">
        <f t="shared" si="52"/>
        <v>0</v>
      </c>
      <c r="W58" s="291">
        <f t="shared" si="52"/>
        <v>0</v>
      </c>
      <c r="X58" s="291">
        <f t="shared" si="52"/>
        <v>0</v>
      </c>
      <c r="Y58" s="291">
        <f t="shared" si="52"/>
        <v>0</v>
      </c>
      <c r="Z58" s="177"/>
    </row>
    <row r="59" spans="3:27" ht="14.4">
      <c r="C59" s="283"/>
      <c r="D59" s="284"/>
      <c r="E59" s="285"/>
      <c r="F59" s="286" t="s">
        <v>198</v>
      </c>
      <c r="G59" s="286" t="s">
        <v>373</v>
      </c>
      <c r="H59" s="301" t="s">
        <v>20</v>
      </c>
      <c r="I59" s="287" t="s">
        <v>291</v>
      </c>
      <c r="J59" s="302" t="s">
        <v>289</v>
      </c>
      <c r="K59" s="302"/>
      <c r="L59" s="267">
        <v>2</v>
      </c>
      <c r="M59" s="367" t="s">
        <v>290</v>
      </c>
      <c r="N59" s="291">
        <f t="shared" ref="N59" si="53">N55*$L$59</f>
        <v>300</v>
      </c>
      <c r="O59" s="291">
        <f t="shared" ref="O59:R59" si="54">O55*$L$59</f>
        <v>1600</v>
      </c>
      <c r="P59" s="291">
        <f t="shared" si="54"/>
        <v>0</v>
      </c>
      <c r="Q59" s="291">
        <f t="shared" si="54"/>
        <v>0</v>
      </c>
      <c r="R59" s="291">
        <f t="shared" si="54"/>
        <v>0</v>
      </c>
      <c r="S59" s="291">
        <f t="shared" ref="S59:Y59" si="55">S55*$L$59</f>
        <v>0</v>
      </c>
      <c r="T59" s="291">
        <f t="shared" si="55"/>
        <v>0</v>
      </c>
      <c r="U59" s="291">
        <f t="shared" si="55"/>
        <v>0</v>
      </c>
      <c r="V59" s="291">
        <f t="shared" si="55"/>
        <v>0</v>
      </c>
      <c r="W59" s="291">
        <f t="shared" si="55"/>
        <v>0</v>
      </c>
      <c r="X59" s="291">
        <f t="shared" si="55"/>
        <v>0</v>
      </c>
      <c r="Y59" s="291">
        <f t="shared" si="55"/>
        <v>0</v>
      </c>
      <c r="Z59" s="177"/>
    </row>
    <row r="60" spans="3:27" ht="15.6" hidden="1">
      <c r="C60" s="314"/>
      <c r="D60" s="174" t="s">
        <v>22</v>
      </c>
      <c r="E60" s="181">
        <f>SUM(N60:Y60)</f>
        <v>750</v>
      </c>
      <c r="F60" s="175" t="s">
        <v>198</v>
      </c>
      <c r="G60" s="183" t="s">
        <v>382</v>
      </c>
      <c r="H60" s="181"/>
      <c r="I60" s="182"/>
      <c r="J60" s="182"/>
      <c r="K60" s="182"/>
      <c r="L60" s="182"/>
      <c r="M60" s="358"/>
      <c r="N60" s="181">
        <f>SUMIFS('FCST data'!Q:Q,'FCST data'!$D:$D,$F60,'FCST data'!$K:$K,$G60)</f>
        <v>150</v>
      </c>
      <c r="O60" s="181">
        <f>SUMIFS('FCST data'!R:R,'FCST data'!$D:$D,$F60,'FCST data'!$K:$K,$G60)</f>
        <v>600</v>
      </c>
      <c r="P60" s="181">
        <f>SUMIFS('FCST data'!S:S,'FCST data'!$D:$D,$F60,'FCST data'!$K:$K,$G60)</f>
        <v>0</v>
      </c>
      <c r="Q60" s="181">
        <f>SUMIFS('FCST data'!T:T,'FCST data'!$D:$D,$F60,'FCST data'!$K:$K,$G60)</f>
        <v>0</v>
      </c>
      <c r="R60" s="181">
        <f>SUMIFS('FCST data'!U:U,'FCST data'!$D:$D,$F60,'FCST data'!$K:$K,$G60)</f>
        <v>0</v>
      </c>
      <c r="S60" s="181">
        <f>SUMIFS('FCST data'!V:V,'FCST data'!$D:$D,$F60,'FCST data'!$K:$K,$G60)</f>
        <v>0</v>
      </c>
      <c r="T60" s="181">
        <f>SUMIFS('FCST data'!W:W,'FCST data'!$D:$D,$F60,'FCST data'!$K:$K,$G60)</f>
        <v>0</v>
      </c>
      <c r="U60" s="181">
        <f>SUMIFS('FCST data'!X:X,'FCST data'!$D:$D,$F60,'FCST data'!$K:$K,$G60)</f>
        <v>0</v>
      </c>
      <c r="V60" s="181">
        <f>SUMIFS('FCST data'!Y:Y,'FCST data'!$D:$D,$F60,'FCST data'!$K:$K,$G60)</f>
        <v>0</v>
      </c>
      <c r="W60" s="181">
        <f>SUMIFS('FCST data'!Z:Z,'FCST data'!$D:$D,$F60,'FCST data'!$K:$K,$G60)</f>
        <v>0</v>
      </c>
      <c r="X60" s="181">
        <f>SUMIFS('FCST data'!AA:AA,'FCST data'!$D:$D,$F60,'FCST data'!$K:$K,$G60)</f>
        <v>0</v>
      </c>
      <c r="Y60" s="181">
        <f>SUMIFS('FCST data'!AB:AB,'FCST data'!$D:$D,$F60,'FCST data'!$K:$K,$G60)</f>
        <v>0</v>
      </c>
      <c r="Z60" s="148"/>
      <c r="AA60" s="17">
        <f>E60-Z61-Z62</f>
        <v>0</v>
      </c>
    </row>
    <row r="61" spans="3:27" ht="14.4" hidden="1">
      <c r="C61" s="283"/>
      <c r="D61" s="284"/>
      <c r="E61" s="285"/>
      <c r="F61" s="286" t="s">
        <v>198</v>
      </c>
      <c r="G61" s="286" t="s">
        <v>382</v>
      </c>
      <c r="H61" s="284" t="s">
        <v>2</v>
      </c>
      <c r="I61" s="287" t="s">
        <v>31</v>
      </c>
      <c r="J61" s="287" t="s">
        <v>285</v>
      </c>
      <c r="K61" s="287"/>
      <c r="L61" s="160"/>
      <c r="M61" s="362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177">
        <f>SUM(N61:Y61)</f>
        <v>0</v>
      </c>
    </row>
    <row r="62" spans="3:27" ht="14.4" hidden="1">
      <c r="C62" s="283"/>
      <c r="D62" s="284"/>
      <c r="E62" s="285"/>
      <c r="F62" s="286" t="s">
        <v>198</v>
      </c>
      <c r="G62" s="286" t="s">
        <v>382</v>
      </c>
      <c r="H62" s="301" t="s">
        <v>20</v>
      </c>
      <c r="I62" s="287" t="s">
        <v>291</v>
      </c>
      <c r="J62" s="287" t="s">
        <v>285</v>
      </c>
      <c r="K62" s="287"/>
      <c r="L62" s="160"/>
      <c r="M62" s="362" t="s">
        <v>286</v>
      </c>
      <c r="N62" s="291">
        <f>N60</f>
        <v>150</v>
      </c>
      <c r="O62" s="291">
        <f t="shared" ref="O62:R62" si="56">O60</f>
        <v>600</v>
      </c>
      <c r="P62" s="291">
        <f t="shared" si="56"/>
        <v>0</v>
      </c>
      <c r="Q62" s="291">
        <f t="shared" si="56"/>
        <v>0</v>
      </c>
      <c r="R62" s="291">
        <f t="shared" si="56"/>
        <v>0</v>
      </c>
      <c r="S62" s="291">
        <f t="shared" ref="S62:Y62" si="57">S60</f>
        <v>0</v>
      </c>
      <c r="T62" s="291">
        <f t="shared" si="57"/>
        <v>0</v>
      </c>
      <c r="U62" s="291">
        <f t="shared" si="57"/>
        <v>0</v>
      </c>
      <c r="V62" s="291">
        <f t="shared" si="57"/>
        <v>0</v>
      </c>
      <c r="W62" s="291">
        <f t="shared" si="57"/>
        <v>0</v>
      </c>
      <c r="X62" s="291">
        <f t="shared" si="57"/>
        <v>0</v>
      </c>
      <c r="Y62" s="291">
        <f t="shared" si="57"/>
        <v>0</v>
      </c>
      <c r="Z62" s="177">
        <f>SUM(N62:Y62)</f>
        <v>750</v>
      </c>
    </row>
    <row r="63" spans="3:27" ht="14.4" hidden="1">
      <c r="C63" s="283"/>
      <c r="D63" s="284"/>
      <c r="E63" s="285"/>
      <c r="F63" s="286" t="s">
        <v>198</v>
      </c>
      <c r="G63" s="286" t="s">
        <v>382</v>
      </c>
      <c r="H63" s="301" t="s">
        <v>20</v>
      </c>
      <c r="I63" s="287" t="s">
        <v>291</v>
      </c>
      <c r="J63" s="302" t="s">
        <v>287</v>
      </c>
      <c r="K63" s="302"/>
      <c r="L63" s="267"/>
      <c r="M63" s="365" t="s">
        <v>288</v>
      </c>
      <c r="N63" s="291">
        <f>N60</f>
        <v>150</v>
      </c>
      <c r="O63" s="291">
        <f t="shared" ref="O63:R63" si="58">O60</f>
        <v>600</v>
      </c>
      <c r="P63" s="291">
        <f t="shared" si="58"/>
        <v>0</v>
      </c>
      <c r="Q63" s="291">
        <f t="shared" si="58"/>
        <v>0</v>
      </c>
      <c r="R63" s="291">
        <f t="shared" si="58"/>
        <v>0</v>
      </c>
      <c r="S63" s="291">
        <f t="shared" ref="S63:Y63" si="59">S60</f>
        <v>0</v>
      </c>
      <c r="T63" s="291">
        <f t="shared" si="59"/>
        <v>0</v>
      </c>
      <c r="U63" s="291">
        <f t="shared" si="59"/>
        <v>0</v>
      </c>
      <c r="V63" s="291">
        <f t="shared" si="59"/>
        <v>0</v>
      </c>
      <c r="W63" s="291">
        <f t="shared" si="59"/>
        <v>0</v>
      </c>
      <c r="X63" s="291">
        <f t="shared" si="59"/>
        <v>0</v>
      </c>
      <c r="Y63" s="291">
        <f t="shared" si="59"/>
        <v>0</v>
      </c>
      <c r="Z63" s="177"/>
    </row>
    <row r="64" spans="3:27" ht="14.4">
      <c r="C64" s="283"/>
      <c r="D64" s="284"/>
      <c r="E64" s="285"/>
      <c r="F64" s="286" t="s">
        <v>198</v>
      </c>
      <c r="G64" s="286" t="s">
        <v>382</v>
      </c>
      <c r="H64" s="301" t="s">
        <v>20</v>
      </c>
      <c r="I64" s="287" t="s">
        <v>291</v>
      </c>
      <c r="J64" s="302" t="s">
        <v>289</v>
      </c>
      <c r="K64" s="302"/>
      <c r="L64" s="267">
        <v>2</v>
      </c>
      <c r="M64" s="367" t="s">
        <v>290</v>
      </c>
      <c r="N64" s="303">
        <f t="shared" ref="N64" si="60">N60*$L$64</f>
        <v>300</v>
      </c>
      <c r="O64" s="303">
        <f t="shared" ref="O64:R64" si="61">O60*$L$64</f>
        <v>1200</v>
      </c>
      <c r="P64" s="303">
        <f t="shared" si="61"/>
        <v>0</v>
      </c>
      <c r="Q64" s="303">
        <f t="shared" si="61"/>
        <v>0</v>
      </c>
      <c r="R64" s="303">
        <f t="shared" si="61"/>
        <v>0</v>
      </c>
      <c r="S64" s="303">
        <f t="shared" ref="S64:Y64" si="62">S60*$L$64</f>
        <v>0</v>
      </c>
      <c r="T64" s="303">
        <f t="shared" si="62"/>
        <v>0</v>
      </c>
      <c r="U64" s="303">
        <f t="shared" si="62"/>
        <v>0</v>
      </c>
      <c r="V64" s="303">
        <f t="shared" si="62"/>
        <v>0</v>
      </c>
      <c r="W64" s="303">
        <f t="shared" si="62"/>
        <v>0</v>
      </c>
      <c r="X64" s="303">
        <f t="shared" si="62"/>
        <v>0</v>
      </c>
      <c r="Y64" s="303">
        <f t="shared" si="62"/>
        <v>0</v>
      </c>
      <c r="Z64" s="177"/>
    </row>
    <row r="65" spans="3:27" ht="15.6" hidden="1">
      <c r="C65" s="314"/>
      <c r="D65" s="174" t="s">
        <v>22</v>
      </c>
      <c r="E65" s="181">
        <f>SUM(N65:Y65)</f>
        <v>0</v>
      </c>
      <c r="F65" s="175" t="s">
        <v>623</v>
      </c>
      <c r="G65" s="183" t="s">
        <v>382</v>
      </c>
      <c r="H65" s="181"/>
      <c r="I65" s="182"/>
      <c r="J65" s="182"/>
      <c r="K65" s="182"/>
      <c r="L65" s="182"/>
      <c r="M65" s="358"/>
      <c r="N65" s="181">
        <f>SUMIFS('FCST data'!Q:Q,'FCST data'!$D:$D,$F65,'FCST data'!$K:$K,$G65)</f>
        <v>0</v>
      </c>
      <c r="O65" s="181">
        <f>SUMIFS('FCST data'!R:R,'FCST data'!$D:$D,$F65,'FCST data'!$K:$K,$G65)</f>
        <v>0</v>
      </c>
      <c r="P65" s="181">
        <f>SUMIFS('FCST data'!S:S,'FCST data'!$D:$D,$F65,'FCST data'!$K:$K,$G65)</f>
        <v>0</v>
      </c>
      <c r="Q65" s="181">
        <f>SUMIFS('FCST data'!T:T,'FCST data'!$D:$D,$F65,'FCST data'!$K:$K,$G65)</f>
        <v>0</v>
      </c>
      <c r="R65" s="181">
        <f>SUMIFS('FCST data'!U:U,'FCST data'!$D:$D,$F65,'FCST data'!$K:$K,$G65)</f>
        <v>0</v>
      </c>
      <c r="S65" s="181">
        <f>SUMIFS('FCST data'!V:V,'FCST data'!$D:$D,$F65,'FCST data'!$K:$K,$G65)</f>
        <v>0</v>
      </c>
      <c r="T65" s="181">
        <f>SUMIFS('FCST data'!W:W,'FCST data'!$D:$D,$F65,'FCST data'!$K:$K,$G65)</f>
        <v>0</v>
      </c>
      <c r="U65" s="181">
        <f>SUMIFS('FCST data'!X:X,'FCST data'!$D:$D,$F65,'FCST data'!$K:$K,$G65)</f>
        <v>0</v>
      </c>
      <c r="V65" s="181">
        <f>SUMIFS('FCST data'!Y:Y,'FCST data'!$D:$D,$F65,'FCST data'!$K:$K,$G65)</f>
        <v>0</v>
      </c>
      <c r="W65" s="181">
        <f>SUMIFS('FCST data'!Z:Z,'FCST data'!$D:$D,$F65,'FCST data'!$K:$K,$G65)</f>
        <v>0</v>
      </c>
      <c r="X65" s="181">
        <f>SUMIFS('FCST data'!AA:AA,'FCST data'!$D:$D,$F65,'FCST data'!$K:$K,$G65)</f>
        <v>0</v>
      </c>
      <c r="Y65" s="181">
        <f>SUMIFS('FCST data'!AB:AB,'FCST data'!$D:$D,$F65,'FCST data'!$K:$K,$G65)</f>
        <v>0</v>
      </c>
      <c r="Z65" s="148"/>
      <c r="AA65" s="17">
        <f>E65-Z66-Z67</f>
        <v>0</v>
      </c>
    </row>
    <row r="66" spans="3:27" ht="14.4" hidden="1">
      <c r="C66" s="283"/>
      <c r="D66" s="284"/>
      <c r="E66" s="285"/>
      <c r="F66" s="286" t="s">
        <v>623</v>
      </c>
      <c r="G66" s="286" t="s">
        <v>382</v>
      </c>
      <c r="H66" s="284" t="s">
        <v>2</v>
      </c>
      <c r="I66" s="287" t="s">
        <v>31</v>
      </c>
      <c r="J66" s="287" t="s">
        <v>285</v>
      </c>
      <c r="K66" s="287"/>
      <c r="L66" s="160"/>
      <c r="M66" s="362"/>
      <c r="N66" s="291"/>
      <c r="O66" s="291"/>
      <c r="P66" s="291"/>
      <c r="Q66" s="291"/>
      <c r="R66" s="291"/>
      <c r="S66" s="291"/>
      <c r="T66" s="291"/>
      <c r="U66" s="291"/>
      <c r="V66" s="291"/>
      <c r="W66" s="291"/>
      <c r="X66" s="291"/>
      <c r="Y66" s="291"/>
      <c r="Z66" s="177">
        <f>SUM(N66:Y66)</f>
        <v>0</v>
      </c>
    </row>
    <row r="67" spans="3:27" ht="14.4" hidden="1">
      <c r="C67" s="283"/>
      <c r="D67" s="284"/>
      <c r="E67" s="285"/>
      <c r="F67" s="286" t="s">
        <v>623</v>
      </c>
      <c r="G67" s="286" t="s">
        <v>382</v>
      </c>
      <c r="H67" s="301" t="s">
        <v>20</v>
      </c>
      <c r="I67" s="287" t="s">
        <v>291</v>
      </c>
      <c r="J67" s="287" t="s">
        <v>285</v>
      </c>
      <c r="K67" s="287"/>
      <c r="L67" s="160"/>
      <c r="M67" s="362" t="s">
        <v>286</v>
      </c>
      <c r="N67" s="291">
        <f>N65</f>
        <v>0</v>
      </c>
      <c r="O67" s="291">
        <f t="shared" ref="O67:R67" si="63">O65</f>
        <v>0</v>
      </c>
      <c r="P67" s="291">
        <f t="shared" si="63"/>
        <v>0</v>
      </c>
      <c r="Q67" s="291">
        <f t="shared" si="63"/>
        <v>0</v>
      </c>
      <c r="R67" s="291">
        <f t="shared" si="63"/>
        <v>0</v>
      </c>
      <c r="S67" s="291">
        <f t="shared" ref="S67:Y67" si="64">S65</f>
        <v>0</v>
      </c>
      <c r="T67" s="291">
        <f t="shared" si="64"/>
        <v>0</v>
      </c>
      <c r="U67" s="291">
        <f t="shared" si="64"/>
        <v>0</v>
      </c>
      <c r="V67" s="291">
        <f t="shared" si="64"/>
        <v>0</v>
      </c>
      <c r="W67" s="291">
        <f t="shared" si="64"/>
        <v>0</v>
      </c>
      <c r="X67" s="291">
        <f t="shared" si="64"/>
        <v>0</v>
      </c>
      <c r="Y67" s="291">
        <f t="shared" si="64"/>
        <v>0</v>
      </c>
      <c r="Z67" s="177">
        <f>SUM(N67:Y67)</f>
        <v>0</v>
      </c>
    </row>
    <row r="68" spans="3:27" ht="14.4" hidden="1">
      <c r="C68" s="283"/>
      <c r="D68" s="284"/>
      <c r="E68" s="285"/>
      <c r="F68" s="286" t="s">
        <v>623</v>
      </c>
      <c r="G68" s="286" t="s">
        <v>382</v>
      </c>
      <c r="H68" s="301" t="s">
        <v>20</v>
      </c>
      <c r="I68" s="287" t="s">
        <v>291</v>
      </c>
      <c r="J68" s="302" t="s">
        <v>287</v>
      </c>
      <c r="K68" s="302"/>
      <c r="L68" s="267"/>
      <c r="M68" s="365" t="s">
        <v>288</v>
      </c>
      <c r="N68" s="291">
        <f>N65</f>
        <v>0</v>
      </c>
      <c r="O68" s="291">
        <f t="shared" ref="O68:R68" si="65">O65</f>
        <v>0</v>
      </c>
      <c r="P68" s="291">
        <f t="shared" si="65"/>
        <v>0</v>
      </c>
      <c r="Q68" s="291">
        <f t="shared" si="65"/>
        <v>0</v>
      </c>
      <c r="R68" s="291">
        <f t="shared" si="65"/>
        <v>0</v>
      </c>
      <c r="S68" s="291">
        <f t="shared" ref="S68:Y68" si="66">S65</f>
        <v>0</v>
      </c>
      <c r="T68" s="291">
        <f t="shared" si="66"/>
        <v>0</v>
      </c>
      <c r="U68" s="291">
        <f t="shared" si="66"/>
        <v>0</v>
      </c>
      <c r="V68" s="291">
        <f t="shared" si="66"/>
        <v>0</v>
      </c>
      <c r="W68" s="291">
        <f t="shared" si="66"/>
        <v>0</v>
      </c>
      <c r="X68" s="291">
        <f t="shared" si="66"/>
        <v>0</v>
      </c>
      <c r="Y68" s="291">
        <f t="shared" si="66"/>
        <v>0</v>
      </c>
      <c r="Z68" s="177"/>
    </row>
    <row r="69" spans="3:27" ht="14.4">
      <c r="C69" s="283"/>
      <c r="D69" s="284"/>
      <c r="E69" s="285"/>
      <c r="F69" s="286" t="s">
        <v>623</v>
      </c>
      <c r="G69" s="286" t="s">
        <v>382</v>
      </c>
      <c r="H69" s="301" t="s">
        <v>20</v>
      </c>
      <c r="I69" s="287" t="s">
        <v>291</v>
      </c>
      <c r="J69" s="302" t="s">
        <v>289</v>
      </c>
      <c r="K69" s="302"/>
      <c r="L69" s="267">
        <v>2</v>
      </c>
      <c r="M69" s="367" t="s">
        <v>290</v>
      </c>
      <c r="N69" s="303">
        <f t="shared" ref="N69" si="67">N65*$L$64</f>
        <v>0</v>
      </c>
      <c r="O69" s="303">
        <f t="shared" ref="O69:R69" si="68">O65*$L$64</f>
        <v>0</v>
      </c>
      <c r="P69" s="303">
        <f t="shared" si="68"/>
        <v>0</v>
      </c>
      <c r="Q69" s="303">
        <f t="shared" si="68"/>
        <v>0</v>
      </c>
      <c r="R69" s="303">
        <f t="shared" si="68"/>
        <v>0</v>
      </c>
      <c r="S69" s="303">
        <f t="shared" ref="S69:Y69" si="69">S65*$L$64</f>
        <v>0</v>
      </c>
      <c r="T69" s="303">
        <f t="shared" si="69"/>
        <v>0</v>
      </c>
      <c r="U69" s="303">
        <f t="shared" si="69"/>
        <v>0</v>
      </c>
      <c r="V69" s="303">
        <f t="shared" si="69"/>
        <v>0</v>
      </c>
      <c r="W69" s="303">
        <f t="shared" si="69"/>
        <v>0</v>
      </c>
      <c r="X69" s="303">
        <f t="shared" si="69"/>
        <v>0</v>
      </c>
      <c r="Y69" s="303">
        <f t="shared" si="69"/>
        <v>0</v>
      </c>
      <c r="Z69" s="177"/>
    </row>
    <row r="70" spans="3:27" ht="15.6" hidden="1">
      <c r="C70" s="314"/>
      <c r="D70" s="174" t="s">
        <v>22</v>
      </c>
      <c r="E70" s="181">
        <f>SUM(N70:Y70)</f>
        <v>0</v>
      </c>
      <c r="F70" s="175" t="s">
        <v>207</v>
      </c>
      <c r="G70" s="183" t="s">
        <v>382</v>
      </c>
      <c r="H70" s="181"/>
      <c r="I70" s="182"/>
      <c r="J70" s="182"/>
      <c r="K70" s="182"/>
      <c r="L70" s="182"/>
      <c r="M70" s="358"/>
      <c r="N70" s="181">
        <f>SUMIFS('FCST data'!Q:Q,'FCST data'!$D:$D,$F70,'FCST data'!$K:$K,$G70)</f>
        <v>0</v>
      </c>
      <c r="O70" s="181">
        <f>SUMIFS('FCST data'!R:R,'FCST data'!$D:$D,$F70,'FCST data'!$K:$K,$G70)</f>
        <v>0</v>
      </c>
      <c r="P70" s="181">
        <f>SUMIFS('FCST data'!S:S,'FCST data'!$D:$D,$F70,'FCST data'!$K:$K,$G70)</f>
        <v>0</v>
      </c>
      <c r="Q70" s="181">
        <f>SUMIFS('FCST data'!T:T,'FCST data'!$D:$D,$F70,'FCST data'!$K:$K,$G70)</f>
        <v>0</v>
      </c>
      <c r="R70" s="181">
        <f>SUMIFS('FCST data'!U:U,'FCST data'!$D:$D,$F70,'FCST data'!$K:$K,$G70)</f>
        <v>0</v>
      </c>
      <c r="S70" s="181">
        <f>SUMIFS('FCST data'!V:V,'FCST data'!$D:$D,$F70,'FCST data'!$K:$K,$G70)</f>
        <v>0</v>
      </c>
      <c r="T70" s="181">
        <f>SUMIFS('FCST data'!W:W,'FCST data'!$D:$D,$F70,'FCST data'!$K:$K,$G70)</f>
        <v>0</v>
      </c>
      <c r="U70" s="181">
        <f>SUMIFS('FCST data'!X:X,'FCST data'!$D:$D,$F70,'FCST data'!$K:$K,$G70)</f>
        <v>0</v>
      </c>
      <c r="V70" s="181">
        <f>SUMIFS('FCST data'!Y:Y,'FCST data'!$D:$D,$F70,'FCST data'!$K:$K,$G70)</f>
        <v>0</v>
      </c>
      <c r="W70" s="181">
        <f>SUMIFS('FCST data'!Z:Z,'FCST data'!$D:$D,$F70,'FCST data'!$K:$K,$G70)</f>
        <v>0</v>
      </c>
      <c r="X70" s="181">
        <f>SUMIFS('FCST data'!AA:AA,'FCST data'!$D:$D,$F70,'FCST data'!$K:$K,$G70)</f>
        <v>0</v>
      </c>
      <c r="Y70" s="181">
        <f>SUMIFS('FCST data'!AB:AB,'FCST data'!$D:$D,$F70,'FCST data'!$K:$K,$G70)</f>
        <v>0</v>
      </c>
      <c r="Z70" s="148"/>
      <c r="AA70" s="17">
        <f>E70-Z71-Z72</f>
        <v>0</v>
      </c>
    </row>
    <row r="71" spans="3:27" ht="14.4" hidden="1">
      <c r="C71" s="283"/>
      <c r="D71" s="284"/>
      <c r="E71" s="285"/>
      <c r="F71" s="286" t="s">
        <v>207</v>
      </c>
      <c r="G71" s="286" t="s">
        <v>382</v>
      </c>
      <c r="H71" s="284" t="s">
        <v>2</v>
      </c>
      <c r="I71" s="287" t="s">
        <v>31</v>
      </c>
      <c r="J71" s="287" t="s">
        <v>285</v>
      </c>
      <c r="K71" s="287"/>
      <c r="L71" s="160"/>
      <c r="M71" s="362"/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177">
        <f>SUM(N71:Y71)</f>
        <v>0</v>
      </c>
    </row>
    <row r="72" spans="3:27" ht="14.4" hidden="1">
      <c r="C72" s="283"/>
      <c r="D72" s="284"/>
      <c r="E72" s="285"/>
      <c r="F72" s="286" t="s">
        <v>207</v>
      </c>
      <c r="G72" s="286" t="s">
        <v>382</v>
      </c>
      <c r="H72" s="301" t="s">
        <v>20</v>
      </c>
      <c r="I72" s="287" t="s">
        <v>291</v>
      </c>
      <c r="J72" s="287" t="s">
        <v>285</v>
      </c>
      <c r="K72" s="287"/>
      <c r="L72" s="160"/>
      <c r="M72" s="362" t="s">
        <v>286</v>
      </c>
      <c r="N72" s="291">
        <f>N70</f>
        <v>0</v>
      </c>
      <c r="O72" s="291">
        <f t="shared" ref="O72:R72" si="70">O70</f>
        <v>0</v>
      </c>
      <c r="P72" s="291">
        <f t="shared" si="70"/>
        <v>0</v>
      </c>
      <c r="Q72" s="291">
        <f t="shared" si="70"/>
        <v>0</v>
      </c>
      <c r="R72" s="291">
        <f t="shared" si="70"/>
        <v>0</v>
      </c>
      <c r="S72" s="291">
        <f t="shared" ref="S72:Y72" si="71">S70</f>
        <v>0</v>
      </c>
      <c r="T72" s="291">
        <f t="shared" si="71"/>
        <v>0</v>
      </c>
      <c r="U72" s="291">
        <f t="shared" si="71"/>
        <v>0</v>
      </c>
      <c r="V72" s="291">
        <f t="shared" si="71"/>
        <v>0</v>
      </c>
      <c r="W72" s="291">
        <f t="shared" si="71"/>
        <v>0</v>
      </c>
      <c r="X72" s="291">
        <f t="shared" si="71"/>
        <v>0</v>
      </c>
      <c r="Y72" s="291">
        <f t="shared" si="71"/>
        <v>0</v>
      </c>
      <c r="Z72" s="177">
        <f>SUM(N72:Y72)</f>
        <v>0</v>
      </c>
    </row>
    <row r="73" spans="3:27" ht="14.4" hidden="1">
      <c r="C73" s="283"/>
      <c r="D73" s="284"/>
      <c r="E73" s="285"/>
      <c r="F73" s="286" t="s">
        <v>207</v>
      </c>
      <c r="G73" s="286" t="s">
        <v>382</v>
      </c>
      <c r="H73" s="301" t="s">
        <v>20</v>
      </c>
      <c r="I73" s="287" t="s">
        <v>291</v>
      </c>
      <c r="J73" s="302" t="s">
        <v>287</v>
      </c>
      <c r="K73" s="287"/>
      <c r="L73" s="160"/>
      <c r="M73" s="365" t="s">
        <v>288</v>
      </c>
      <c r="N73" s="291">
        <f>N70</f>
        <v>0</v>
      </c>
      <c r="O73" s="291">
        <f t="shared" ref="O73:R73" si="72">O70</f>
        <v>0</v>
      </c>
      <c r="P73" s="291">
        <f t="shared" si="72"/>
        <v>0</v>
      </c>
      <c r="Q73" s="291">
        <f t="shared" si="72"/>
        <v>0</v>
      </c>
      <c r="R73" s="291">
        <f t="shared" si="72"/>
        <v>0</v>
      </c>
      <c r="S73" s="291">
        <f t="shared" ref="S73:Y73" si="73">S70</f>
        <v>0</v>
      </c>
      <c r="T73" s="291">
        <f t="shared" si="73"/>
        <v>0</v>
      </c>
      <c r="U73" s="291">
        <f t="shared" si="73"/>
        <v>0</v>
      </c>
      <c r="V73" s="291">
        <f t="shared" si="73"/>
        <v>0</v>
      </c>
      <c r="W73" s="291">
        <f t="shared" si="73"/>
        <v>0</v>
      </c>
      <c r="X73" s="291">
        <f t="shared" si="73"/>
        <v>0</v>
      </c>
      <c r="Y73" s="291">
        <f t="shared" si="73"/>
        <v>0</v>
      </c>
      <c r="Z73" s="177"/>
    </row>
    <row r="74" spans="3:27" ht="14.4">
      <c r="C74" s="283"/>
      <c r="D74" s="284"/>
      <c r="E74" s="285"/>
      <c r="F74" s="286" t="s">
        <v>207</v>
      </c>
      <c r="G74" s="286" t="s">
        <v>382</v>
      </c>
      <c r="H74" s="301" t="s">
        <v>20</v>
      </c>
      <c r="I74" s="287" t="s">
        <v>291</v>
      </c>
      <c r="J74" s="302" t="s">
        <v>289</v>
      </c>
      <c r="K74" s="287"/>
      <c r="L74" s="160">
        <v>2</v>
      </c>
      <c r="M74" s="367" t="s">
        <v>290</v>
      </c>
      <c r="N74" s="291">
        <f t="shared" ref="N74" si="74">N70*$L$74</f>
        <v>0</v>
      </c>
      <c r="O74" s="291">
        <f t="shared" ref="O74:R74" si="75">O70*$L$74</f>
        <v>0</v>
      </c>
      <c r="P74" s="291">
        <f t="shared" si="75"/>
        <v>0</v>
      </c>
      <c r="Q74" s="291">
        <f t="shared" si="75"/>
        <v>0</v>
      </c>
      <c r="R74" s="291">
        <f t="shared" si="75"/>
        <v>0</v>
      </c>
      <c r="S74" s="291">
        <f t="shared" ref="S74:Y74" si="76">S70*$L$74</f>
        <v>0</v>
      </c>
      <c r="T74" s="291">
        <f t="shared" si="76"/>
        <v>0</v>
      </c>
      <c r="U74" s="291">
        <f t="shared" si="76"/>
        <v>0</v>
      </c>
      <c r="V74" s="291">
        <f t="shared" si="76"/>
        <v>0</v>
      </c>
      <c r="W74" s="291">
        <f t="shared" si="76"/>
        <v>0</v>
      </c>
      <c r="X74" s="291">
        <f t="shared" si="76"/>
        <v>0</v>
      </c>
      <c r="Y74" s="291">
        <f t="shared" si="76"/>
        <v>0</v>
      </c>
      <c r="Z74" s="177"/>
    </row>
    <row r="75" spans="3:27" ht="15.6" hidden="1">
      <c r="C75" s="314"/>
      <c r="D75" s="174" t="s">
        <v>22</v>
      </c>
      <c r="E75" s="181">
        <f>SUM(N75:Y75)</f>
        <v>0</v>
      </c>
      <c r="F75" s="175" t="s">
        <v>411</v>
      </c>
      <c r="G75" s="183" t="s">
        <v>527</v>
      </c>
      <c r="H75" s="288"/>
      <c r="I75" s="182"/>
      <c r="J75" s="182"/>
      <c r="K75" s="182"/>
      <c r="L75" s="182"/>
      <c r="M75" s="358"/>
      <c r="N75" s="181">
        <f>SUMIFS('FCST data'!Q:Q,'FCST data'!$D:$D,$F75,'FCST data'!$K:$K,$G75)</f>
        <v>0</v>
      </c>
      <c r="O75" s="181">
        <f>SUMIFS('FCST data'!R:R,'FCST data'!$D:$D,$F75,'FCST data'!$K:$K,$G75)</f>
        <v>0</v>
      </c>
      <c r="P75" s="181">
        <f>SUMIFS('FCST data'!S:S,'FCST data'!$D:$D,$F75,'FCST data'!$K:$K,$G75)</f>
        <v>0</v>
      </c>
      <c r="Q75" s="181">
        <f>SUMIFS('FCST data'!T:T,'FCST data'!$D:$D,$F75,'FCST data'!$K:$K,$G75)</f>
        <v>0</v>
      </c>
      <c r="R75" s="181">
        <f>SUMIFS('FCST data'!U:U,'FCST data'!$D:$D,$F75,'FCST data'!$K:$K,$G75)</f>
        <v>0</v>
      </c>
      <c r="S75" s="181">
        <f>SUMIFS('FCST data'!V:V,'FCST data'!$D:$D,$F75,'FCST data'!$K:$K,$G75)</f>
        <v>0</v>
      </c>
      <c r="T75" s="181">
        <f>SUMIFS('FCST data'!W:W,'FCST data'!$D:$D,$F75,'FCST data'!$K:$K,$G75)</f>
        <v>0</v>
      </c>
      <c r="U75" s="181">
        <f>SUMIFS('FCST data'!X:X,'FCST data'!$D:$D,$F75,'FCST data'!$K:$K,$G75)</f>
        <v>0</v>
      </c>
      <c r="V75" s="181">
        <f>SUMIFS('FCST data'!Y:Y,'FCST data'!$D:$D,$F75,'FCST data'!$K:$K,$G75)</f>
        <v>0</v>
      </c>
      <c r="W75" s="181">
        <f>SUMIFS('FCST data'!Z:Z,'FCST data'!$D:$D,$F75,'FCST data'!$K:$K,$G75)</f>
        <v>0</v>
      </c>
      <c r="X75" s="181">
        <f>SUMIFS('FCST data'!AA:AA,'FCST data'!$D:$D,$F75,'FCST data'!$K:$K,$G75)</f>
        <v>0</v>
      </c>
      <c r="Y75" s="181">
        <f>SUMIFS('FCST data'!AB:AB,'FCST data'!$D:$D,$F75,'FCST data'!$K:$K,$G75)</f>
        <v>0</v>
      </c>
      <c r="Z75" s="148"/>
      <c r="AA75" s="17">
        <f>E75-Z76-Z77</f>
        <v>0</v>
      </c>
    </row>
    <row r="76" spans="3:27" ht="14.4" hidden="1">
      <c r="C76" s="283"/>
      <c r="D76" s="284"/>
      <c r="E76" s="285"/>
      <c r="F76" s="286" t="s">
        <v>411</v>
      </c>
      <c r="G76" s="286" t="s">
        <v>527</v>
      </c>
      <c r="H76" s="284" t="s">
        <v>2</v>
      </c>
      <c r="I76" s="287" t="s">
        <v>31</v>
      </c>
      <c r="J76" s="287" t="s">
        <v>285</v>
      </c>
      <c r="K76" s="287"/>
      <c r="L76" s="160"/>
      <c r="M76" s="362"/>
      <c r="N76" s="291"/>
      <c r="O76" s="291"/>
      <c r="P76" s="291"/>
      <c r="Q76" s="291"/>
      <c r="R76" s="291"/>
      <c r="S76" s="291"/>
      <c r="T76" s="291"/>
      <c r="U76" s="291"/>
      <c r="V76" s="291"/>
      <c r="W76" s="291"/>
      <c r="X76" s="291"/>
      <c r="Y76" s="291"/>
      <c r="Z76" s="177">
        <f>SUM(N76:Y76)</f>
        <v>0</v>
      </c>
    </row>
    <row r="77" spans="3:27" ht="14.4" hidden="1">
      <c r="C77" s="283"/>
      <c r="D77" s="284"/>
      <c r="E77" s="285"/>
      <c r="F77" s="286" t="s">
        <v>411</v>
      </c>
      <c r="G77" s="286" t="s">
        <v>527</v>
      </c>
      <c r="H77" s="284" t="s">
        <v>20</v>
      </c>
      <c r="I77" s="287" t="s">
        <v>31</v>
      </c>
      <c r="J77" s="287" t="s">
        <v>285</v>
      </c>
      <c r="K77" s="287"/>
      <c r="L77" s="160"/>
      <c r="M77" s="362"/>
      <c r="N77" s="291"/>
      <c r="O77" s="291"/>
      <c r="P77" s="291"/>
      <c r="Q77" s="291"/>
      <c r="R77" s="291"/>
      <c r="S77" s="291"/>
      <c r="T77" s="291"/>
      <c r="U77" s="291"/>
      <c r="V77" s="291"/>
      <c r="W77" s="291"/>
      <c r="X77" s="291"/>
      <c r="Y77" s="291"/>
      <c r="Z77" s="177">
        <f>SUM(N77:Y77)</f>
        <v>0</v>
      </c>
    </row>
    <row r="78" spans="3:27" ht="15.6" hidden="1">
      <c r="C78" s="314"/>
      <c r="D78" s="174" t="s">
        <v>22</v>
      </c>
      <c r="E78" s="181">
        <f>SUM(N78:Y78)</f>
        <v>0</v>
      </c>
      <c r="F78" s="175" t="s">
        <v>411</v>
      </c>
      <c r="G78" s="183" t="s">
        <v>528</v>
      </c>
      <c r="H78" s="288"/>
      <c r="I78" s="182"/>
      <c r="J78" s="182"/>
      <c r="K78" s="182"/>
      <c r="L78" s="182"/>
      <c r="M78" s="358"/>
      <c r="N78" s="181">
        <f>SUMIFS('FCST data'!Q:Q,'FCST data'!$D:$D,$F78,'FCST data'!$K:$K,$G78)</f>
        <v>0</v>
      </c>
      <c r="O78" s="181">
        <f>SUMIFS('FCST data'!R:R,'FCST data'!$D:$D,$F78,'FCST data'!$K:$K,$G78)</f>
        <v>0</v>
      </c>
      <c r="P78" s="181">
        <f>SUMIFS('FCST data'!S:S,'FCST data'!$D:$D,$F78,'FCST data'!$K:$K,$G78)</f>
        <v>0</v>
      </c>
      <c r="Q78" s="181">
        <f>SUMIFS('FCST data'!T:T,'FCST data'!$D:$D,$F78,'FCST data'!$K:$K,$G78)</f>
        <v>0</v>
      </c>
      <c r="R78" s="181">
        <f>SUMIFS('FCST data'!U:U,'FCST data'!$D:$D,$F78,'FCST data'!$K:$K,$G78)</f>
        <v>0</v>
      </c>
      <c r="S78" s="181">
        <f>SUMIFS('FCST data'!V:V,'FCST data'!$D:$D,$F78,'FCST data'!$K:$K,$G78)</f>
        <v>0</v>
      </c>
      <c r="T78" s="181">
        <f>SUMIFS('FCST data'!W:W,'FCST data'!$D:$D,$F78,'FCST data'!$K:$K,$G78)</f>
        <v>0</v>
      </c>
      <c r="U78" s="181">
        <f>SUMIFS('FCST data'!X:X,'FCST data'!$D:$D,$F78,'FCST data'!$K:$K,$G78)</f>
        <v>0</v>
      </c>
      <c r="V78" s="181">
        <f>SUMIFS('FCST data'!Y:Y,'FCST data'!$D:$D,$F78,'FCST data'!$K:$K,$G78)</f>
        <v>0</v>
      </c>
      <c r="W78" s="181">
        <f>SUMIFS('FCST data'!Z:Z,'FCST data'!$D:$D,$F78,'FCST data'!$K:$K,$G78)</f>
        <v>0</v>
      </c>
      <c r="X78" s="181">
        <f>SUMIFS('FCST data'!AA:AA,'FCST data'!$D:$D,$F78,'FCST data'!$K:$K,$G78)</f>
        <v>0</v>
      </c>
      <c r="Y78" s="181">
        <f>SUMIFS('FCST data'!AB:AB,'FCST data'!$D:$D,$F78,'FCST data'!$K:$K,$G78)</f>
        <v>0</v>
      </c>
      <c r="Z78" s="148"/>
      <c r="AA78" s="17">
        <f>E78-Z79-Z80</f>
        <v>0</v>
      </c>
    </row>
    <row r="79" spans="3:27" ht="14.4" hidden="1">
      <c r="C79" s="283"/>
      <c r="D79" s="284"/>
      <c r="E79" s="285"/>
      <c r="F79" s="286" t="s">
        <v>411</v>
      </c>
      <c r="G79" s="286" t="s">
        <v>528</v>
      </c>
      <c r="H79" s="284" t="s">
        <v>2</v>
      </c>
      <c r="I79" s="287" t="s">
        <v>31</v>
      </c>
      <c r="J79" s="287" t="s">
        <v>285</v>
      </c>
      <c r="K79" s="287"/>
      <c r="L79" s="160"/>
      <c r="M79" s="362"/>
      <c r="N79" s="291"/>
      <c r="O79" s="291"/>
      <c r="P79" s="291"/>
      <c r="Q79" s="291"/>
      <c r="R79" s="291"/>
      <c r="S79" s="291"/>
      <c r="T79" s="291"/>
      <c r="U79" s="291"/>
      <c r="V79" s="291"/>
      <c r="W79" s="291"/>
      <c r="X79" s="291"/>
      <c r="Y79" s="291"/>
      <c r="Z79" s="177">
        <f>SUM(N79:Y79)</f>
        <v>0</v>
      </c>
    </row>
    <row r="80" spans="3:27" ht="14.4" hidden="1">
      <c r="C80" s="283"/>
      <c r="D80" s="284"/>
      <c r="E80" s="285"/>
      <c r="F80" s="286" t="s">
        <v>411</v>
      </c>
      <c r="G80" s="286" t="s">
        <v>528</v>
      </c>
      <c r="H80" s="284" t="s">
        <v>20</v>
      </c>
      <c r="I80" s="287" t="s">
        <v>31</v>
      </c>
      <c r="J80" s="287" t="s">
        <v>285</v>
      </c>
      <c r="K80" s="287"/>
      <c r="L80" s="160"/>
      <c r="M80" s="362"/>
      <c r="N80" s="291"/>
      <c r="O80" s="291"/>
      <c r="P80" s="291"/>
      <c r="Q80" s="291"/>
      <c r="R80" s="291"/>
      <c r="S80" s="291"/>
      <c r="T80" s="291"/>
      <c r="U80" s="291"/>
      <c r="V80" s="291"/>
      <c r="W80" s="291"/>
      <c r="X80" s="291"/>
      <c r="Y80" s="291"/>
      <c r="Z80" s="177">
        <f>SUM(N80:Y80)</f>
        <v>0</v>
      </c>
    </row>
    <row r="81" spans="3:27" ht="15.6" hidden="1">
      <c r="C81" s="314"/>
      <c r="D81" s="174" t="s">
        <v>22</v>
      </c>
      <c r="E81" s="181">
        <f>SUM(N81:Y81)</f>
        <v>0</v>
      </c>
      <c r="F81" s="175" t="s">
        <v>244</v>
      </c>
      <c r="G81" s="183" t="s">
        <v>527</v>
      </c>
      <c r="H81" s="288"/>
      <c r="I81" s="182"/>
      <c r="J81" s="182"/>
      <c r="K81" s="182"/>
      <c r="L81" s="182"/>
      <c r="M81" s="358"/>
      <c r="N81" s="181">
        <f>SUMIFS('FCST data'!Q:Q,'FCST data'!$D:$D,$F81,'FCST data'!$K:$K,$G81)</f>
        <v>0</v>
      </c>
      <c r="O81" s="181">
        <f>SUMIFS('FCST data'!R:R,'FCST data'!$D:$D,$F81,'FCST data'!$K:$K,$G81)</f>
        <v>0</v>
      </c>
      <c r="P81" s="181">
        <f>SUMIFS('FCST data'!S:S,'FCST data'!$D:$D,$F81,'FCST data'!$K:$K,$G81)</f>
        <v>0</v>
      </c>
      <c r="Q81" s="181">
        <f>SUMIFS('FCST data'!T:T,'FCST data'!$D:$D,$F81,'FCST data'!$K:$K,$G81)</f>
        <v>0</v>
      </c>
      <c r="R81" s="181">
        <f>SUMIFS('FCST data'!U:U,'FCST data'!$D:$D,$F81,'FCST data'!$K:$K,$G81)</f>
        <v>0</v>
      </c>
      <c r="S81" s="181">
        <f>SUMIFS('FCST data'!V:V,'FCST data'!$D:$D,$F81,'FCST data'!$K:$K,$G81)</f>
        <v>0</v>
      </c>
      <c r="T81" s="181">
        <f>SUMIFS('FCST data'!W:W,'FCST data'!$D:$D,$F81,'FCST data'!$K:$K,$G81)</f>
        <v>0</v>
      </c>
      <c r="U81" s="181">
        <f>SUMIFS('FCST data'!X:X,'FCST data'!$D:$D,$F81,'FCST data'!$K:$K,$G81)</f>
        <v>0</v>
      </c>
      <c r="V81" s="181">
        <f>SUMIFS('FCST data'!Y:Y,'FCST data'!$D:$D,$F81,'FCST data'!$K:$K,$G81)</f>
        <v>0</v>
      </c>
      <c r="W81" s="181">
        <f>SUMIFS('FCST data'!Z:Z,'FCST data'!$D:$D,$F81,'FCST data'!$K:$K,$G81)</f>
        <v>0</v>
      </c>
      <c r="X81" s="181">
        <f>SUMIFS('FCST data'!AA:AA,'FCST data'!$D:$D,$F81,'FCST data'!$K:$K,$G81)</f>
        <v>0</v>
      </c>
      <c r="Y81" s="181">
        <f>SUMIFS('FCST data'!AB:AB,'FCST data'!$D:$D,$F81,'FCST data'!$K:$K,$G81)</f>
        <v>0</v>
      </c>
      <c r="Z81" s="148"/>
      <c r="AA81" s="17">
        <f>E81-Z82-Z83</f>
        <v>0</v>
      </c>
    </row>
    <row r="82" spans="3:27" ht="14.4" hidden="1">
      <c r="C82" s="283"/>
      <c r="D82" s="284"/>
      <c r="E82" s="285"/>
      <c r="F82" s="286" t="s">
        <v>244</v>
      </c>
      <c r="G82" s="286" t="s">
        <v>527</v>
      </c>
      <c r="H82" s="284" t="s">
        <v>2</v>
      </c>
      <c r="I82" s="287" t="s">
        <v>31</v>
      </c>
      <c r="J82" s="287" t="s">
        <v>285</v>
      </c>
      <c r="K82" s="287"/>
      <c r="L82" s="160"/>
      <c r="M82" s="362"/>
      <c r="N82" s="291"/>
      <c r="O82" s="291"/>
      <c r="P82" s="291"/>
      <c r="Q82" s="291"/>
      <c r="R82" s="291"/>
      <c r="S82" s="291"/>
      <c r="T82" s="291"/>
      <c r="U82" s="291"/>
      <c r="V82" s="291"/>
      <c r="W82" s="291"/>
      <c r="X82" s="291"/>
      <c r="Y82" s="291"/>
      <c r="Z82" s="177">
        <f>SUM(N82:Y82)</f>
        <v>0</v>
      </c>
    </row>
    <row r="83" spans="3:27" ht="14.4" hidden="1">
      <c r="C83" s="283"/>
      <c r="D83" s="284"/>
      <c r="E83" s="285"/>
      <c r="F83" s="286" t="s">
        <v>244</v>
      </c>
      <c r="G83" s="286" t="s">
        <v>527</v>
      </c>
      <c r="H83" s="284" t="s">
        <v>20</v>
      </c>
      <c r="I83" s="287" t="s">
        <v>31</v>
      </c>
      <c r="J83" s="287" t="s">
        <v>285</v>
      </c>
      <c r="K83" s="287"/>
      <c r="L83" s="160"/>
      <c r="M83" s="362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  <c r="Z83" s="177">
        <f>SUM(N83:Y83)</f>
        <v>0</v>
      </c>
    </row>
    <row r="84" spans="3:27" ht="15.6" hidden="1">
      <c r="C84" s="314"/>
      <c r="D84" s="174" t="s">
        <v>22</v>
      </c>
      <c r="E84" s="181">
        <f>SUM(N84:Y84)</f>
        <v>0</v>
      </c>
      <c r="F84" s="175" t="s">
        <v>446</v>
      </c>
      <c r="G84" s="183" t="s">
        <v>441</v>
      </c>
      <c r="H84" s="288"/>
      <c r="I84" s="182"/>
      <c r="J84" s="182"/>
      <c r="K84" s="182"/>
      <c r="L84" s="182"/>
      <c r="M84" s="358"/>
      <c r="N84" s="181">
        <f>SUMIFS('FCST data'!Q:Q,'FCST data'!$D:$D,$F84,'FCST data'!$K:$K,$G84)</f>
        <v>0</v>
      </c>
      <c r="O84" s="181">
        <f>SUMIFS('FCST data'!R:R,'FCST data'!$D:$D,$F84,'FCST data'!$K:$K,$G84)</f>
        <v>0</v>
      </c>
      <c r="P84" s="181">
        <f>SUMIFS('FCST data'!S:S,'FCST data'!$D:$D,$F84,'FCST data'!$K:$K,$G84)</f>
        <v>0</v>
      </c>
      <c r="Q84" s="181">
        <f>SUMIFS('FCST data'!T:T,'FCST data'!$D:$D,$F84,'FCST data'!$K:$K,$G84)</f>
        <v>0</v>
      </c>
      <c r="R84" s="181">
        <f>SUMIFS('FCST data'!U:U,'FCST data'!$D:$D,$F84,'FCST data'!$K:$K,$G84)</f>
        <v>0</v>
      </c>
      <c r="S84" s="181">
        <f>SUMIFS('FCST data'!V:V,'FCST data'!$D:$D,$F84,'FCST data'!$K:$K,$G84)</f>
        <v>0</v>
      </c>
      <c r="T84" s="181">
        <f>SUMIFS('FCST data'!W:W,'FCST data'!$D:$D,$F84,'FCST data'!$K:$K,$G84)</f>
        <v>0</v>
      </c>
      <c r="U84" s="181">
        <f>SUMIFS('FCST data'!X:X,'FCST data'!$D:$D,$F84,'FCST data'!$K:$K,$G84)</f>
        <v>0</v>
      </c>
      <c r="V84" s="181">
        <f>SUMIFS('FCST data'!Y:Y,'FCST data'!$D:$D,$F84,'FCST data'!$K:$K,$G84)</f>
        <v>0</v>
      </c>
      <c r="W84" s="181">
        <f>SUMIFS('FCST data'!Z:Z,'FCST data'!$D:$D,$F84,'FCST data'!$K:$K,$G84)</f>
        <v>0</v>
      </c>
      <c r="X84" s="181">
        <f>SUMIFS('FCST data'!AA:AA,'FCST data'!$D:$D,$F84,'FCST data'!$K:$K,$G84)</f>
        <v>0</v>
      </c>
      <c r="Y84" s="181">
        <f>SUMIFS('FCST data'!AB:AB,'FCST data'!$D:$D,$F84,'FCST data'!$K:$K,$G84)</f>
        <v>0</v>
      </c>
      <c r="Z84" s="148"/>
      <c r="AA84" s="17">
        <f>E84-Z85-Z86</f>
        <v>0</v>
      </c>
    </row>
    <row r="85" spans="3:27" ht="14.4" hidden="1">
      <c r="C85" s="283"/>
      <c r="D85" s="284"/>
      <c r="E85" s="285"/>
      <c r="F85" s="286" t="s">
        <v>446</v>
      </c>
      <c r="G85" s="286" t="s">
        <v>441</v>
      </c>
      <c r="H85" s="284" t="s">
        <v>2</v>
      </c>
      <c r="I85" s="287" t="s">
        <v>31</v>
      </c>
      <c r="J85" s="287" t="s">
        <v>285</v>
      </c>
      <c r="K85" s="287"/>
      <c r="L85" s="160"/>
      <c r="M85" s="362"/>
      <c r="N85" s="291"/>
      <c r="O85" s="291"/>
      <c r="P85" s="291"/>
      <c r="Q85" s="291"/>
      <c r="R85" s="291"/>
      <c r="S85" s="291"/>
      <c r="T85" s="291"/>
      <c r="U85" s="291"/>
      <c r="V85" s="291"/>
      <c r="W85" s="291"/>
      <c r="X85" s="291"/>
      <c r="Y85" s="291"/>
      <c r="Z85" s="177">
        <f>SUM(N85:Y85)</f>
        <v>0</v>
      </c>
    </row>
    <row r="86" spans="3:27" ht="14.4" hidden="1">
      <c r="C86" s="283"/>
      <c r="D86" s="284"/>
      <c r="E86" s="285"/>
      <c r="F86" s="286" t="s">
        <v>446</v>
      </c>
      <c r="G86" s="286" t="s">
        <v>441</v>
      </c>
      <c r="H86" s="284" t="s">
        <v>20</v>
      </c>
      <c r="I86" s="287" t="s">
        <v>31</v>
      </c>
      <c r="J86" s="287" t="s">
        <v>285</v>
      </c>
      <c r="K86" s="287"/>
      <c r="L86" s="160"/>
      <c r="M86" s="362"/>
      <c r="N86" s="291"/>
      <c r="O86" s="291"/>
      <c r="P86" s="291"/>
      <c r="Q86" s="291"/>
      <c r="R86" s="291"/>
      <c r="S86" s="291"/>
      <c r="T86" s="291"/>
      <c r="U86" s="291"/>
      <c r="V86" s="291"/>
      <c r="W86" s="291"/>
      <c r="X86" s="291"/>
      <c r="Y86" s="291"/>
      <c r="Z86" s="177">
        <f>SUM(N86:Y86)</f>
        <v>0</v>
      </c>
    </row>
    <row r="87" spans="3:27" ht="15.6" hidden="1">
      <c r="C87" s="314"/>
      <c r="D87" s="174" t="s">
        <v>22</v>
      </c>
      <c r="E87" s="181">
        <f>SUM(N87:Y87)</f>
        <v>23900</v>
      </c>
      <c r="F87" s="175" t="s">
        <v>445</v>
      </c>
      <c r="G87" s="175" t="s">
        <v>619</v>
      </c>
      <c r="H87" s="148"/>
      <c r="I87" s="176"/>
      <c r="J87" s="176"/>
      <c r="K87" s="176"/>
      <c r="L87" s="176"/>
      <c r="M87" s="363"/>
      <c r="N87" s="181">
        <f>SUMIFS('FCST data'!Q:Q,'FCST data'!$D:$D,$F87,'FCST data'!$K:$K,$G87)</f>
        <v>0</v>
      </c>
      <c r="O87" s="181">
        <f>SUMIFS('FCST data'!R:R,'FCST data'!$D:$D,$F87,'FCST data'!$K:$K,$G87)</f>
        <v>0</v>
      </c>
      <c r="P87" s="181">
        <f>SUMIFS('FCST data'!S:S,'FCST data'!$D:$D,$F87,'FCST data'!$K:$K,$G87)</f>
        <v>0</v>
      </c>
      <c r="Q87" s="181">
        <f>SUMIFS('FCST data'!T:T,'FCST data'!$D:$D,$F87,'FCST data'!$K:$K,$G87)</f>
        <v>0</v>
      </c>
      <c r="R87" s="181">
        <f>SUMIFS('FCST data'!U:U,'FCST data'!$D:$D,$F87,'FCST data'!$K:$K,$G87)</f>
        <v>700</v>
      </c>
      <c r="S87" s="181">
        <f>SUMIFS('FCST data'!V:V,'FCST data'!$D:$D,$F87,'FCST data'!$K:$K,$G87)</f>
        <v>4300</v>
      </c>
      <c r="T87" s="181">
        <f>SUMIFS('FCST data'!W:W,'FCST data'!$D:$D,$F87,'FCST data'!$K:$K,$G87)</f>
        <v>6300</v>
      </c>
      <c r="U87" s="181">
        <f>SUMIFS('FCST data'!X:X,'FCST data'!$D:$D,$F87,'FCST data'!$K:$K,$G87)</f>
        <v>6300</v>
      </c>
      <c r="V87" s="181">
        <f>SUMIFS('FCST data'!Y:Y,'FCST data'!$D:$D,$F87,'FCST data'!$K:$K,$G87)</f>
        <v>6300</v>
      </c>
      <c r="W87" s="181">
        <f>SUMIFS('FCST data'!Z:Z,'FCST data'!$D:$D,$F87,'FCST data'!$K:$K,$G87)</f>
        <v>0</v>
      </c>
      <c r="X87" s="181">
        <f>SUMIFS('FCST data'!AA:AA,'FCST data'!$D:$D,$F87,'FCST data'!$K:$K,$G87)</f>
        <v>0</v>
      </c>
      <c r="Y87" s="181">
        <f>SUMIFS('FCST data'!AB:AB,'FCST data'!$D:$D,$F87,'FCST data'!$K:$K,$G87)</f>
        <v>0</v>
      </c>
      <c r="Z87" s="148"/>
      <c r="AA87" s="17">
        <f>E87-Z88-Z89</f>
        <v>0</v>
      </c>
    </row>
    <row r="88" spans="3:27" ht="14.4" hidden="1">
      <c r="C88" s="283"/>
      <c r="D88" s="284"/>
      <c r="E88" s="285"/>
      <c r="F88" s="286" t="s">
        <v>445</v>
      </c>
      <c r="G88" s="286" t="s">
        <v>619</v>
      </c>
      <c r="H88" s="284" t="s">
        <v>2</v>
      </c>
      <c r="I88" s="287" t="s">
        <v>31</v>
      </c>
      <c r="J88" s="287" t="s">
        <v>285</v>
      </c>
      <c r="K88" s="287"/>
      <c r="L88" s="160"/>
      <c r="M88" s="362"/>
      <c r="N88" s="291">
        <f t="shared" ref="N88:R88" si="77">N87</f>
        <v>0</v>
      </c>
      <c r="O88" s="291">
        <f t="shared" si="77"/>
        <v>0</v>
      </c>
      <c r="P88" s="291">
        <f t="shared" si="77"/>
        <v>0</v>
      </c>
      <c r="Q88" s="291">
        <f t="shared" si="77"/>
        <v>0</v>
      </c>
      <c r="R88" s="291">
        <f t="shared" si="77"/>
        <v>700</v>
      </c>
      <c r="S88" s="291">
        <f t="shared" ref="S88:Y88" si="78">S87</f>
        <v>4300</v>
      </c>
      <c r="T88" s="291">
        <f t="shared" si="78"/>
        <v>6300</v>
      </c>
      <c r="U88" s="291">
        <f t="shared" si="78"/>
        <v>6300</v>
      </c>
      <c r="V88" s="291">
        <f t="shared" si="78"/>
        <v>6300</v>
      </c>
      <c r="W88" s="291">
        <f t="shared" si="78"/>
        <v>0</v>
      </c>
      <c r="X88" s="291">
        <f t="shared" si="78"/>
        <v>0</v>
      </c>
      <c r="Y88" s="291">
        <f t="shared" si="78"/>
        <v>0</v>
      </c>
      <c r="Z88" s="177">
        <f>SUM(N88:Y88)</f>
        <v>23900</v>
      </c>
    </row>
    <row r="89" spans="3:27" ht="14.4" hidden="1">
      <c r="C89" s="283"/>
      <c r="D89" s="284"/>
      <c r="E89" s="285"/>
      <c r="F89" s="286" t="s">
        <v>445</v>
      </c>
      <c r="G89" s="286" t="s">
        <v>619</v>
      </c>
      <c r="H89" s="284" t="s">
        <v>20</v>
      </c>
      <c r="I89" s="287" t="s">
        <v>31</v>
      </c>
      <c r="J89" s="287" t="s">
        <v>285</v>
      </c>
      <c r="K89" s="287"/>
      <c r="L89" s="160"/>
      <c r="M89" s="362"/>
      <c r="N89" s="291"/>
      <c r="O89" s="291"/>
      <c r="P89" s="291"/>
      <c r="Q89" s="291"/>
      <c r="R89" s="291"/>
      <c r="S89" s="291"/>
      <c r="T89" s="291"/>
      <c r="U89" s="291"/>
      <c r="V89" s="291"/>
      <c r="W89" s="291"/>
      <c r="X89" s="291"/>
      <c r="Y89" s="291"/>
      <c r="Z89" s="177">
        <f>SUM(N89:Y89)</f>
        <v>0</v>
      </c>
    </row>
    <row r="90" spans="3:27" ht="15.6" hidden="1">
      <c r="C90" s="314"/>
      <c r="D90" s="174" t="s">
        <v>22</v>
      </c>
      <c r="E90" s="181">
        <f>SUM(N90:Y90)</f>
        <v>1970</v>
      </c>
      <c r="F90" s="175" t="s">
        <v>445</v>
      </c>
      <c r="G90" s="175" t="s">
        <v>620</v>
      </c>
      <c r="H90" s="148"/>
      <c r="I90" s="176"/>
      <c r="J90" s="176"/>
      <c r="K90" s="176"/>
      <c r="L90" s="176"/>
      <c r="M90" s="363"/>
      <c r="N90" s="181">
        <f>SUMIFS('FCST data'!Q:Q,'FCST data'!$D:$D,$F90,'FCST data'!$K:$K,$G90)</f>
        <v>0</v>
      </c>
      <c r="O90" s="181">
        <f>SUMIFS('FCST data'!R:R,'FCST data'!$D:$D,$F90,'FCST data'!$K:$K,$G90)</f>
        <v>0</v>
      </c>
      <c r="P90" s="181">
        <f>SUMIFS('FCST data'!S:S,'FCST data'!$D:$D,$F90,'FCST data'!$K:$K,$G90)</f>
        <v>0</v>
      </c>
      <c r="Q90" s="181">
        <f>SUMIFS('FCST data'!T:T,'FCST data'!$D:$D,$F90,'FCST data'!$K:$K,$G90)</f>
        <v>0</v>
      </c>
      <c r="R90" s="181">
        <f>SUMIFS('FCST data'!U:U,'FCST data'!$D:$D,$F90,'FCST data'!$K:$K,$G90)</f>
        <v>180</v>
      </c>
      <c r="S90" s="181">
        <f>SUMIFS('FCST data'!V:V,'FCST data'!$D:$D,$F90,'FCST data'!$K:$K,$G90)</f>
        <v>200</v>
      </c>
      <c r="T90" s="181">
        <f>SUMIFS('FCST data'!W:W,'FCST data'!$D:$D,$F90,'FCST data'!$K:$K,$G90)</f>
        <v>530</v>
      </c>
      <c r="U90" s="181">
        <f>SUMIFS('FCST data'!X:X,'FCST data'!$D:$D,$F90,'FCST data'!$K:$K,$G90)</f>
        <v>530</v>
      </c>
      <c r="V90" s="181">
        <f>SUMIFS('FCST data'!Y:Y,'FCST data'!$D:$D,$F90,'FCST data'!$K:$K,$G90)</f>
        <v>530</v>
      </c>
      <c r="W90" s="181">
        <f>SUMIFS('FCST data'!Z:Z,'FCST data'!$D:$D,$F90,'FCST data'!$K:$K,$G90)</f>
        <v>0</v>
      </c>
      <c r="X90" s="181">
        <f>SUMIFS('FCST data'!AA:AA,'FCST data'!$D:$D,$F90,'FCST data'!$K:$K,$G90)</f>
        <v>0</v>
      </c>
      <c r="Y90" s="181">
        <f>SUMIFS('FCST data'!AB:AB,'FCST data'!$D:$D,$F90,'FCST data'!$K:$K,$G90)</f>
        <v>0</v>
      </c>
      <c r="Z90" s="148"/>
      <c r="AA90" s="17">
        <f>E90-Z91-Z92</f>
        <v>0</v>
      </c>
    </row>
    <row r="91" spans="3:27" ht="14.4" hidden="1">
      <c r="C91" s="283"/>
      <c r="D91" s="284"/>
      <c r="E91" s="285"/>
      <c r="F91" s="286" t="s">
        <v>445</v>
      </c>
      <c r="G91" s="286" t="s">
        <v>620</v>
      </c>
      <c r="H91" s="284" t="s">
        <v>2</v>
      </c>
      <c r="I91" s="287" t="s">
        <v>31</v>
      </c>
      <c r="J91" s="287" t="s">
        <v>285</v>
      </c>
      <c r="K91" s="287"/>
      <c r="L91" s="160"/>
      <c r="M91" s="362"/>
      <c r="N91" s="291">
        <f t="shared" ref="N91:R91" si="79">N90</f>
        <v>0</v>
      </c>
      <c r="O91" s="291">
        <f t="shared" si="79"/>
        <v>0</v>
      </c>
      <c r="P91" s="291">
        <f t="shared" si="79"/>
        <v>0</v>
      </c>
      <c r="Q91" s="291">
        <f t="shared" si="79"/>
        <v>0</v>
      </c>
      <c r="R91" s="291">
        <f t="shared" si="79"/>
        <v>180</v>
      </c>
      <c r="S91" s="291">
        <f t="shared" ref="S91:Y91" si="80">S90</f>
        <v>200</v>
      </c>
      <c r="T91" s="291">
        <f t="shared" si="80"/>
        <v>530</v>
      </c>
      <c r="U91" s="291">
        <f t="shared" si="80"/>
        <v>530</v>
      </c>
      <c r="V91" s="291">
        <f t="shared" si="80"/>
        <v>530</v>
      </c>
      <c r="W91" s="291">
        <f t="shared" si="80"/>
        <v>0</v>
      </c>
      <c r="X91" s="291">
        <f t="shared" si="80"/>
        <v>0</v>
      </c>
      <c r="Y91" s="291">
        <f t="shared" si="80"/>
        <v>0</v>
      </c>
      <c r="Z91" s="177">
        <f>SUM(N91:Y91)</f>
        <v>1970</v>
      </c>
    </row>
    <row r="92" spans="3:27" ht="14.4" hidden="1">
      <c r="C92" s="283"/>
      <c r="D92" s="284"/>
      <c r="E92" s="285"/>
      <c r="F92" s="286" t="s">
        <v>445</v>
      </c>
      <c r="G92" s="286" t="s">
        <v>620</v>
      </c>
      <c r="H92" s="284" t="s">
        <v>20</v>
      </c>
      <c r="I92" s="287" t="s">
        <v>31</v>
      </c>
      <c r="J92" s="287" t="s">
        <v>285</v>
      </c>
      <c r="K92" s="287"/>
      <c r="L92" s="160"/>
      <c r="M92" s="362"/>
      <c r="N92" s="291"/>
      <c r="O92" s="291"/>
      <c r="P92" s="291"/>
      <c r="Q92" s="291"/>
      <c r="R92" s="291"/>
      <c r="S92" s="291"/>
      <c r="T92" s="291"/>
      <c r="U92" s="291"/>
      <c r="V92" s="291"/>
      <c r="W92" s="291"/>
      <c r="X92" s="291"/>
      <c r="Y92" s="291"/>
      <c r="Z92" s="177">
        <f>SUM(N92:Y92)</f>
        <v>0</v>
      </c>
    </row>
    <row r="93" spans="3:27" ht="15.6" hidden="1">
      <c r="C93" s="314"/>
      <c r="D93" s="174" t="s">
        <v>22</v>
      </c>
      <c r="E93" s="181">
        <f>SUM(N93:Y93)</f>
        <v>100</v>
      </c>
      <c r="F93" s="175" t="s">
        <v>444</v>
      </c>
      <c r="G93" s="175" t="s">
        <v>621</v>
      </c>
      <c r="H93" s="148"/>
      <c r="I93" s="176"/>
      <c r="J93" s="176"/>
      <c r="K93" s="176"/>
      <c r="L93" s="176"/>
      <c r="M93" s="363"/>
      <c r="N93" s="181">
        <f>SUMIFS('FCST data'!Q:Q,'FCST data'!$D:$D,$F93,'FCST data'!$K:$K,$G93)</f>
        <v>0</v>
      </c>
      <c r="O93" s="181">
        <f>SUMIFS('FCST data'!R:R,'FCST data'!$D:$D,$F93,'FCST data'!$K:$K,$G93)</f>
        <v>100</v>
      </c>
      <c r="P93" s="181">
        <f>SUMIFS('FCST data'!S:S,'FCST data'!$D:$D,$F93,'FCST data'!$K:$K,$G93)</f>
        <v>0</v>
      </c>
      <c r="Q93" s="181">
        <f>SUMIFS('FCST data'!T:T,'FCST data'!$D:$D,$F93,'FCST data'!$K:$K,$G93)</f>
        <v>0</v>
      </c>
      <c r="R93" s="181">
        <f>SUMIFS('FCST data'!U:U,'FCST data'!$D:$D,$F93,'FCST data'!$K:$K,$G93)</f>
        <v>0</v>
      </c>
      <c r="S93" s="181">
        <f>SUMIFS('FCST data'!V:V,'FCST data'!$D:$D,$F93,'FCST data'!$K:$K,$G93)</f>
        <v>0</v>
      </c>
      <c r="T93" s="181">
        <f>SUMIFS('FCST data'!W:W,'FCST data'!$D:$D,$F93,'FCST data'!$K:$K,$G93)</f>
        <v>0</v>
      </c>
      <c r="U93" s="181">
        <f>SUMIFS('FCST data'!X:X,'FCST data'!$D:$D,$F93,'FCST data'!$K:$K,$G93)</f>
        <v>0</v>
      </c>
      <c r="V93" s="181">
        <f>SUMIFS('FCST data'!Y:Y,'FCST data'!$D:$D,$F93,'FCST data'!$K:$K,$G93)</f>
        <v>0</v>
      </c>
      <c r="W93" s="181">
        <f>SUMIFS('FCST data'!Z:Z,'FCST data'!$D:$D,$F93,'FCST data'!$K:$K,$G93)</f>
        <v>0</v>
      </c>
      <c r="X93" s="181">
        <f>SUMIFS('FCST data'!AA:AA,'FCST data'!$D:$D,$F93,'FCST data'!$K:$K,$G93)</f>
        <v>0</v>
      </c>
      <c r="Y93" s="181">
        <f>SUMIFS('FCST data'!AB:AB,'FCST data'!$D:$D,$F93,'FCST data'!$K:$K,$G93)</f>
        <v>0</v>
      </c>
      <c r="Z93" s="148"/>
      <c r="AA93" s="17">
        <f>E93-Z94-Z95</f>
        <v>0</v>
      </c>
    </row>
    <row r="94" spans="3:27" ht="14.4" hidden="1">
      <c r="C94" s="283"/>
      <c r="D94" s="284"/>
      <c r="E94" s="285"/>
      <c r="F94" s="286" t="s">
        <v>444</v>
      </c>
      <c r="G94" s="286" t="s">
        <v>621</v>
      </c>
      <c r="H94" s="284" t="s">
        <v>2</v>
      </c>
      <c r="I94" s="287" t="s">
        <v>31</v>
      </c>
      <c r="J94" s="287" t="s">
        <v>285</v>
      </c>
      <c r="K94" s="287"/>
      <c r="L94" s="160"/>
      <c r="M94" s="362"/>
      <c r="N94" s="291">
        <f>N93</f>
        <v>0</v>
      </c>
      <c r="O94" s="291">
        <f t="shared" ref="O94" si="81">O93</f>
        <v>100</v>
      </c>
      <c r="P94" s="291">
        <f t="shared" ref="P94" si="82">P93</f>
        <v>0</v>
      </c>
      <c r="Q94" s="291">
        <f t="shared" ref="Q94" si="83">Q93</f>
        <v>0</v>
      </c>
      <c r="R94" s="291">
        <f t="shared" ref="R94" si="84">R93</f>
        <v>0</v>
      </c>
      <c r="S94" s="291">
        <f t="shared" ref="S94:Y94" si="85">S93</f>
        <v>0</v>
      </c>
      <c r="T94" s="291">
        <f t="shared" si="85"/>
        <v>0</v>
      </c>
      <c r="U94" s="291">
        <f t="shared" si="85"/>
        <v>0</v>
      </c>
      <c r="V94" s="291">
        <f t="shared" si="85"/>
        <v>0</v>
      </c>
      <c r="W94" s="291">
        <f t="shared" si="85"/>
        <v>0</v>
      </c>
      <c r="X94" s="291">
        <f t="shared" si="85"/>
        <v>0</v>
      </c>
      <c r="Y94" s="291">
        <f t="shared" si="85"/>
        <v>0</v>
      </c>
      <c r="Z94" s="177">
        <f>SUM(N94:Y94)</f>
        <v>100</v>
      </c>
    </row>
    <row r="95" spans="3:27" ht="14.4" hidden="1">
      <c r="C95" s="283"/>
      <c r="D95" s="284"/>
      <c r="E95" s="285"/>
      <c r="F95" s="286" t="s">
        <v>444</v>
      </c>
      <c r="G95" s="286" t="s">
        <v>621</v>
      </c>
      <c r="H95" s="284" t="s">
        <v>20</v>
      </c>
      <c r="I95" s="287" t="s">
        <v>31</v>
      </c>
      <c r="J95" s="287" t="s">
        <v>285</v>
      </c>
      <c r="K95" s="287"/>
      <c r="L95" s="160"/>
      <c r="M95" s="362"/>
      <c r="N95" s="291"/>
      <c r="O95" s="291"/>
      <c r="P95" s="291"/>
      <c r="Q95" s="291"/>
      <c r="R95" s="291"/>
      <c r="S95" s="291"/>
      <c r="T95" s="291"/>
      <c r="U95" s="291"/>
      <c r="V95" s="291"/>
      <c r="W95" s="291"/>
      <c r="X95" s="291"/>
      <c r="Y95" s="291"/>
      <c r="Z95" s="177">
        <f>SUM(N95:Y95)</f>
        <v>0</v>
      </c>
    </row>
    <row r="96" spans="3:27" ht="15.6" hidden="1">
      <c r="C96" s="314"/>
      <c r="D96" s="174" t="s">
        <v>22</v>
      </c>
      <c r="E96" s="181">
        <f>SUM(N96:Y96)</f>
        <v>600</v>
      </c>
      <c r="F96" s="175" t="s">
        <v>444</v>
      </c>
      <c r="G96" s="175" t="s">
        <v>622</v>
      </c>
      <c r="H96" s="148"/>
      <c r="I96" s="176"/>
      <c r="J96" s="176"/>
      <c r="K96" s="176"/>
      <c r="L96" s="176"/>
      <c r="M96" s="363"/>
      <c r="N96" s="181">
        <f>SUMIFS('FCST data'!Q:Q,'FCST data'!$D:$D,$F96,'FCST data'!$K:$K,$G96)</f>
        <v>200</v>
      </c>
      <c r="O96" s="181">
        <f>SUMIFS('FCST data'!R:R,'FCST data'!$D:$D,$F96,'FCST data'!$K:$K,$G96)</f>
        <v>200</v>
      </c>
      <c r="P96" s="181">
        <f>SUMIFS('FCST data'!S:S,'FCST data'!$D:$D,$F96,'FCST data'!$K:$K,$G96)</f>
        <v>200</v>
      </c>
      <c r="Q96" s="181">
        <f>SUMIFS('FCST data'!T:T,'FCST data'!$D:$D,$F96,'FCST data'!$K:$K,$G96)</f>
        <v>0</v>
      </c>
      <c r="R96" s="181">
        <f>SUMIFS('FCST data'!U:U,'FCST data'!$D:$D,$F96,'FCST data'!$K:$K,$G96)</f>
        <v>0</v>
      </c>
      <c r="S96" s="181">
        <f>SUMIFS('FCST data'!V:V,'FCST data'!$D:$D,$F96,'FCST data'!$K:$K,$G96)</f>
        <v>0</v>
      </c>
      <c r="T96" s="181">
        <f>SUMIFS('FCST data'!W:W,'FCST data'!$D:$D,$F96,'FCST data'!$K:$K,$G96)</f>
        <v>0</v>
      </c>
      <c r="U96" s="181">
        <f>SUMIFS('FCST data'!X:X,'FCST data'!$D:$D,$F96,'FCST data'!$K:$K,$G96)</f>
        <v>0</v>
      </c>
      <c r="V96" s="181">
        <f>SUMIFS('FCST data'!Y:Y,'FCST data'!$D:$D,$F96,'FCST data'!$K:$K,$G96)</f>
        <v>0</v>
      </c>
      <c r="W96" s="181">
        <f>SUMIFS('FCST data'!Z:Z,'FCST data'!$D:$D,$F96,'FCST data'!$K:$K,$G96)</f>
        <v>0</v>
      </c>
      <c r="X96" s="181">
        <f>SUMIFS('FCST data'!AA:AA,'FCST data'!$D:$D,$F96,'FCST data'!$K:$K,$G96)</f>
        <v>0</v>
      </c>
      <c r="Y96" s="181">
        <f>SUMIFS('FCST data'!AB:AB,'FCST data'!$D:$D,$F96,'FCST data'!$K:$K,$G96)</f>
        <v>0</v>
      </c>
      <c r="Z96" s="148"/>
      <c r="AA96" s="17">
        <f>E96-Z97-Z98</f>
        <v>0</v>
      </c>
    </row>
    <row r="97" spans="3:27" ht="14.4" hidden="1">
      <c r="C97" s="283"/>
      <c r="D97" s="284"/>
      <c r="E97" s="285"/>
      <c r="F97" s="286" t="s">
        <v>444</v>
      </c>
      <c r="G97" s="286" t="s">
        <v>622</v>
      </c>
      <c r="H97" s="284" t="s">
        <v>2</v>
      </c>
      <c r="I97" s="287" t="s">
        <v>31</v>
      </c>
      <c r="J97" s="287" t="s">
        <v>285</v>
      </c>
      <c r="K97" s="287"/>
      <c r="L97" s="160"/>
      <c r="M97" s="362"/>
      <c r="N97" s="291">
        <f>N96</f>
        <v>200</v>
      </c>
      <c r="O97" s="291">
        <f t="shared" ref="O97" si="86">O96</f>
        <v>200</v>
      </c>
      <c r="P97" s="291">
        <f t="shared" ref="P97" si="87">P96</f>
        <v>200</v>
      </c>
      <c r="Q97" s="291">
        <f t="shared" ref="Q97" si="88">Q96</f>
        <v>0</v>
      </c>
      <c r="R97" s="291">
        <f t="shared" ref="R97:Y97" si="89">R96</f>
        <v>0</v>
      </c>
      <c r="S97" s="291">
        <f t="shared" si="89"/>
        <v>0</v>
      </c>
      <c r="T97" s="291">
        <f t="shared" si="89"/>
        <v>0</v>
      </c>
      <c r="U97" s="291">
        <f t="shared" si="89"/>
        <v>0</v>
      </c>
      <c r="V97" s="291">
        <f t="shared" si="89"/>
        <v>0</v>
      </c>
      <c r="W97" s="291">
        <f t="shared" si="89"/>
        <v>0</v>
      </c>
      <c r="X97" s="291">
        <f t="shared" si="89"/>
        <v>0</v>
      </c>
      <c r="Y97" s="291">
        <f t="shared" si="89"/>
        <v>0</v>
      </c>
      <c r="Z97" s="177">
        <f>SUM(N97:Y97)</f>
        <v>600</v>
      </c>
    </row>
    <row r="98" spans="3:27" ht="14.4" hidden="1">
      <c r="C98" s="283"/>
      <c r="D98" s="284"/>
      <c r="E98" s="285"/>
      <c r="F98" s="286" t="s">
        <v>444</v>
      </c>
      <c r="G98" s="286" t="s">
        <v>622</v>
      </c>
      <c r="H98" s="284" t="s">
        <v>20</v>
      </c>
      <c r="I98" s="287" t="s">
        <v>31</v>
      </c>
      <c r="J98" s="287" t="s">
        <v>285</v>
      </c>
      <c r="K98" s="287"/>
      <c r="L98" s="160"/>
      <c r="M98" s="362"/>
      <c r="N98" s="291"/>
      <c r="O98" s="291"/>
      <c r="P98" s="291"/>
      <c r="Q98" s="291"/>
      <c r="R98" s="291"/>
      <c r="S98" s="291"/>
      <c r="T98" s="291"/>
      <c r="U98" s="291"/>
      <c r="V98" s="291"/>
      <c r="W98" s="291"/>
      <c r="X98" s="291"/>
      <c r="Y98" s="291"/>
      <c r="Z98" s="177">
        <f>SUM(N98:Y98)</f>
        <v>0</v>
      </c>
    </row>
    <row r="99" spans="3:27" ht="15.6" hidden="1">
      <c r="C99" s="314"/>
      <c r="D99" s="174" t="s">
        <v>22</v>
      </c>
      <c r="E99" s="181">
        <f>SUM(N99:Y99)</f>
        <v>0</v>
      </c>
      <c r="F99" s="175" t="s">
        <v>624</v>
      </c>
      <c r="G99" s="175" t="s">
        <v>390</v>
      </c>
      <c r="H99" s="148"/>
      <c r="I99" s="176"/>
      <c r="J99" s="176"/>
      <c r="K99" s="176"/>
      <c r="L99" s="176"/>
      <c r="M99" s="363"/>
      <c r="N99" s="181">
        <f>SUMIFS('FCST data'!Q:Q,'FCST data'!$D:$D,$F99,'FCST data'!$K:$K,$G99)</f>
        <v>0</v>
      </c>
      <c r="O99" s="181">
        <f>SUMIFS('FCST data'!R:R,'FCST data'!$D:$D,$F99,'FCST data'!$K:$K,$G99)</f>
        <v>0</v>
      </c>
      <c r="P99" s="181">
        <f>SUMIFS('FCST data'!S:S,'FCST data'!$D:$D,$F99,'FCST data'!$K:$K,$G99)</f>
        <v>0</v>
      </c>
      <c r="Q99" s="181">
        <f>SUMIFS('FCST data'!T:T,'FCST data'!$D:$D,$F99,'FCST data'!$K:$K,$G99)</f>
        <v>0</v>
      </c>
      <c r="R99" s="181">
        <f>SUMIFS('FCST data'!U:U,'FCST data'!$D:$D,$F99,'FCST data'!$K:$K,$G99)</f>
        <v>0</v>
      </c>
      <c r="S99" s="181">
        <f>SUMIFS('FCST data'!V:V,'FCST data'!$D:$D,$F99,'FCST data'!$K:$K,$G99)</f>
        <v>0</v>
      </c>
      <c r="T99" s="181">
        <f>SUMIFS('FCST data'!W:W,'FCST data'!$D:$D,$F99,'FCST data'!$K:$K,$G99)</f>
        <v>0</v>
      </c>
      <c r="U99" s="181">
        <f>SUMIFS('FCST data'!X:X,'FCST data'!$D:$D,$F99,'FCST data'!$K:$K,$G99)</f>
        <v>0</v>
      </c>
      <c r="V99" s="181">
        <f>SUMIFS('FCST data'!Y:Y,'FCST data'!$D:$D,$F99,'FCST data'!$K:$K,$G99)</f>
        <v>0</v>
      </c>
      <c r="W99" s="181">
        <f>SUMIFS('FCST data'!Z:Z,'FCST data'!$D:$D,$F99,'FCST data'!$K:$K,$G99)</f>
        <v>0</v>
      </c>
      <c r="X99" s="181">
        <f>SUMIFS('FCST data'!AA:AA,'FCST data'!$D:$D,$F99,'FCST data'!$K:$K,$G99)</f>
        <v>0</v>
      </c>
      <c r="Y99" s="181">
        <f>SUMIFS('FCST data'!AB:AB,'FCST data'!$D:$D,$F99,'FCST data'!$K:$K,$G99)</f>
        <v>0</v>
      </c>
      <c r="Z99" s="148"/>
      <c r="AA99" s="17">
        <f>E99-Z100-Z101</f>
        <v>0</v>
      </c>
    </row>
    <row r="100" spans="3:27" ht="14.4" hidden="1">
      <c r="C100" s="283"/>
      <c r="D100" s="284"/>
      <c r="E100" s="285"/>
      <c r="F100" s="286" t="s">
        <v>624</v>
      </c>
      <c r="G100" s="286" t="s">
        <v>390</v>
      </c>
      <c r="H100" s="284" t="s">
        <v>2</v>
      </c>
      <c r="I100" s="287" t="s">
        <v>31</v>
      </c>
      <c r="J100" s="287" t="s">
        <v>285</v>
      </c>
      <c r="K100" s="287"/>
      <c r="L100" s="160"/>
      <c r="M100" s="362"/>
      <c r="N100" s="291"/>
      <c r="O100" s="291"/>
      <c r="P100" s="291"/>
      <c r="Q100" s="291"/>
      <c r="R100" s="291"/>
      <c r="S100" s="291"/>
      <c r="T100" s="291"/>
      <c r="U100" s="291"/>
      <c r="V100" s="291"/>
      <c r="W100" s="291"/>
      <c r="X100" s="291"/>
      <c r="Y100" s="291"/>
      <c r="Z100" s="177">
        <f>SUM(N100:Y100)</f>
        <v>0</v>
      </c>
    </row>
    <row r="101" spans="3:27" ht="14.4" hidden="1">
      <c r="C101" s="283"/>
      <c r="D101" s="284"/>
      <c r="E101" s="285"/>
      <c r="F101" s="286" t="s">
        <v>624</v>
      </c>
      <c r="G101" s="286" t="s">
        <v>390</v>
      </c>
      <c r="H101" s="284" t="s">
        <v>20</v>
      </c>
      <c r="I101" s="287" t="s">
        <v>31</v>
      </c>
      <c r="J101" s="287" t="s">
        <v>285</v>
      </c>
      <c r="K101" s="287"/>
      <c r="L101" s="160"/>
      <c r="M101" s="362"/>
      <c r="N101" s="291"/>
      <c r="O101" s="291"/>
      <c r="P101" s="291"/>
      <c r="Q101" s="291"/>
      <c r="R101" s="291"/>
      <c r="S101" s="291"/>
      <c r="T101" s="291"/>
      <c r="U101" s="291"/>
      <c r="V101" s="291"/>
      <c r="W101" s="291"/>
      <c r="X101" s="291"/>
      <c r="Y101" s="291"/>
      <c r="Z101" s="177">
        <f>SUM(N101:Y101)</f>
        <v>0</v>
      </c>
    </row>
    <row r="102" spans="3:27" ht="15.6" hidden="1">
      <c r="C102" s="314"/>
      <c r="D102" s="174" t="s">
        <v>22</v>
      </c>
      <c r="E102" s="181">
        <f>SUM(N102:Y102)</f>
        <v>0</v>
      </c>
      <c r="F102" s="175" t="s">
        <v>295</v>
      </c>
      <c r="G102" s="183" t="s">
        <v>297</v>
      </c>
      <c r="H102" s="288"/>
      <c r="I102" s="182"/>
      <c r="J102" s="182"/>
      <c r="K102" s="182"/>
      <c r="L102" s="182"/>
      <c r="M102" s="358"/>
      <c r="N102" s="181">
        <f>SUMIFS('FCST data'!Q:Q,'FCST data'!$D:$D,$F102,'FCST data'!$K:$K,$G102)</f>
        <v>0</v>
      </c>
      <c r="O102" s="181">
        <f>SUMIFS('FCST data'!R:R,'FCST data'!$D:$D,$F102,'FCST data'!$K:$K,$G102)</f>
        <v>0</v>
      </c>
      <c r="P102" s="181">
        <f>SUMIFS('FCST data'!S:S,'FCST data'!$D:$D,$F102,'FCST data'!$K:$K,$G102)</f>
        <v>0</v>
      </c>
      <c r="Q102" s="181">
        <f>SUMIFS('FCST data'!T:T,'FCST data'!$D:$D,$F102,'FCST data'!$K:$K,$G102)</f>
        <v>0</v>
      </c>
      <c r="R102" s="181">
        <f>SUMIFS('FCST data'!U:U,'FCST data'!$D:$D,$F102,'FCST data'!$K:$K,$G102)</f>
        <v>0</v>
      </c>
      <c r="S102" s="181">
        <f>SUMIFS('FCST data'!V:V,'FCST data'!$D:$D,$F102,'FCST data'!$K:$K,$G102)</f>
        <v>0</v>
      </c>
      <c r="T102" s="181">
        <f>SUMIFS('FCST data'!W:W,'FCST data'!$D:$D,$F102,'FCST data'!$K:$K,$G102)</f>
        <v>0</v>
      </c>
      <c r="U102" s="181">
        <f>SUMIFS('FCST data'!X:X,'FCST data'!$D:$D,$F102,'FCST data'!$K:$K,$G102)</f>
        <v>0</v>
      </c>
      <c r="V102" s="181">
        <f>SUMIFS('FCST data'!Y:Y,'FCST data'!$D:$D,$F102,'FCST data'!$K:$K,$G102)</f>
        <v>0</v>
      </c>
      <c r="W102" s="181">
        <f>SUMIFS('FCST data'!Z:Z,'FCST data'!$D:$D,$F102,'FCST data'!$K:$K,$G102)</f>
        <v>0</v>
      </c>
      <c r="X102" s="181">
        <f>SUMIFS('FCST data'!AA:AA,'FCST data'!$D:$D,$F102,'FCST data'!$K:$K,$G102)</f>
        <v>0</v>
      </c>
      <c r="Y102" s="181">
        <f>SUMIFS('FCST data'!AB:AB,'FCST data'!$D:$D,$F102,'FCST data'!$K:$K,$G102)</f>
        <v>0</v>
      </c>
      <c r="Z102" s="148"/>
      <c r="AA102" s="17">
        <f>E102-Z103-Z104</f>
        <v>0</v>
      </c>
    </row>
    <row r="103" spans="3:27" ht="14.4" hidden="1">
      <c r="C103" s="283"/>
      <c r="D103" s="284"/>
      <c r="E103" s="285"/>
      <c r="F103" s="286" t="s">
        <v>295</v>
      </c>
      <c r="G103" s="286" t="s">
        <v>297</v>
      </c>
      <c r="H103" s="284" t="s">
        <v>2</v>
      </c>
      <c r="I103" s="287" t="s">
        <v>31</v>
      </c>
      <c r="J103" s="287" t="s">
        <v>285</v>
      </c>
      <c r="K103" s="287"/>
      <c r="L103" s="160"/>
      <c r="M103" s="362"/>
      <c r="N103" s="291"/>
      <c r="O103" s="291"/>
      <c r="P103" s="291"/>
      <c r="Q103" s="291"/>
      <c r="R103" s="291"/>
      <c r="S103" s="291"/>
      <c r="T103" s="291"/>
      <c r="U103" s="291"/>
      <c r="V103" s="291"/>
      <c r="W103" s="291"/>
      <c r="X103" s="291"/>
      <c r="Y103" s="291"/>
      <c r="Z103" s="177">
        <f>SUM(N103:Y103)</f>
        <v>0</v>
      </c>
    </row>
    <row r="104" spans="3:27" ht="14.4" hidden="1">
      <c r="C104" s="283"/>
      <c r="D104" s="284"/>
      <c r="E104" s="285"/>
      <c r="F104" s="286" t="s">
        <v>295</v>
      </c>
      <c r="G104" s="286" t="s">
        <v>297</v>
      </c>
      <c r="H104" s="284" t="s">
        <v>20</v>
      </c>
      <c r="I104" s="287" t="s">
        <v>31</v>
      </c>
      <c r="J104" s="287" t="s">
        <v>285</v>
      </c>
      <c r="K104" s="287"/>
      <c r="L104" s="160"/>
      <c r="M104" s="362"/>
      <c r="N104" s="291"/>
      <c r="O104" s="291"/>
      <c r="P104" s="291"/>
      <c r="Q104" s="291"/>
      <c r="R104" s="291"/>
      <c r="S104" s="291"/>
      <c r="T104" s="291"/>
      <c r="U104" s="291"/>
      <c r="V104" s="291"/>
      <c r="W104" s="291"/>
      <c r="X104" s="291"/>
      <c r="Y104" s="291"/>
      <c r="Z104" s="177">
        <f>SUM(N104:Y104)</f>
        <v>0</v>
      </c>
    </row>
    <row r="105" spans="3:27" ht="15.6" hidden="1">
      <c r="C105" s="314"/>
      <c r="D105" s="174" t="s">
        <v>22</v>
      </c>
      <c r="E105" s="181">
        <f>SUM(N105:Y105)</f>
        <v>0</v>
      </c>
      <c r="F105" s="175" t="s">
        <v>625</v>
      </c>
      <c r="G105" s="183" t="s">
        <v>373</v>
      </c>
      <c r="H105" s="288"/>
      <c r="I105" s="182"/>
      <c r="J105" s="182"/>
      <c r="K105" s="182"/>
      <c r="L105" s="182"/>
      <c r="M105" s="358"/>
      <c r="N105" s="181">
        <f>SUMIFS('FCST data'!Q:Q,'FCST data'!$D:$D,$F105,'FCST data'!$K:$K,$G105)</f>
        <v>0</v>
      </c>
      <c r="O105" s="181">
        <f>SUMIFS('FCST data'!R:R,'FCST data'!$D:$D,$F105,'FCST data'!$K:$K,$G105)</f>
        <v>0</v>
      </c>
      <c r="P105" s="181">
        <f>SUMIFS('FCST data'!S:S,'FCST data'!$D:$D,$F105,'FCST data'!$K:$K,$G105)</f>
        <v>0</v>
      </c>
      <c r="Q105" s="181">
        <f>SUMIFS('FCST data'!T:T,'FCST data'!$D:$D,$F105,'FCST data'!$K:$K,$G105)</f>
        <v>0</v>
      </c>
      <c r="R105" s="181">
        <f>SUMIFS('FCST data'!U:U,'FCST data'!$D:$D,$F105,'FCST data'!$K:$K,$G105)</f>
        <v>0</v>
      </c>
      <c r="S105" s="181">
        <f>SUMIFS('FCST data'!V:V,'FCST data'!$D:$D,$F105,'FCST data'!$K:$K,$G105)</f>
        <v>0</v>
      </c>
      <c r="T105" s="181">
        <f>SUMIFS('FCST data'!W:W,'FCST data'!$D:$D,$F105,'FCST data'!$K:$K,$G105)</f>
        <v>0</v>
      </c>
      <c r="U105" s="181">
        <f>SUMIFS('FCST data'!X:X,'FCST data'!$D:$D,$F105,'FCST data'!$K:$K,$G105)</f>
        <v>0</v>
      </c>
      <c r="V105" s="181">
        <f>SUMIFS('FCST data'!Y:Y,'FCST data'!$D:$D,$F105,'FCST data'!$K:$K,$G105)</f>
        <v>0</v>
      </c>
      <c r="W105" s="181">
        <f>SUMIFS('FCST data'!Z:Z,'FCST data'!$D:$D,$F105,'FCST data'!$K:$K,$G105)</f>
        <v>0</v>
      </c>
      <c r="X105" s="181">
        <f>SUMIFS('FCST data'!AA:AA,'FCST data'!$D:$D,$F105,'FCST data'!$K:$K,$G105)</f>
        <v>0</v>
      </c>
      <c r="Y105" s="181">
        <f>SUMIFS('FCST data'!AB:AB,'FCST data'!$D:$D,$F105,'FCST data'!$K:$K,$G105)</f>
        <v>0</v>
      </c>
      <c r="Z105" s="148"/>
      <c r="AA105" s="17">
        <f>E105-Z106-Z107</f>
        <v>0</v>
      </c>
    </row>
    <row r="106" spans="3:27" ht="14.4" hidden="1">
      <c r="C106" s="283"/>
      <c r="D106" s="284"/>
      <c r="E106" s="285"/>
      <c r="F106" s="286" t="s">
        <v>625</v>
      </c>
      <c r="G106" s="286" t="s">
        <v>373</v>
      </c>
      <c r="H106" s="284" t="s">
        <v>2</v>
      </c>
      <c r="I106" s="287" t="s">
        <v>31</v>
      </c>
      <c r="J106" s="287" t="s">
        <v>285</v>
      </c>
      <c r="K106" s="287"/>
      <c r="L106" s="160"/>
      <c r="M106" s="362"/>
      <c r="N106" s="291"/>
      <c r="O106" s="291"/>
      <c r="P106" s="291"/>
      <c r="Q106" s="291"/>
      <c r="R106" s="291"/>
      <c r="S106" s="291"/>
      <c r="T106" s="291"/>
      <c r="U106" s="291"/>
      <c r="V106" s="291"/>
      <c r="W106" s="291"/>
      <c r="X106" s="291"/>
      <c r="Y106" s="291"/>
      <c r="Z106" s="177">
        <f>SUM(N106:Y106)</f>
        <v>0</v>
      </c>
    </row>
    <row r="107" spans="3:27" ht="14.4" hidden="1">
      <c r="C107" s="283"/>
      <c r="D107" s="284"/>
      <c r="E107" s="285"/>
      <c r="F107" s="286" t="s">
        <v>625</v>
      </c>
      <c r="G107" s="286" t="s">
        <v>373</v>
      </c>
      <c r="H107" s="284" t="s">
        <v>20</v>
      </c>
      <c r="I107" s="287" t="s">
        <v>31</v>
      </c>
      <c r="J107" s="287" t="s">
        <v>285</v>
      </c>
      <c r="K107" s="287"/>
      <c r="L107" s="160"/>
      <c r="M107" s="362"/>
      <c r="N107" s="291"/>
      <c r="O107" s="291"/>
      <c r="P107" s="291"/>
      <c r="Q107" s="291"/>
      <c r="R107" s="291"/>
      <c r="S107" s="291"/>
      <c r="T107" s="291"/>
      <c r="U107" s="291"/>
      <c r="V107" s="291"/>
      <c r="W107" s="291"/>
      <c r="X107" s="291"/>
      <c r="Y107" s="291"/>
      <c r="Z107" s="177">
        <f>SUM(N107:Y107)</f>
        <v>0</v>
      </c>
    </row>
    <row r="108" spans="3:27" ht="15.6" hidden="1">
      <c r="C108" s="314"/>
      <c r="D108" s="174" t="s">
        <v>22</v>
      </c>
      <c r="E108" s="181">
        <f>SUM(N108:Y108)</f>
        <v>0</v>
      </c>
      <c r="F108" s="183" t="s">
        <v>296</v>
      </c>
      <c r="G108" s="183" t="s">
        <v>529</v>
      </c>
      <c r="H108" s="288"/>
      <c r="I108" s="182"/>
      <c r="J108" s="182"/>
      <c r="K108" s="182"/>
      <c r="L108" s="182"/>
      <c r="M108" s="358"/>
      <c r="N108" s="181">
        <f>SUMIFS('FCST data'!Q:Q,'FCST data'!$D:$D,$F108,'FCST data'!$K:$K,$G108)</f>
        <v>0</v>
      </c>
      <c r="O108" s="181">
        <f>SUMIFS('FCST data'!R:R,'FCST data'!$D:$D,$F108,'FCST data'!$K:$K,$G108)</f>
        <v>0</v>
      </c>
      <c r="P108" s="181">
        <f>SUMIFS('FCST data'!S:S,'FCST data'!$D:$D,$F108,'FCST data'!$K:$K,$G108)</f>
        <v>0</v>
      </c>
      <c r="Q108" s="181">
        <f>SUMIFS('FCST data'!T:T,'FCST data'!$D:$D,$F108,'FCST data'!$K:$K,$G108)</f>
        <v>0</v>
      </c>
      <c r="R108" s="181">
        <f>SUMIFS('FCST data'!U:U,'FCST data'!$D:$D,$F108,'FCST data'!$K:$K,$G108)</f>
        <v>0</v>
      </c>
      <c r="S108" s="181">
        <f>SUMIFS('FCST data'!V:V,'FCST data'!$D:$D,$F108,'FCST data'!$K:$K,$G108)</f>
        <v>0</v>
      </c>
      <c r="T108" s="181">
        <f>SUMIFS('FCST data'!W:W,'FCST data'!$D:$D,$F108,'FCST data'!$K:$K,$G108)</f>
        <v>0</v>
      </c>
      <c r="U108" s="181">
        <f>SUMIFS('FCST data'!X:X,'FCST data'!$D:$D,$F108,'FCST data'!$K:$K,$G108)</f>
        <v>0</v>
      </c>
      <c r="V108" s="181">
        <f>SUMIFS('FCST data'!Y:Y,'FCST data'!$D:$D,$F108,'FCST data'!$K:$K,$G108)</f>
        <v>0</v>
      </c>
      <c r="W108" s="181">
        <f>SUMIFS('FCST data'!Z:Z,'FCST data'!$D:$D,$F108,'FCST data'!$K:$K,$G108)</f>
        <v>0</v>
      </c>
      <c r="X108" s="181">
        <f>SUMIFS('FCST data'!AA:AA,'FCST data'!$D:$D,$F108,'FCST data'!$K:$K,$G108)</f>
        <v>0</v>
      </c>
      <c r="Y108" s="181">
        <f>SUMIFS('FCST data'!AB:AB,'FCST data'!$D:$D,$F108,'FCST data'!$K:$K,$G108)</f>
        <v>0</v>
      </c>
      <c r="Z108" s="148"/>
      <c r="AA108" s="17">
        <f>E108-Z109-Z110</f>
        <v>0</v>
      </c>
    </row>
    <row r="109" spans="3:27" ht="14.4" hidden="1">
      <c r="C109" s="283"/>
      <c r="D109" s="284"/>
      <c r="E109" s="285"/>
      <c r="F109" s="286" t="s">
        <v>296</v>
      </c>
      <c r="G109" s="286" t="s">
        <v>529</v>
      </c>
      <c r="H109" s="284" t="s">
        <v>2</v>
      </c>
      <c r="I109" s="284" t="s">
        <v>31</v>
      </c>
      <c r="J109" s="287" t="s">
        <v>285</v>
      </c>
      <c r="K109" s="209"/>
      <c r="L109" s="209"/>
      <c r="M109" s="362"/>
      <c r="N109" s="291"/>
      <c r="O109" s="291"/>
      <c r="P109" s="291"/>
      <c r="Q109" s="291"/>
      <c r="R109" s="291"/>
      <c r="S109" s="291"/>
      <c r="T109" s="291"/>
      <c r="U109" s="291"/>
      <c r="V109" s="291"/>
      <c r="W109" s="291"/>
      <c r="X109" s="291"/>
      <c r="Y109" s="291"/>
      <c r="Z109" s="177">
        <f>SUM(N109:Y109)</f>
        <v>0</v>
      </c>
    </row>
    <row r="110" spans="3:27" ht="14.4" hidden="1">
      <c r="C110" s="283"/>
      <c r="D110" s="284"/>
      <c r="E110" s="285"/>
      <c r="F110" s="286" t="s">
        <v>296</v>
      </c>
      <c r="G110" s="286" t="s">
        <v>529</v>
      </c>
      <c r="H110" s="284" t="s">
        <v>20</v>
      </c>
      <c r="I110" s="287" t="s">
        <v>31</v>
      </c>
      <c r="J110" s="287" t="s">
        <v>285</v>
      </c>
      <c r="K110" s="287"/>
      <c r="L110" s="160"/>
      <c r="M110" s="362"/>
      <c r="N110" s="291"/>
      <c r="O110" s="291"/>
      <c r="P110" s="291"/>
      <c r="Q110" s="291"/>
      <c r="R110" s="291"/>
      <c r="S110" s="291"/>
      <c r="T110" s="291"/>
      <c r="U110" s="291"/>
      <c r="V110" s="291"/>
      <c r="W110" s="291"/>
      <c r="X110" s="291"/>
      <c r="Y110" s="291"/>
      <c r="Z110" s="177">
        <f>SUM(N110:Y110)</f>
        <v>0</v>
      </c>
    </row>
    <row r="111" spans="3:27" ht="15.6" hidden="1">
      <c r="C111" s="314"/>
      <c r="D111" s="174" t="s">
        <v>22</v>
      </c>
      <c r="E111" s="181">
        <f>SUM(N111:Y111)</f>
        <v>450</v>
      </c>
      <c r="F111" s="175" t="s">
        <v>447</v>
      </c>
      <c r="G111" s="183" t="s">
        <v>710</v>
      </c>
      <c r="H111" s="181"/>
      <c r="I111" s="182"/>
      <c r="J111" s="182"/>
      <c r="K111" s="182"/>
      <c r="L111" s="182"/>
      <c r="M111" s="358"/>
      <c r="N111" s="181">
        <f>SUMIFS('FCST data'!Q:Q,'FCST data'!$D:$D,$F111,'FCST data'!$K:$K,$G111)</f>
        <v>50</v>
      </c>
      <c r="O111" s="181">
        <f>SUMIFS('FCST data'!R:R,'FCST data'!$D:$D,$F111,'FCST data'!$K:$K,$G111)</f>
        <v>100</v>
      </c>
      <c r="P111" s="181">
        <f>SUMIFS('FCST data'!S:S,'FCST data'!$D:$D,$F111,'FCST data'!$K:$K,$G111)</f>
        <v>0</v>
      </c>
      <c r="Q111" s="181">
        <f>SUMIFS('FCST data'!T:T,'FCST data'!$D:$D,$F111,'FCST data'!$K:$K,$G111)</f>
        <v>0</v>
      </c>
      <c r="R111" s="181">
        <f>SUMIFS('FCST data'!U:U,'FCST data'!$D:$D,$F111,'FCST data'!$K:$K,$G111)</f>
        <v>150</v>
      </c>
      <c r="S111" s="181">
        <f>SUMIFS('FCST data'!V:V,'FCST data'!$D:$D,$F111,'FCST data'!$K:$K,$G111)</f>
        <v>150</v>
      </c>
      <c r="T111" s="181">
        <f>SUMIFS('FCST data'!W:W,'FCST data'!$D:$D,$F111,'FCST data'!$K:$K,$G111)</f>
        <v>0</v>
      </c>
      <c r="U111" s="181">
        <f>SUMIFS('FCST data'!X:X,'FCST data'!$D:$D,$F111,'FCST data'!$K:$K,$G111)</f>
        <v>0</v>
      </c>
      <c r="V111" s="181">
        <f>SUMIFS('FCST data'!Y:Y,'FCST data'!$D:$D,$F111,'FCST data'!$K:$K,$G111)</f>
        <v>0</v>
      </c>
      <c r="W111" s="181">
        <f>SUMIFS('FCST data'!Z:Z,'FCST data'!$D:$D,$F111,'FCST data'!$K:$K,$G111)</f>
        <v>0</v>
      </c>
      <c r="X111" s="181">
        <f>SUMIFS('FCST data'!AA:AA,'FCST data'!$D:$D,$F111,'FCST data'!$K:$K,$G111)</f>
        <v>0</v>
      </c>
      <c r="Y111" s="181">
        <f>SUMIFS('FCST data'!AB:AB,'FCST data'!$D:$D,$F111,'FCST data'!$K:$K,$G111)</f>
        <v>0</v>
      </c>
      <c r="Z111" s="148"/>
      <c r="AA111" s="17">
        <f>E111-Z112-Z113</f>
        <v>0</v>
      </c>
    </row>
    <row r="112" spans="3:27" ht="14.4" hidden="1">
      <c r="C112" s="283"/>
      <c r="D112" s="284"/>
      <c r="E112" s="285"/>
      <c r="F112" s="286" t="s">
        <v>447</v>
      </c>
      <c r="G112" s="286" t="s">
        <v>710</v>
      </c>
      <c r="H112" s="284" t="s">
        <v>2</v>
      </c>
      <c r="I112" s="287" t="s">
        <v>31</v>
      </c>
      <c r="J112" s="287" t="s">
        <v>285</v>
      </c>
      <c r="K112" s="287"/>
      <c r="L112" s="160"/>
      <c r="M112" s="362"/>
      <c r="N112" s="291">
        <f>N111</f>
        <v>50</v>
      </c>
      <c r="O112" s="291">
        <f t="shared" ref="O112" si="90">O111</f>
        <v>100</v>
      </c>
      <c r="P112" s="291">
        <f t="shared" ref="P112" si="91">P111</f>
        <v>0</v>
      </c>
      <c r="Q112" s="291">
        <f t="shared" ref="Q112" si="92">Q111</f>
        <v>0</v>
      </c>
      <c r="R112" s="291">
        <f t="shared" ref="R112" si="93">R111</f>
        <v>150</v>
      </c>
      <c r="S112" s="291">
        <f t="shared" ref="S112:Y112" si="94">S111</f>
        <v>150</v>
      </c>
      <c r="T112" s="291">
        <f t="shared" si="94"/>
        <v>0</v>
      </c>
      <c r="U112" s="291">
        <f t="shared" si="94"/>
        <v>0</v>
      </c>
      <c r="V112" s="291">
        <f t="shared" si="94"/>
        <v>0</v>
      </c>
      <c r="W112" s="291">
        <f t="shared" si="94"/>
        <v>0</v>
      </c>
      <c r="X112" s="291">
        <f t="shared" si="94"/>
        <v>0</v>
      </c>
      <c r="Y112" s="291">
        <f t="shared" si="94"/>
        <v>0</v>
      </c>
      <c r="Z112" s="177">
        <f>SUM(N112:Y112)</f>
        <v>450</v>
      </c>
    </row>
    <row r="113" spans="3:27" ht="14.4" hidden="1">
      <c r="C113" s="283"/>
      <c r="D113" s="284"/>
      <c r="E113" s="285"/>
      <c r="F113" s="286" t="s">
        <v>447</v>
      </c>
      <c r="G113" s="286" t="s">
        <v>710</v>
      </c>
      <c r="H113" s="284" t="s">
        <v>20</v>
      </c>
      <c r="I113" s="287" t="s">
        <v>31</v>
      </c>
      <c r="J113" s="287" t="s">
        <v>285</v>
      </c>
      <c r="K113" s="287"/>
      <c r="L113" s="160"/>
      <c r="M113" s="362"/>
      <c r="N113" s="291"/>
      <c r="O113" s="291"/>
      <c r="P113" s="291"/>
      <c r="Q113" s="291"/>
      <c r="R113" s="291"/>
      <c r="S113" s="291"/>
      <c r="T113" s="291"/>
      <c r="U113" s="291"/>
      <c r="V113" s="291"/>
      <c r="W113" s="291"/>
      <c r="X113" s="291"/>
      <c r="Y113" s="291"/>
      <c r="Z113" s="177">
        <f>SUM(N113:Y113)</f>
        <v>0</v>
      </c>
    </row>
    <row r="114" spans="3:27" ht="15.6" hidden="1">
      <c r="C114" s="314"/>
      <c r="D114" s="174" t="s">
        <v>22</v>
      </c>
      <c r="E114" s="181">
        <f>SUM(N114:Y114)</f>
        <v>0</v>
      </c>
      <c r="F114" s="175" t="s">
        <v>448</v>
      </c>
      <c r="G114" s="183" t="s">
        <v>530</v>
      </c>
      <c r="H114" s="181"/>
      <c r="I114" s="182"/>
      <c r="J114" s="182"/>
      <c r="K114" s="182"/>
      <c r="L114" s="182"/>
      <c r="M114" s="358"/>
      <c r="N114" s="181">
        <f>SUMIFS('FCST data'!Q:Q,'FCST data'!$D:$D,$F114,'FCST data'!$K:$K,$G114)</f>
        <v>0</v>
      </c>
      <c r="O114" s="181">
        <f>SUMIFS('FCST data'!R:R,'FCST data'!$D:$D,$F114,'FCST data'!$K:$K,$G114)</f>
        <v>0</v>
      </c>
      <c r="P114" s="181">
        <f>SUMIFS('FCST data'!S:S,'FCST data'!$D:$D,$F114,'FCST data'!$K:$K,$G114)</f>
        <v>0</v>
      </c>
      <c r="Q114" s="181">
        <f>SUMIFS('FCST data'!T:T,'FCST data'!$D:$D,$F114,'FCST data'!$K:$K,$G114)</f>
        <v>0</v>
      </c>
      <c r="R114" s="181">
        <f>SUMIFS('FCST data'!U:U,'FCST data'!$D:$D,$F114,'FCST data'!$K:$K,$G114)</f>
        <v>0</v>
      </c>
      <c r="S114" s="181">
        <f>SUMIFS('FCST data'!V:V,'FCST data'!$D:$D,$F114,'FCST data'!$K:$K,$G114)</f>
        <v>0</v>
      </c>
      <c r="T114" s="181">
        <f>SUMIFS('FCST data'!W:W,'FCST data'!$D:$D,$F114,'FCST data'!$K:$K,$G114)</f>
        <v>0</v>
      </c>
      <c r="U114" s="181">
        <f>SUMIFS('FCST data'!X:X,'FCST data'!$D:$D,$F114,'FCST data'!$K:$K,$G114)</f>
        <v>0</v>
      </c>
      <c r="V114" s="181">
        <f>SUMIFS('FCST data'!Y:Y,'FCST data'!$D:$D,$F114,'FCST data'!$K:$K,$G114)</f>
        <v>0</v>
      </c>
      <c r="W114" s="181">
        <f>SUMIFS('FCST data'!Z:Z,'FCST data'!$D:$D,$F114,'FCST data'!$K:$K,$G114)</f>
        <v>0</v>
      </c>
      <c r="X114" s="181">
        <f>SUMIFS('FCST data'!AA:AA,'FCST data'!$D:$D,$F114,'FCST data'!$K:$K,$G114)</f>
        <v>0</v>
      </c>
      <c r="Y114" s="181">
        <f>SUMIFS('FCST data'!AB:AB,'FCST data'!$D:$D,$F114,'FCST data'!$K:$K,$G114)</f>
        <v>0</v>
      </c>
      <c r="Z114" s="148"/>
      <c r="AA114" s="17">
        <f>E114-Z115-Z116</f>
        <v>0</v>
      </c>
    </row>
    <row r="115" spans="3:27" ht="14.4" hidden="1">
      <c r="C115" s="283"/>
      <c r="D115" s="284"/>
      <c r="E115" s="285"/>
      <c r="F115" s="286" t="s">
        <v>448</v>
      </c>
      <c r="G115" s="286" t="s">
        <v>530</v>
      </c>
      <c r="H115" s="284" t="s">
        <v>2</v>
      </c>
      <c r="I115" s="287" t="s">
        <v>31</v>
      </c>
      <c r="J115" s="287" t="s">
        <v>285</v>
      </c>
      <c r="K115" s="287"/>
      <c r="L115" s="160"/>
      <c r="M115" s="362"/>
      <c r="N115" s="291"/>
      <c r="O115" s="291"/>
      <c r="P115" s="291"/>
      <c r="Q115" s="291"/>
      <c r="R115" s="291"/>
      <c r="S115" s="291"/>
      <c r="T115" s="291"/>
      <c r="U115" s="291"/>
      <c r="V115" s="291"/>
      <c r="W115" s="291"/>
      <c r="X115" s="291"/>
      <c r="Y115" s="291"/>
      <c r="Z115" s="177">
        <f>SUM(N115:Y115)</f>
        <v>0</v>
      </c>
    </row>
    <row r="116" spans="3:27" ht="14.4" hidden="1">
      <c r="C116" s="283"/>
      <c r="D116" s="284"/>
      <c r="E116" s="285"/>
      <c r="F116" s="286" t="s">
        <v>448</v>
      </c>
      <c r="G116" s="286" t="s">
        <v>530</v>
      </c>
      <c r="H116" s="284" t="s">
        <v>20</v>
      </c>
      <c r="I116" s="287" t="s">
        <v>31</v>
      </c>
      <c r="J116" s="287" t="s">
        <v>285</v>
      </c>
      <c r="K116" s="287"/>
      <c r="L116" s="160"/>
      <c r="M116" s="362"/>
      <c r="N116" s="291"/>
      <c r="O116" s="291"/>
      <c r="P116" s="291"/>
      <c r="Q116" s="291"/>
      <c r="R116" s="291"/>
      <c r="S116" s="291"/>
      <c r="T116" s="291"/>
      <c r="U116" s="291"/>
      <c r="V116" s="291"/>
      <c r="W116" s="291"/>
      <c r="X116" s="291"/>
      <c r="Y116" s="291"/>
      <c r="Z116" s="177">
        <f>SUM(N116:Y116)</f>
        <v>0</v>
      </c>
    </row>
    <row r="117" spans="3:27" ht="15.6" hidden="1">
      <c r="C117" s="314" t="s">
        <v>771</v>
      </c>
      <c r="D117" s="174" t="s">
        <v>22</v>
      </c>
      <c r="E117" s="181">
        <f>SUM(N117:Y117)</f>
        <v>4450</v>
      </c>
      <c r="F117" s="175" t="s">
        <v>767</v>
      </c>
      <c r="G117" s="175" t="s">
        <v>1063</v>
      </c>
      <c r="H117" s="181"/>
      <c r="I117" s="182"/>
      <c r="J117" s="182"/>
      <c r="K117" s="182"/>
      <c r="L117" s="182"/>
      <c r="M117" s="358"/>
      <c r="N117" s="181">
        <f>SUMIFS('FCST data'!Q:Q,'FCST data'!$D:$D,$F117,'FCST data'!$K:$K,$G117)</f>
        <v>250</v>
      </c>
      <c r="O117" s="181">
        <f>SUMIFS('FCST data'!R:R,'FCST data'!$D:$D,$F117,'FCST data'!$K:$K,$G117)</f>
        <v>350</v>
      </c>
      <c r="P117" s="181">
        <f>SUMIFS('FCST data'!S:S,'FCST data'!$D:$D,$F117,'FCST data'!$K:$K,$G117)</f>
        <v>550</v>
      </c>
      <c r="Q117" s="181">
        <f>SUMIFS('FCST data'!T:T,'FCST data'!$D:$D,$F117,'FCST data'!$K:$K,$G117)</f>
        <v>700</v>
      </c>
      <c r="R117" s="181">
        <f>SUMIFS('FCST data'!U:U,'FCST data'!$D:$D,$F117,'FCST data'!$K:$K,$G117)</f>
        <v>450</v>
      </c>
      <c r="S117" s="181">
        <f>SUMIFS('FCST data'!V:V,'FCST data'!$D:$D,$F117,'FCST data'!$K:$K,$G117)</f>
        <v>600</v>
      </c>
      <c r="T117" s="181">
        <f>SUMIFS('FCST data'!W:W,'FCST data'!$D:$D,$F117,'FCST data'!$K:$K,$G117)</f>
        <v>450</v>
      </c>
      <c r="U117" s="181">
        <f>SUMIFS('FCST data'!X:X,'FCST data'!$D:$D,$F117,'FCST data'!$K:$K,$G117)</f>
        <v>550</v>
      </c>
      <c r="V117" s="181">
        <f>SUMIFS('FCST data'!Y:Y,'FCST data'!$D:$D,$F117,'FCST data'!$K:$K,$G117)</f>
        <v>550</v>
      </c>
      <c r="W117" s="181">
        <f>SUMIFS('FCST data'!Z:Z,'FCST data'!$D:$D,$F117,'FCST data'!$K:$K,$G117)</f>
        <v>0</v>
      </c>
      <c r="X117" s="181">
        <f>SUMIFS('FCST data'!AA:AA,'FCST data'!$D:$D,$F117,'FCST data'!$K:$K,$G117)</f>
        <v>0</v>
      </c>
      <c r="Y117" s="181">
        <f>SUMIFS('FCST data'!AB:AB,'FCST data'!$D:$D,$F117,'FCST data'!$K:$K,$G117)</f>
        <v>0</v>
      </c>
      <c r="Z117" s="148"/>
      <c r="AA117" s="17">
        <f>E117-Z118-Z119</f>
        <v>0</v>
      </c>
    </row>
    <row r="118" spans="3:27" ht="14.4" hidden="1">
      <c r="C118" s="283"/>
      <c r="D118" s="284"/>
      <c r="E118" s="285"/>
      <c r="F118" s="286" t="s">
        <v>767</v>
      </c>
      <c r="G118" s="286" t="s">
        <v>1063</v>
      </c>
      <c r="H118" s="284" t="s">
        <v>2</v>
      </c>
      <c r="I118" s="287" t="s">
        <v>31</v>
      </c>
      <c r="J118" s="287" t="s">
        <v>285</v>
      </c>
      <c r="K118" s="287"/>
      <c r="L118" s="160"/>
      <c r="M118" s="362"/>
      <c r="N118" s="291">
        <f>N117</f>
        <v>250</v>
      </c>
      <c r="O118" s="291">
        <f t="shared" ref="O118" si="95">O117</f>
        <v>350</v>
      </c>
      <c r="P118" s="291">
        <f t="shared" ref="P118" si="96">P117</f>
        <v>550</v>
      </c>
      <c r="Q118" s="291">
        <f t="shared" ref="Q118" si="97">Q117</f>
        <v>700</v>
      </c>
      <c r="R118" s="291">
        <f t="shared" ref="R118:Y118" si="98">R117</f>
        <v>450</v>
      </c>
      <c r="S118" s="291">
        <f t="shared" si="98"/>
        <v>600</v>
      </c>
      <c r="T118" s="291">
        <f t="shared" si="98"/>
        <v>450</v>
      </c>
      <c r="U118" s="291">
        <f t="shared" si="98"/>
        <v>550</v>
      </c>
      <c r="V118" s="291">
        <f t="shared" si="98"/>
        <v>550</v>
      </c>
      <c r="W118" s="291">
        <f t="shared" si="98"/>
        <v>0</v>
      </c>
      <c r="X118" s="291">
        <f t="shared" si="98"/>
        <v>0</v>
      </c>
      <c r="Y118" s="291">
        <f t="shared" si="98"/>
        <v>0</v>
      </c>
      <c r="Z118" s="177">
        <f>SUM(N118:Y118)</f>
        <v>4450</v>
      </c>
    </row>
    <row r="119" spans="3:27" ht="14.4" hidden="1">
      <c r="C119" s="283"/>
      <c r="D119" s="284"/>
      <c r="E119" s="285"/>
      <c r="F119" s="286" t="s">
        <v>767</v>
      </c>
      <c r="G119" s="286" t="s">
        <v>1063</v>
      </c>
      <c r="H119" s="284" t="s">
        <v>20</v>
      </c>
      <c r="I119" s="287" t="s">
        <v>31</v>
      </c>
      <c r="J119" s="287" t="s">
        <v>285</v>
      </c>
      <c r="K119" s="287"/>
      <c r="L119" s="160"/>
      <c r="M119" s="362"/>
      <c r="N119" s="291"/>
      <c r="O119" s="291"/>
      <c r="P119" s="291"/>
      <c r="Q119" s="291"/>
      <c r="R119" s="291"/>
      <c r="S119" s="291"/>
      <c r="T119" s="291"/>
      <c r="U119" s="291"/>
      <c r="V119" s="291"/>
      <c r="W119" s="291"/>
      <c r="X119" s="291"/>
      <c r="Y119" s="291"/>
      <c r="Z119" s="177">
        <f>SUM(N119:Y119)</f>
        <v>0</v>
      </c>
    </row>
    <row r="120" spans="3:27" ht="15.6" hidden="1">
      <c r="C120" s="314" t="s">
        <v>771</v>
      </c>
      <c r="D120" s="174" t="s">
        <v>22</v>
      </c>
      <c r="E120" s="181">
        <f>SUM(N120:Y120)</f>
        <v>300</v>
      </c>
      <c r="F120" s="175" t="s">
        <v>775</v>
      </c>
      <c r="G120" s="175" t="s">
        <v>783</v>
      </c>
      <c r="H120" s="181"/>
      <c r="I120" s="182"/>
      <c r="J120" s="182"/>
      <c r="K120" s="182"/>
      <c r="L120" s="182"/>
      <c r="M120" s="358"/>
      <c r="N120" s="181">
        <f>SUMIFS('FCST data'!Q:Q,'FCST data'!$D:$D,$F120,'FCST data'!$K:$K,$G120)</f>
        <v>0</v>
      </c>
      <c r="O120" s="181">
        <f>SUMIFS('FCST data'!R:R,'FCST data'!$D:$D,$F120,'FCST data'!$K:$K,$G120)</f>
        <v>200</v>
      </c>
      <c r="P120" s="181">
        <f>SUMIFS('FCST data'!S:S,'FCST data'!$D:$D,$F120,'FCST data'!$K:$K,$G120)</f>
        <v>0</v>
      </c>
      <c r="Q120" s="181">
        <f>SUMIFS('FCST data'!T:T,'FCST data'!$D:$D,$F120,'FCST data'!$K:$K,$G120)</f>
        <v>100</v>
      </c>
      <c r="R120" s="181">
        <f>SUMIFS('FCST data'!U:U,'FCST data'!$D:$D,$F120,'FCST data'!$K:$K,$G120)</f>
        <v>0</v>
      </c>
      <c r="S120" s="181">
        <f>SUMIFS('FCST data'!V:V,'FCST data'!$D:$D,$F120,'FCST data'!$K:$K,$G120)</f>
        <v>0</v>
      </c>
      <c r="T120" s="181">
        <f>SUMIFS('FCST data'!W:W,'FCST data'!$D:$D,$F120,'FCST data'!$K:$K,$G120)</f>
        <v>0</v>
      </c>
      <c r="U120" s="181">
        <f>SUMIFS('FCST data'!X:X,'FCST data'!$D:$D,$F120,'FCST data'!$K:$K,$G120)</f>
        <v>0</v>
      </c>
      <c r="V120" s="181">
        <f>SUMIFS('FCST data'!Y:Y,'FCST data'!$D:$D,$F120,'FCST data'!$K:$K,$G120)</f>
        <v>0</v>
      </c>
      <c r="W120" s="181">
        <f>SUMIFS('FCST data'!Z:Z,'FCST data'!$D:$D,$F120,'FCST data'!$K:$K,$G120)</f>
        <v>0</v>
      </c>
      <c r="X120" s="181">
        <f>SUMIFS('FCST data'!AA:AA,'FCST data'!$D:$D,$F120,'FCST data'!$K:$K,$G120)</f>
        <v>0</v>
      </c>
      <c r="Y120" s="181">
        <f>SUMIFS('FCST data'!AB:AB,'FCST data'!$D:$D,$F120,'FCST data'!$K:$K,$G120)</f>
        <v>0</v>
      </c>
      <c r="Z120" s="148"/>
      <c r="AA120" s="17">
        <f>E120-Z121-Z122</f>
        <v>0</v>
      </c>
    </row>
    <row r="121" spans="3:27" ht="14.4" hidden="1">
      <c r="C121" s="283"/>
      <c r="D121" s="284"/>
      <c r="E121" s="285"/>
      <c r="F121" s="286" t="s">
        <v>775</v>
      </c>
      <c r="G121" s="286" t="s">
        <v>783</v>
      </c>
      <c r="H121" s="284" t="s">
        <v>2</v>
      </c>
      <c r="I121" s="287" t="s">
        <v>31</v>
      </c>
      <c r="J121" s="287" t="s">
        <v>285</v>
      </c>
      <c r="K121" s="287"/>
      <c r="L121" s="160"/>
      <c r="M121" s="362"/>
      <c r="N121" s="291">
        <f>N120</f>
        <v>0</v>
      </c>
      <c r="O121" s="291">
        <f t="shared" ref="O121" si="99">O120</f>
        <v>200</v>
      </c>
      <c r="P121" s="291">
        <f t="shared" ref="P121" si="100">P120</f>
        <v>0</v>
      </c>
      <c r="Q121" s="291">
        <f t="shared" ref="Q121" si="101">Q120</f>
        <v>100</v>
      </c>
      <c r="R121" s="291">
        <f t="shared" ref="R121" si="102">R120</f>
        <v>0</v>
      </c>
      <c r="S121" s="291">
        <f t="shared" ref="S121:Y121" si="103">S120</f>
        <v>0</v>
      </c>
      <c r="T121" s="291">
        <f t="shared" si="103"/>
        <v>0</v>
      </c>
      <c r="U121" s="291">
        <f t="shared" si="103"/>
        <v>0</v>
      </c>
      <c r="V121" s="291">
        <f t="shared" si="103"/>
        <v>0</v>
      </c>
      <c r="W121" s="291">
        <f t="shared" si="103"/>
        <v>0</v>
      </c>
      <c r="X121" s="291">
        <f t="shared" si="103"/>
        <v>0</v>
      </c>
      <c r="Y121" s="291">
        <f t="shared" si="103"/>
        <v>0</v>
      </c>
      <c r="Z121" s="177">
        <f>SUM(N121:Y121)</f>
        <v>300</v>
      </c>
    </row>
    <row r="122" spans="3:27" ht="14.4" hidden="1">
      <c r="C122" s="283"/>
      <c r="D122" s="284"/>
      <c r="E122" s="285"/>
      <c r="F122" s="286" t="s">
        <v>775</v>
      </c>
      <c r="G122" s="286" t="s">
        <v>783</v>
      </c>
      <c r="H122" s="284" t="s">
        <v>20</v>
      </c>
      <c r="I122" s="287" t="s">
        <v>31</v>
      </c>
      <c r="J122" s="287" t="s">
        <v>285</v>
      </c>
      <c r="K122" s="287"/>
      <c r="L122" s="160"/>
      <c r="M122" s="362"/>
      <c r="N122" s="291"/>
      <c r="O122" s="291"/>
      <c r="P122" s="291"/>
      <c r="Q122" s="291"/>
      <c r="R122" s="291"/>
      <c r="S122" s="291"/>
      <c r="T122" s="291"/>
      <c r="U122" s="291"/>
      <c r="V122" s="291"/>
      <c r="W122" s="291"/>
      <c r="X122" s="291"/>
      <c r="Y122" s="291"/>
      <c r="Z122" s="177">
        <f>SUM(N122:Y122)</f>
        <v>0</v>
      </c>
    </row>
    <row r="123" spans="3:27" ht="15.6" hidden="1">
      <c r="C123" s="314" t="s">
        <v>771</v>
      </c>
      <c r="D123" s="174" t="s">
        <v>22</v>
      </c>
      <c r="E123" s="181">
        <f>SUM(N123:Y123)</f>
        <v>300</v>
      </c>
      <c r="F123" s="175" t="s">
        <v>766</v>
      </c>
      <c r="G123" s="175" t="s">
        <v>1064</v>
      </c>
      <c r="H123" s="181"/>
      <c r="I123" s="182"/>
      <c r="J123" s="182"/>
      <c r="K123" s="182"/>
      <c r="L123" s="182"/>
      <c r="M123" s="358"/>
      <c r="N123" s="181">
        <f>SUMIFS('FCST data'!Q:Q,'FCST data'!$D:$D,$F123,'FCST data'!$K:$K,$G123)</f>
        <v>0</v>
      </c>
      <c r="O123" s="181">
        <f>SUMIFS('FCST data'!R:R,'FCST data'!$D:$D,$F123,'FCST data'!$K:$K,$G123)</f>
        <v>200</v>
      </c>
      <c r="P123" s="181">
        <f>SUMIFS('FCST data'!S:S,'FCST data'!$D:$D,$F123,'FCST data'!$K:$K,$G123)</f>
        <v>0</v>
      </c>
      <c r="Q123" s="181">
        <f>SUMIFS('FCST data'!T:T,'FCST data'!$D:$D,$F123,'FCST data'!$K:$K,$G123)</f>
        <v>100</v>
      </c>
      <c r="R123" s="181">
        <f>SUMIFS('FCST data'!U:U,'FCST data'!$D:$D,$F123,'FCST data'!$K:$K,$G123)</f>
        <v>0</v>
      </c>
      <c r="S123" s="181">
        <f>SUMIFS('FCST data'!V:V,'FCST data'!$D:$D,$F123,'FCST data'!$K:$K,$G123)</f>
        <v>0</v>
      </c>
      <c r="T123" s="181">
        <f>SUMIFS('FCST data'!W:W,'FCST data'!$D:$D,$F123,'FCST data'!$K:$K,$G123)</f>
        <v>0</v>
      </c>
      <c r="U123" s="181">
        <f>SUMIFS('FCST data'!X:X,'FCST data'!$D:$D,$F123,'FCST data'!$K:$K,$G123)</f>
        <v>0</v>
      </c>
      <c r="V123" s="181">
        <f>SUMIFS('FCST data'!Y:Y,'FCST data'!$D:$D,$F123,'FCST data'!$K:$K,$G123)</f>
        <v>0</v>
      </c>
      <c r="W123" s="181">
        <f>SUMIFS('FCST data'!Z:Z,'FCST data'!$D:$D,$F123,'FCST data'!$K:$K,$G123)</f>
        <v>0</v>
      </c>
      <c r="X123" s="181">
        <f>SUMIFS('FCST data'!AA:AA,'FCST data'!$D:$D,$F123,'FCST data'!$K:$K,$G123)</f>
        <v>0</v>
      </c>
      <c r="Y123" s="181">
        <f>SUMIFS('FCST data'!AB:AB,'FCST data'!$D:$D,$F123,'FCST data'!$K:$K,$G123)</f>
        <v>0</v>
      </c>
      <c r="Z123" s="148"/>
      <c r="AA123" s="17">
        <f>E123-Z124-Z125</f>
        <v>0</v>
      </c>
    </row>
    <row r="124" spans="3:27" ht="14.4" hidden="1">
      <c r="C124" s="283"/>
      <c r="D124" s="284"/>
      <c r="E124" s="285"/>
      <c r="F124" s="286" t="s">
        <v>766</v>
      </c>
      <c r="G124" s="286" t="s">
        <v>1064</v>
      </c>
      <c r="H124" s="284" t="s">
        <v>2</v>
      </c>
      <c r="I124" s="287" t="s">
        <v>31</v>
      </c>
      <c r="J124" s="287" t="s">
        <v>285</v>
      </c>
      <c r="K124" s="287"/>
      <c r="L124" s="160"/>
      <c r="M124" s="362"/>
      <c r="N124" s="291">
        <f>N123</f>
        <v>0</v>
      </c>
      <c r="O124" s="291">
        <f t="shared" ref="O124" si="104">O123</f>
        <v>200</v>
      </c>
      <c r="P124" s="291">
        <f t="shared" ref="P124" si="105">P123</f>
        <v>0</v>
      </c>
      <c r="Q124" s="291">
        <f t="shared" ref="Q124" si="106">Q123</f>
        <v>100</v>
      </c>
      <c r="R124" s="291">
        <f t="shared" ref="R124" si="107">R123</f>
        <v>0</v>
      </c>
      <c r="S124" s="291">
        <f t="shared" ref="S124:Y124" si="108">S123</f>
        <v>0</v>
      </c>
      <c r="T124" s="291">
        <f t="shared" si="108"/>
        <v>0</v>
      </c>
      <c r="U124" s="291">
        <f t="shared" si="108"/>
        <v>0</v>
      </c>
      <c r="V124" s="291">
        <f t="shared" si="108"/>
        <v>0</v>
      </c>
      <c r="W124" s="291">
        <f t="shared" si="108"/>
        <v>0</v>
      </c>
      <c r="X124" s="291">
        <f t="shared" si="108"/>
        <v>0</v>
      </c>
      <c r="Y124" s="291">
        <f t="shared" si="108"/>
        <v>0</v>
      </c>
      <c r="Z124" s="177">
        <f>SUM(N124:Y124)</f>
        <v>300</v>
      </c>
    </row>
    <row r="125" spans="3:27" ht="14.4" hidden="1">
      <c r="C125" s="283"/>
      <c r="D125" s="284"/>
      <c r="E125" s="285"/>
      <c r="F125" s="286" t="s">
        <v>766</v>
      </c>
      <c r="G125" s="286" t="s">
        <v>1064</v>
      </c>
      <c r="H125" s="284" t="s">
        <v>20</v>
      </c>
      <c r="I125" s="287" t="s">
        <v>31</v>
      </c>
      <c r="J125" s="287" t="s">
        <v>285</v>
      </c>
      <c r="K125" s="287"/>
      <c r="L125" s="160"/>
      <c r="M125" s="362"/>
      <c r="N125" s="291"/>
      <c r="O125" s="291"/>
      <c r="P125" s="291"/>
      <c r="Q125" s="291"/>
      <c r="R125" s="291"/>
      <c r="S125" s="291"/>
      <c r="T125" s="291"/>
      <c r="U125" s="291"/>
      <c r="V125" s="291"/>
      <c r="W125" s="291"/>
      <c r="X125" s="291"/>
      <c r="Y125" s="291"/>
      <c r="Z125" s="177">
        <f>SUM(N125:Y125)</f>
        <v>0</v>
      </c>
    </row>
    <row r="126" spans="3:27" ht="15.6" hidden="1">
      <c r="C126" s="314" t="s">
        <v>771</v>
      </c>
      <c r="D126" s="174" t="s">
        <v>22</v>
      </c>
      <c r="E126" s="181">
        <f>SUM(N126:Y126)</f>
        <v>40700</v>
      </c>
      <c r="F126" s="175" t="s">
        <v>875</v>
      </c>
      <c r="G126" s="175" t="s">
        <v>365</v>
      </c>
      <c r="H126" s="181"/>
      <c r="I126" s="182"/>
      <c r="J126" s="182"/>
      <c r="K126" s="182"/>
      <c r="L126" s="182"/>
      <c r="M126" s="358"/>
      <c r="N126" s="181">
        <f>SUMIFS('FCST data'!Q:Q,'FCST data'!$D:$D,$F126,'FCST data'!$K:$K,$G126)</f>
        <v>0</v>
      </c>
      <c r="O126" s="181">
        <f>SUMIFS('FCST data'!R:R,'FCST data'!$D:$D,$F126,'FCST data'!$K:$K,$G126)</f>
        <v>0</v>
      </c>
      <c r="P126" s="181">
        <f>SUMIFS('FCST data'!S:S,'FCST data'!$D:$D,$F126,'FCST data'!$K:$K,$G126)</f>
        <v>0</v>
      </c>
      <c r="Q126" s="181">
        <f>SUMIFS('FCST data'!T:T,'FCST data'!$D:$D,$F126,'FCST data'!$K:$K,$G126)</f>
        <v>8500</v>
      </c>
      <c r="R126" s="181">
        <f>SUMIFS('FCST data'!U:U,'FCST data'!$D:$D,$F126,'FCST data'!$K:$K,$G126)</f>
        <v>8400</v>
      </c>
      <c r="S126" s="181">
        <f>SUMIFS('FCST data'!V:V,'FCST data'!$D:$D,$F126,'FCST data'!$K:$K,$G126)</f>
        <v>8500</v>
      </c>
      <c r="T126" s="181">
        <f>SUMIFS('FCST data'!W:W,'FCST data'!$D:$D,$F126,'FCST data'!$K:$K,$G126)</f>
        <v>7100</v>
      </c>
      <c r="U126" s="181">
        <f>SUMIFS('FCST data'!X:X,'FCST data'!$D:$D,$F126,'FCST data'!$K:$K,$G126)</f>
        <v>4100</v>
      </c>
      <c r="V126" s="181">
        <f>SUMIFS('FCST data'!Y:Y,'FCST data'!$D:$D,$F126,'FCST data'!$K:$K,$G126)</f>
        <v>4100</v>
      </c>
      <c r="W126" s="181">
        <f>SUMIFS('FCST data'!Z:Z,'FCST data'!$D:$D,$F126,'FCST data'!$K:$K,$G126)</f>
        <v>0</v>
      </c>
      <c r="X126" s="181">
        <f>SUMIFS('FCST data'!AA:AA,'FCST data'!$D:$D,$F126,'FCST data'!$K:$K,$G126)</f>
        <v>0</v>
      </c>
      <c r="Y126" s="181">
        <f>SUMIFS('FCST data'!AB:AB,'FCST data'!$D:$D,$F126,'FCST data'!$K:$K,$G126)</f>
        <v>0</v>
      </c>
      <c r="Z126" s="148"/>
      <c r="AA126" s="17">
        <f>E126-Z127-Z128</f>
        <v>0</v>
      </c>
    </row>
    <row r="127" spans="3:27" ht="14.4" hidden="1">
      <c r="C127" s="283"/>
      <c r="D127" s="284"/>
      <c r="E127" s="285"/>
      <c r="F127" s="286" t="s">
        <v>875</v>
      </c>
      <c r="G127" s="286" t="s">
        <v>365</v>
      </c>
      <c r="H127" s="284" t="s">
        <v>2</v>
      </c>
      <c r="I127" s="287" t="s">
        <v>31</v>
      </c>
      <c r="J127" s="287" t="s">
        <v>285</v>
      </c>
      <c r="K127" s="287"/>
      <c r="L127" s="160"/>
      <c r="M127" s="362"/>
      <c r="N127" s="291">
        <f>N126</f>
        <v>0</v>
      </c>
      <c r="O127" s="291">
        <f t="shared" ref="O127:Y127" si="109">O126</f>
        <v>0</v>
      </c>
      <c r="P127" s="291">
        <f t="shared" si="109"/>
        <v>0</v>
      </c>
      <c r="Q127" s="291">
        <f t="shared" si="109"/>
        <v>8500</v>
      </c>
      <c r="R127" s="291">
        <f t="shared" si="109"/>
        <v>8400</v>
      </c>
      <c r="S127" s="291">
        <f t="shared" si="109"/>
        <v>8500</v>
      </c>
      <c r="T127" s="291">
        <f t="shared" si="109"/>
        <v>7100</v>
      </c>
      <c r="U127" s="291">
        <f t="shared" si="109"/>
        <v>4100</v>
      </c>
      <c r="V127" s="291">
        <f t="shared" si="109"/>
        <v>4100</v>
      </c>
      <c r="W127" s="291">
        <f t="shared" si="109"/>
        <v>0</v>
      </c>
      <c r="X127" s="291">
        <f t="shared" si="109"/>
        <v>0</v>
      </c>
      <c r="Y127" s="291">
        <f t="shared" si="109"/>
        <v>0</v>
      </c>
      <c r="Z127" s="177">
        <f>SUM(N127:Y127)</f>
        <v>40700</v>
      </c>
    </row>
    <row r="128" spans="3:27" ht="14.4" hidden="1">
      <c r="C128" s="283"/>
      <c r="D128" s="284"/>
      <c r="E128" s="285"/>
      <c r="F128" s="286" t="s">
        <v>875</v>
      </c>
      <c r="G128" s="286" t="s">
        <v>365</v>
      </c>
      <c r="H128" s="284" t="s">
        <v>20</v>
      </c>
      <c r="I128" s="287" t="s">
        <v>31</v>
      </c>
      <c r="J128" s="287" t="s">
        <v>285</v>
      </c>
      <c r="K128" s="287"/>
      <c r="L128" s="160"/>
      <c r="M128" s="362"/>
      <c r="N128" s="291"/>
      <c r="O128" s="291"/>
      <c r="P128" s="291"/>
      <c r="Q128" s="291"/>
      <c r="R128" s="291"/>
      <c r="S128" s="291"/>
      <c r="T128" s="291"/>
      <c r="U128" s="291"/>
      <c r="V128" s="291"/>
      <c r="W128" s="291"/>
      <c r="X128" s="291"/>
      <c r="Y128" s="291"/>
      <c r="Z128" s="177">
        <f>SUM(N128:Y128)</f>
        <v>0</v>
      </c>
    </row>
    <row r="129" spans="3:27" ht="15.6" hidden="1">
      <c r="C129" s="314" t="s">
        <v>771</v>
      </c>
      <c r="D129" s="174" t="s">
        <v>22</v>
      </c>
      <c r="E129" s="181">
        <f>SUM(N129:Y129)</f>
        <v>48150</v>
      </c>
      <c r="F129" s="175" t="s">
        <v>875</v>
      </c>
      <c r="G129" s="175" t="s">
        <v>373</v>
      </c>
      <c r="H129" s="181"/>
      <c r="I129" s="182"/>
      <c r="J129" s="182"/>
      <c r="K129" s="182"/>
      <c r="L129" s="182"/>
      <c r="M129" s="358"/>
      <c r="N129" s="181">
        <f>SUMIFS('FCST data'!Q:Q,'FCST data'!$D:$D,$F129,'FCST data'!$K:$K,$G129)</f>
        <v>0</v>
      </c>
      <c r="O129" s="181">
        <f>SUMIFS('FCST data'!R:R,'FCST data'!$D:$D,$F129,'FCST data'!$K:$K,$G129)</f>
        <v>0</v>
      </c>
      <c r="P129" s="181">
        <f>SUMIFS('FCST data'!S:S,'FCST data'!$D:$D,$F129,'FCST data'!$K:$K,$G129)</f>
        <v>0</v>
      </c>
      <c r="Q129" s="181">
        <f>SUMIFS('FCST data'!T:T,'FCST data'!$D:$D,$F129,'FCST data'!$K:$K,$G129)</f>
        <v>2100</v>
      </c>
      <c r="R129" s="181">
        <f>SUMIFS('FCST data'!U:U,'FCST data'!$D:$D,$F129,'FCST data'!$K:$K,$G129)</f>
        <v>7800</v>
      </c>
      <c r="S129" s="181">
        <f>SUMIFS('FCST data'!V:V,'FCST data'!$D:$D,$F129,'FCST data'!$K:$K,$G129)</f>
        <v>7800</v>
      </c>
      <c r="T129" s="181">
        <f>SUMIFS('FCST data'!W:W,'FCST data'!$D:$D,$F129,'FCST data'!$K:$K,$G129)</f>
        <v>10150</v>
      </c>
      <c r="U129" s="181">
        <f>SUMIFS('FCST data'!X:X,'FCST data'!$D:$D,$F129,'FCST data'!$K:$K,$G129)</f>
        <v>10150</v>
      </c>
      <c r="V129" s="181">
        <f>SUMIFS('FCST data'!Y:Y,'FCST data'!$D:$D,$F129,'FCST data'!$K:$K,$G129)</f>
        <v>10150</v>
      </c>
      <c r="W129" s="181">
        <f>SUMIFS('FCST data'!Z:Z,'FCST data'!$D:$D,$F129,'FCST data'!$K:$K,$G129)</f>
        <v>0</v>
      </c>
      <c r="X129" s="181">
        <f>SUMIFS('FCST data'!AA:AA,'FCST data'!$D:$D,$F129,'FCST data'!$K:$K,$G129)</f>
        <v>0</v>
      </c>
      <c r="Y129" s="181">
        <f>SUMIFS('FCST data'!AB:AB,'FCST data'!$D:$D,$F129,'FCST data'!$K:$K,$G129)</f>
        <v>0</v>
      </c>
      <c r="Z129" s="148"/>
      <c r="AA129" s="17">
        <f>E129-Z130-Z131</f>
        <v>0</v>
      </c>
    </row>
    <row r="130" spans="3:27" ht="14.4" hidden="1">
      <c r="C130" s="283"/>
      <c r="D130" s="284"/>
      <c r="E130" s="285"/>
      <c r="F130" s="286" t="s">
        <v>875</v>
      </c>
      <c r="G130" s="286" t="s">
        <v>373</v>
      </c>
      <c r="H130" s="284" t="s">
        <v>2</v>
      </c>
      <c r="I130" s="287" t="s">
        <v>31</v>
      </c>
      <c r="J130" s="287" t="s">
        <v>285</v>
      </c>
      <c r="K130" s="287"/>
      <c r="L130" s="160"/>
      <c r="M130" s="362"/>
      <c r="N130" s="291">
        <f>N129</f>
        <v>0</v>
      </c>
      <c r="O130" s="291">
        <f t="shared" ref="O130:Y130" si="110">O129</f>
        <v>0</v>
      </c>
      <c r="P130" s="291">
        <f t="shared" si="110"/>
        <v>0</v>
      </c>
      <c r="Q130" s="291">
        <f t="shared" si="110"/>
        <v>2100</v>
      </c>
      <c r="R130" s="291">
        <f t="shared" si="110"/>
        <v>7800</v>
      </c>
      <c r="S130" s="291">
        <f t="shared" si="110"/>
        <v>7800</v>
      </c>
      <c r="T130" s="291">
        <f t="shared" si="110"/>
        <v>10150</v>
      </c>
      <c r="U130" s="291">
        <f t="shared" si="110"/>
        <v>10150</v>
      </c>
      <c r="V130" s="291">
        <f t="shared" si="110"/>
        <v>10150</v>
      </c>
      <c r="W130" s="291">
        <f t="shared" si="110"/>
        <v>0</v>
      </c>
      <c r="X130" s="291">
        <f t="shared" si="110"/>
        <v>0</v>
      </c>
      <c r="Y130" s="291">
        <f t="shared" si="110"/>
        <v>0</v>
      </c>
      <c r="Z130" s="177">
        <f>SUM(N130:Y130)</f>
        <v>48150</v>
      </c>
    </row>
    <row r="131" spans="3:27" ht="14.4" hidden="1">
      <c r="C131" s="283"/>
      <c r="D131" s="284"/>
      <c r="E131" s="285"/>
      <c r="F131" s="286" t="s">
        <v>875</v>
      </c>
      <c r="G131" s="286" t="s">
        <v>373</v>
      </c>
      <c r="H131" s="284" t="s">
        <v>20</v>
      </c>
      <c r="I131" s="287" t="s">
        <v>31</v>
      </c>
      <c r="J131" s="287" t="s">
        <v>285</v>
      </c>
      <c r="K131" s="287"/>
      <c r="L131" s="160"/>
      <c r="M131" s="362"/>
      <c r="N131" s="291"/>
      <c r="O131" s="291"/>
      <c r="P131" s="291"/>
      <c r="Q131" s="291"/>
      <c r="R131" s="291"/>
      <c r="S131" s="291"/>
      <c r="T131" s="291"/>
      <c r="U131" s="291"/>
      <c r="V131" s="291"/>
      <c r="W131" s="291"/>
      <c r="X131" s="291"/>
      <c r="Y131" s="291"/>
      <c r="Z131" s="177">
        <f>SUM(N131:Y131)</f>
        <v>0</v>
      </c>
    </row>
    <row r="132" spans="3:27" ht="15.6" hidden="1">
      <c r="C132" s="314" t="s">
        <v>771</v>
      </c>
      <c r="D132" s="174" t="s">
        <v>22</v>
      </c>
      <c r="E132" s="181">
        <f>SUM(N132:Y132)</f>
        <v>1700</v>
      </c>
      <c r="F132" s="175" t="s">
        <v>876</v>
      </c>
      <c r="G132" s="175" t="s">
        <v>373</v>
      </c>
      <c r="H132" s="181"/>
      <c r="I132" s="182"/>
      <c r="J132" s="182"/>
      <c r="K132" s="182"/>
      <c r="L132" s="182"/>
      <c r="M132" s="358"/>
      <c r="N132" s="181">
        <f>SUMIFS('FCST data'!Q:Q,'FCST data'!$D:$D,$F132,'FCST data'!$K:$K,$G132)</f>
        <v>0</v>
      </c>
      <c r="O132" s="181">
        <f>SUMIFS('FCST data'!R:R,'FCST data'!$D:$D,$F132,'FCST data'!$K:$K,$G132)</f>
        <v>0</v>
      </c>
      <c r="P132" s="181">
        <f>SUMIFS('FCST data'!S:S,'FCST data'!$D:$D,$F132,'FCST data'!$K:$K,$G132)</f>
        <v>0</v>
      </c>
      <c r="Q132" s="181">
        <f>SUMIFS('FCST data'!T:T,'FCST data'!$D:$D,$F132,'FCST data'!$K:$K,$G132)</f>
        <v>300</v>
      </c>
      <c r="R132" s="181">
        <f>SUMIFS('FCST data'!U:U,'FCST data'!$D:$D,$F132,'FCST data'!$K:$K,$G132)</f>
        <v>300</v>
      </c>
      <c r="S132" s="181">
        <f>SUMIFS('FCST data'!V:V,'FCST data'!$D:$D,$F132,'FCST data'!$K:$K,$G132)</f>
        <v>300</v>
      </c>
      <c r="T132" s="181">
        <f>SUMIFS('FCST data'!W:W,'FCST data'!$D:$D,$F132,'FCST data'!$K:$K,$G132)</f>
        <v>200</v>
      </c>
      <c r="U132" s="181">
        <f>SUMIFS('FCST data'!X:X,'FCST data'!$D:$D,$F132,'FCST data'!$K:$K,$G132)</f>
        <v>300</v>
      </c>
      <c r="V132" s="181">
        <f>SUMIFS('FCST data'!Y:Y,'FCST data'!$D:$D,$F132,'FCST data'!$K:$K,$G132)</f>
        <v>300</v>
      </c>
      <c r="W132" s="181">
        <f>SUMIFS('FCST data'!Z:Z,'FCST data'!$D:$D,$F132,'FCST data'!$K:$K,$G132)</f>
        <v>0</v>
      </c>
      <c r="X132" s="181">
        <f>SUMIFS('FCST data'!AA:AA,'FCST data'!$D:$D,$F132,'FCST data'!$K:$K,$G132)</f>
        <v>0</v>
      </c>
      <c r="Y132" s="181">
        <f>SUMIFS('FCST data'!AB:AB,'FCST data'!$D:$D,$F132,'FCST data'!$K:$K,$G132)</f>
        <v>0</v>
      </c>
      <c r="Z132" s="148"/>
      <c r="AA132" s="17">
        <f>E132-Z133-Z134</f>
        <v>0</v>
      </c>
    </row>
    <row r="133" spans="3:27" ht="14.4" hidden="1">
      <c r="C133" s="283"/>
      <c r="D133" s="284"/>
      <c r="E133" s="285"/>
      <c r="F133" s="286" t="s">
        <v>876</v>
      </c>
      <c r="G133" s="286" t="s">
        <v>373</v>
      </c>
      <c r="H133" s="284" t="s">
        <v>2</v>
      </c>
      <c r="I133" s="287" t="s">
        <v>31</v>
      </c>
      <c r="J133" s="287" t="s">
        <v>285</v>
      </c>
      <c r="K133" s="287"/>
      <c r="L133" s="160"/>
      <c r="M133" s="362"/>
      <c r="N133" s="291">
        <f>N132</f>
        <v>0</v>
      </c>
      <c r="O133" s="291">
        <f t="shared" ref="O133:Y133" si="111">O132</f>
        <v>0</v>
      </c>
      <c r="P133" s="291">
        <f t="shared" si="111"/>
        <v>0</v>
      </c>
      <c r="Q133" s="291">
        <f t="shared" si="111"/>
        <v>300</v>
      </c>
      <c r="R133" s="291">
        <f t="shared" si="111"/>
        <v>300</v>
      </c>
      <c r="S133" s="291">
        <f t="shared" si="111"/>
        <v>300</v>
      </c>
      <c r="T133" s="291">
        <f t="shared" si="111"/>
        <v>200</v>
      </c>
      <c r="U133" s="291">
        <f t="shared" si="111"/>
        <v>300</v>
      </c>
      <c r="V133" s="291">
        <f t="shared" si="111"/>
        <v>300</v>
      </c>
      <c r="W133" s="291">
        <f t="shared" si="111"/>
        <v>0</v>
      </c>
      <c r="X133" s="291">
        <f t="shared" si="111"/>
        <v>0</v>
      </c>
      <c r="Y133" s="291">
        <f t="shared" si="111"/>
        <v>0</v>
      </c>
      <c r="Z133" s="177">
        <f>SUM(N133:Y133)</f>
        <v>1700</v>
      </c>
    </row>
    <row r="134" spans="3:27" ht="14.4" hidden="1">
      <c r="C134" s="283"/>
      <c r="D134" s="284"/>
      <c r="E134" s="285"/>
      <c r="F134" s="286" t="s">
        <v>876</v>
      </c>
      <c r="G134" s="286" t="s">
        <v>373</v>
      </c>
      <c r="H134" s="284" t="s">
        <v>20</v>
      </c>
      <c r="I134" s="287" t="s">
        <v>31</v>
      </c>
      <c r="J134" s="287" t="s">
        <v>285</v>
      </c>
      <c r="K134" s="287"/>
      <c r="L134" s="160"/>
      <c r="M134" s="362"/>
      <c r="N134" s="291"/>
      <c r="O134" s="291"/>
      <c r="P134" s="291"/>
      <c r="Q134" s="291"/>
      <c r="R134" s="291"/>
      <c r="S134" s="291"/>
      <c r="T134" s="291"/>
      <c r="U134" s="291"/>
      <c r="V134" s="291"/>
      <c r="W134" s="291"/>
      <c r="X134" s="291"/>
      <c r="Y134" s="291"/>
      <c r="Z134" s="177">
        <f>SUM(N134:Y134)</f>
        <v>0</v>
      </c>
    </row>
    <row r="135" spans="3:27" ht="15.6" hidden="1">
      <c r="C135" s="314" t="s">
        <v>771</v>
      </c>
      <c r="D135" s="174" t="s">
        <v>22</v>
      </c>
      <c r="E135" s="181">
        <f>SUM(N135:Y135)</f>
        <v>8200</v>
      </c>
      <c r="F135" s="175" t="s">
        <v>910</v>
      </c>
      <c r="G135" s="175" t="s">
        <v>622</v>
      </c>
      <c r="H135" s="181"/>
      <c r="I135" s="182"/>
      <c r="J135" s="182"/>
      <c r="K135" s="182"/>
      <c r="L135" s="182"/>
      <c r="M135" s="358"/>
      <c r="N135" s="181">
        <f>SUMIFS('FCST data'!Q:Q,'FCST data'!$D:$D,$F135,'FCST data'!$K:$K,$G135)</f>
        <v>0</v>
      </c>
      <c r="O135" s="181">
        <f>SUMIFS('FCST data'!R:R,'FCST data'!$D:$D,$F135,'FCST data'!$K:$K,$G135)</f>
        <v>0</v>
      </c>
      <c r="P135" s="181">
        <f>SUMIFS('FCST data'!S:S,'FCST data'!$D:$D,$F135,'FCST data'!$K:$K,$G135)</f>
        <v>0</v>
      </c>
      <c r="Q135" s="181">
        <f>SUMIFS('FCST data'!T:T,'FCST data'!$D:$D,$F135,'FCST data'!$K:$K,$G135)</f>
        <v>1200</v>
      </c>
      <c r="R135" s="181">
        <f>SUMIFS('FCST data'!U:U,'FCST data'!$D:$D,$F135,'FCST data'!$K:$K,$G135)</f>
        <v>1200</v>
      </c>
      <c r="S135" s="181">
        <f>SUMIFS('FCST data'!V:V,'FCST data'!$D:$D,$F135,'FCST data'!$K:$K,$G135)</f>
        <v>1200</v>
      </c>
      <c r="T135" s="181">
        <f>SUMIFS('FCST data'!W:W,'FCST data'!$D:$D,$F135,'FCST data'!$K:$K,$G135)</f>
        <v>1400</v>
      </c>
      <c r="U135" s="181">
        <f>SUMIFS('FCST data'!X:X,'FCST data'!$D:$D,$F135,'FCST data'!$K:$K,$G135)</f>
        <v>1600</v>
      </c>
      <c r="V135" s="181">
        <f>SUMIFS('FCST data'!Y:Y,'FCST data'!$D:$D,$F135,'FCST data'!$K:$K,$G135)</f>
        <v>1600</v>
      </c>
      <c r="W135" s="181">
        <f>SUMIFS('FCST data'!Z:Z,'FCST data'!$D:$D,$F135,'FCST data'!$K:$K,$G135)</f>
        <v>0</v>
      </c>
      <c r="X135" s="181">
        <f>SUMIFS('FCST data'!AA:AA,'FCST data'!$D:$D,$F135,'FCST data'!$K:$K,$G135)</f>
        <v>0</v>
      </c>
      <c r="Y135" s="181">
        <f>SUMIFS('FCST data'!AB:AB,'FCST data'!$D:$D,$F135,'FCST data'!$K:$K,$G135)</f>
        <v>0</v>
      </c>
      <c r="Z135" s="148"/>
      <c r="AA135" s="17">
        <f>E135-Z136-Z137</f>
        <v>0</v>
      </c>
    </row>
    <row r="136" spans="3:27" ht="14.4" hidden="1">
      <c r="C136" s="283"/>
      <c r="D136" s="284"/>
      <c r="E136" s="285"/>
      <c r="F136" s="286" t="s">
        <v>910</v>
      </c>
      <c r="G136" s="286" t="s">
        <v>622</v>
      </c>
      <c r="H136" s="284" t="s">
        <v>2</v>
      </c>
      <c r="I136" s="287" t="s">
        <v>31</v>
      </c>
      <c r="J136" s="287" t="s">
        <v>285</v>
      </c>
      <c r="K136" s="287"/>
      <c r="L136" s="160"/>
      <c r="M136" s="362"/>
      <c r="N136" s="291">
        <f>N135</f>
        <v>0</v>
      </c>
      <c r="O136" s="291">
        <f t="shared" ref="O136:Y136" si="112">O135</f>
        <v>0</v>
      </c>
      <c r="P136" s="291">
        <f t="shared" si="112"/>
        <v>0</v>
      </c>
      <c r="Q136" s="291">
        <f t="shared" si="112"/>
        <v>1200</v>
      </c>
      <c r="R136" s="291">
        <f t="shared" si="112"/>
        <v>1200</v>
      </c>
      <c r="S136" s="291">
        <f t="shared" si="112"/>
        <v>1200</v>
      </c>
      <c r="T136" s="291">
        <f t="shared" si="112"/>
        <v>1400</v>
      </c>
      <c r="U136" s="291">
        <f t="shared" si="112"/>
        <v>1600</v>
      </c>
      <c r="V136" s="291">
        <f t="shared" si="112"/>
        <v>1600</v>
      </c>
      <c r="W136" s="291">
        <f t="shared" si="112"/>
        <v>0</v>
      </c>
      <c r="X136" s="291">
        <f t="shared" si="112"/>
        <v>0</v>
      </c>
      <c r="Y136" s="291">
        <f t="shared" si="112"/>
        <v>0</v>
      </c>
      <c r="Z136" s="177">
        <f>SUM(N136:Y136)</f>
        <v>8200</v>
      </c>
    </row>
    <row r="137" spans="3:27" ht="14.4" hidden="1">
      <c r="C137" s="283"/>
      <c r="D137" s="284"/>
      <c r="E137" s="285"/>
      <c r="F137" s="286" t="s">
        <v>910</v>
      </c>
      <c r="G137" s="286" t="s">
        <v>622</v>
      </c>
      <c r="H137" s="284" t="s">
        <v>20</v>
      </c>
      <c r="I137" s="287" t="s">
        <v>31</v>
      </c>
      <c r="J137" s="287" t="s">
        <v>285</v>
      </c>
      <c r="K137" s="287"/>
      <c r="L137" s="160"/>
      <c r="M137" s="362"/>
      <c r="N137" s="291"/>
      <c r="O137" s="291"/>
      <c r="P137" s="291"/>
      <c r="Q137" s="291"/>
      <c r="R137" s="291"/>
      <c r="S137" s="291"/>
      <c r="T137" s="291"/>
      <c r="U137" s="291"/>
      <c r="V137" s="291"/>
      <c r="W137" s="291"/>
      <c r="X137" s="291"/>
      <c r="Y137" s="291"/>
      <c r="Z137" s="177">
        <f>SUM(N137:Y137)</f>
        <v>0</v>
      </c>
    </row>
    <row r="138" spans="3:27" ht="15.6" hidden="1">
      <c r="C138" s="314" t="s">
        <v>771</v>
      </c>
      <c r="D138" s="174" t="s">
        <v>22</v>
      </c>
      <c r="E138" s="181">
        <f>SUM(N138:Y138)</f>
        <v>1700</v>
      </c>
      <c r="F138" s="175" t="s">
        <v>1016</v>
      </c>
      <c r="G138" s="175" t="s">
        <v>530</v>
      </c>
      <c r="H138" s="181"/>
      <c r="I138" s="182"/>
      <c r="J138" s="182"/>
      <c r="K138" s="182"/>
      <c r="L138" s="182"/>
      <c r="M138" s="358"/>
      <c r="N138" s="181">
        <f>SUMIFS('FCST data'!Q:Q,'FCST data'!$D:$D,$F138,'FCST data'!$K:$K,$G138)</f>
        <v>0</v>
      </c>
      <c r="O138" s="181">
        <f>SUMIFS('FCST data'!R:R,'FCST data'!$D:$D,$F138,'FCST data'!$K:$K,$G138)</f>
        <v>0</v>
      </c>
      <c r="P138" s="181">
        <f>SUMIFS('FCST data'!S:S,'FCST data'!$D:$D,$F138,'FCST data'!$K:$K,$G138)</f>
        <v>0</v>
      </c>
      <c r="Q138" s="181">
        <f>SUMIFS('FCST data'!T:T,'FCST data'!$D:$D,$F138,'FCST data'!$K:$K,$G138)</f>
        <v>0</v>
      </c>
      <c r="R138" s="181">
        <f>SUMIFS('FCST data'!U:U,'FCST data'!$D:$D,$F138,'FCST data'!$K:$K,$G138)</f>
        <v>300</v>
      </c>
      <c r="S138" s="181">
        <f>SUMIFS('FCST data'!V:V,'FCST data'!$D:$D,$F138,'FCST data'!$K:$K,$G138)</f>
        <v>300</v>
      </c>
      <c r="T138" s="181">
        <f>SUMIFS('FCST data'!W:W,'FCST data'!$D:$D,$F138,'FCST data'!$K:$K,$G138)</f>
        <v>300</v>
      </c>
      <c r="U138" s="181">
        <f>SUMIFS('FCST data'!X:X,'FCST data'!$D:$D,$F138,'FCST data'!$K:$K,$G138)</f>
        <v>400</v>
      </c>
      <c r="V138" s="181">
        <f>SUMIFS('FCST data'!Y:Y,'FCST data'!$D:$D,$F138,'FCST data'!$K:$K,$G138)</f>
        <v>400</v>
      </c>
      <c r="W138" s="181">
        <f>SUMIFS('FCST data'!Z:Z,'FCST data'!$D:$D,$F138,'FCST data'!$K:$K,$G138)</f>
        <v>0</v>
      </c>
      <c r="X138" s="181">
        <f>SUMIFS('FCST data'!AA:AA,'FCST data'!$D:$D,$F138,'FCST data'!$K:$K,$G138)</f>
        <v>0</v>
      </c>
      <c r="Y138" s="181">
        <f>SUMIFS('FCST data'!AB:AB,'FCST data'!$D:$D,$F138,'FCST data'!$K:$K,$G138)</f>
        <v>0</v>
      </c>
      <c r="Z138" s="148"/>
      <c r="AA138" s="17">
        <f>E138-Z139-Z140</f>
        <v>0</v>
      </c>
    </row>
    <row r="139" spans="3:27" ht="14.4" hidden="1">
      <c r="C139" s="283"/>
      <c r="D139" s="284"/>
      <c r="E139" s="285"/>
      <c r="F139" s="286" t="s">
        <v>1016</v>
      </c>
      <c r="G139" s="286" t="s">
        <v>530</v>
      </c>
      <c r="H139" s="284" t="s">
        <v>2</v>
      </c>
      <c r="I139" s="287" t="s">
        <v>31</v>
      </c>
      <c r="J139" s="287" t="s">
        <v>285</v>
      </c>
      <c r="K139" s="287"/>
      <c r="L139" s="160"/>
      <c r="M139" s="362"/>
      <c r="N139" s="291">
        <f>N138</f>
        <v>0</v>
      </c>
      <c r="O139" s="291">
        <f t="shared" ref="O139:Y139" si="113">O138</f>
        <v>0</v>
      </c>
      <c r="P139" s="291">
        <f t="shared" si="113"/>
        <v>0</v>
      </c>
      <c r="Q139" s="291">
        <f t="shared" si="113"/>
        <v>0</v>
      </c>
      <c r="R139" s="291">
        <f t="shared" si="113"/>
        <v>300</v>
      </c>
      <c r="S139" s="291">
        <f t="shared" si="113"/>
        <v>300</v>
      </c>
      <c r="T139" s="291">
        <f t="shared" si="113"/>
        <v>300</v>
      </c>
      <c r="U139" s="291">
        <f t="shared" si="113"/>
        <v>400</v>
      </c>
      <c r="V139" s="291">
        <f t="shared" si="113"/>
        <v>400</v>
      </c>
      <c r="W139" s="291">
        <f t="shared" si="113"/>
        <v>0</v>
      </c>
      <c r="X139" s="291">
        <f t="shared" si="113"/>
        <v>0</v>
      </c>
      <c r="Y139" s="291">
        <f t="shared" si="113"/>
        <v>0</v>
      </c>
      <c r="Z139" s="177">
        <f>SUM(N139:Y139)</f>
        <v>1700</v>
      </c>
    </row>
    <row r="140" spans="3:27" ht="14.4" hidden="1">
      <c r="C140" s="283"/>
      <c r="D140" s="284"/>
      <c r="E140" s="285"/>
      <c r="F140" s="286" t="s">
        <v>1016</v>
      </c>
      <c r="G140" s="286" t="s">
        <v>530</v>
      </c>
      <c r="H140" s="284" t="s">
        <v>20</v>
      </c>
      <c r="I140" s="287" t="s">
        <v>31</v>
      </c>
      <c r="J140" s="287" t="s">
        <v>285</v>
      </c>
      <c r="K140" s="287"/>
      <c r="L140" s="160"/>
      <c r="M140" s="362"/>
      <c r="N140" s="291"/>
      <c r="O140" s="291"/>
      <c r="P140" s="291"/>
      <c r="Q140" s="291"/>
      <c r="R140" s="291"/>
      <c r="S140" s="291"/>
      <c r="T140" s="291"/>
      <c r="U140" s="291"/>
      <c r="V140" s="291"/>
      <c r="W140" s="291"/>
      <c r="X140" s="291"/>
      <c r="Y140" s="291"/>
      <c r="Z140" s="177">
        <f>SUM(N140:Y140)</f>
        <v>0</v>
      </c>
    </row>
    <row r="141" spans="3:27" ht="15.6" hidden="1">
      <c r="C141" s="314" t="s">
        <v>771</v>
      </c>
      <c r="D141" s="174" t="s">
        <v>22</v>
      </c>
      <c r="E141" s="181">
        <f>SUM(N141:Y141)</f>
        <v>300</v>
      </c>
      <c r="F141" s="189" t="s">
        <v>989</v>
      </c>
      <c r="G141" s="175" t="s">
        <v>622</v>
      </c>
      <c r="H141" s="181"/>
      <c r="I141" s="182"/>
      <c r="J141" s="182"/>
      <c r="K141" s="182"/>
      <c r="L141" s="182"/>
      <c r="M141" s="358"/>
      <c r="N141" s="181">
        <f>SUMIFS('FCST data'!Q:Q,'FCST data'!$D:$D,$F141,'FCST data'!$K:$K,$G141)</f>
        <v>0</v>
      </c>
      <c r="O141" s="181">
        <f>SUMIFS('FCST data'!R:R,'FCST data'!$D:$D,$F141,'FCST data'!$K:$K,$G141)</f>
        <v>0</v>
      </c>
      <c r="P141" s="181">
        <f>SUMIFS('FCST data'!S:S,'FCST data'!$D:$D,$F141,'FCST data'!$K:$K,$G141)</f>
        <v>0</v>
      </c>
      <c r="Q141" s="181">
        <f>SUMIFS('FCST data'!T:T,'FCST data'!$D:$D,$F141,'FCST data'!$K:$K,$G141)</f>
        <v>0</v>
      </c>
      <c r="R141" s="181">
        <f>SUMIFS('FCST data'!U:U,'FCST data'!$D:$D,$F141,'FCST data'!$K:$K,$G141)</f>
        <v>0</v>
      </c>
      <c r="S141" s="181">
        <f>SUMIFS('FCST data'!V:V,'FCST data'!$D:$D,$F141,'FCST data'!$K:$K,$G141)</f>
        <v>0</v>
      </c>
      <c r="T141" s="181">
        <f>SUMIFS('FCST data'!W:W,'FCST data'!$D:$D,$F141,'FCST data'!$K:$K,$G141)</f>
        <v>0</v>
      </c>
      <c r="U141" s="181">
        <f>SUMIFS('FCST data'!X:X,'FCST data'!$D:$D,$F141,'FCST data'!$K:$K,$G141)</f>
        <v>150</v>
      </c>
      <c r="V141" s="181">
        <f>SUMIFS('FCST data'!Y:Y,'FCST data'!$D:$D,$F141,'FCST data'!$K:$K,$G141)</f>
        <v>150</v>
      </c>
      <c r="W141" s="181">
        <f>SUMIFS('FCST data'!Z:Z,'FCST data'!$D:$D,$F141,'FCST data'!$K:$K,$G141)</f>
        <v>0</v>
      </c>
      <c r="X141" s="181">
        <f>SUMIFS('FCST data'!AA:AA,'FCST data'!$D:$D,$F141,'FCST data'!$K:$K,$G141)</f>
        <v>0</v>
      </c>
      <c r="Y141" s="181">
        <f>SUMIFS('FCST data'!AB:AB,'FCST data'!$D:$D,$F141,'FCST data'!$K:$K,$G141)</f>
        <v>0</v>
      </c>
      <c r="Z141" s="148"/>
      <c r="AA141" s="17">
        <f>E141-Z142-Z143</f>
        <v>0</v>
      </c>
    </row>
    <row r="142" spans="3:27" ht="14.4" hidden="1">
      <c r="C142" s="283"/>
      <c r="D142" s="284"/>
      <c r="E142" s="285"/>
      <c r="F142" s="286" t="s">
        <v>989</v>
      </c>
      <c r="G142" s="286" t="s">
        <v>622</v>
      </c>
      <c r="H142" s="284" t="s">
        <v>2</v>
      </c>
      <c r="I142" s="287" t="s">
        <v>31</v>
      </c>
      <c r="J142" s="287" t="s">
        <v>285</v>
      </c>
      <c r="K142" s="287"/>
      <c r="L142" s="160"/>
      <c r="M142" s="362"/>
      <c r="N142" s="291">
        <f>N141</f>
        <v>0</v>
      </c>
      <c r="O142" s="291">
        <f t="shared" ref="O142:Y142" si="114">O141</f>
        <v>0</v>
      </c>
      <c r="P142" s="291">
        <f t="shared" si="114"/>
        <v>0</v>
      </c>
      <c r="Q142" s="291">
        <f t="shared" si="114"/>
        <v>0</v>
      </c>
      <c r="R142" s="291">
        <f t="shared" si="114"/>
        <v>0</v>
      </c>
      <c r="S142" s="291">
        <f t="shared" si="114"/>
        <v>0</v>
      </c>
      <c r="T142" s="291">
        <f t="shared" si="114"/>
        <v>0</v>
      </c>
      <c r="U142" s="291">
        <f t="shared" si="114"/>
        <v>150</v>
      </c>
      <c r="V142" s="291">
        <f t="shared" si="114"/>
        <v>150</v>
      </c>
      <c r="W142" s="291">
        <f t="shared" si="114"/>
        <v>0</v>
      </c>
      <c r="X142" s="291">
        <f t="shared" si="114"/>
        <v>0</v>
      </c>
      <c r="Y142" s="291">
        <f t="shared" si="114"/>
        <v>0</v>
      </c>
      <c r="Z142" s="177">
        <f>SUM(N142:Y142)</f>
        <v>300</v>
      </c>
    </row>
    <row r="143" spans="3:27" ht="14.4" hidden="1">
      <c r="C143" s="283"/>
      <c r="D143" s="284"/>
      <c r="E143" s="285"/>
      <c r="F143" s="286" t="s">
        <v>989</v>
      </c>
      <c r="G143" s="286" t="s">
        <v>622</v>
      </c>
      <c r="H143" s="284" t="s">
        <v>20</v>
      </c>
      <c r="I143" s="287" t="s">
        <v>31</v>
      </c>
      <c r="J143" s="287" t="s">
        <v>285</v>
      </c>
      <c r="K143" s="287"/>
      <c r="L143" s="160"/>
      <c r="M143" s="362"/>
      <c r="N143" s="291"/>
      <c r="O143" s="291"/>
      <c r="P143" s="291"/>
      <c r="Q143" s="291"/>
      <c r="R143" s="291"/>
      <c r="S143" s="291"/>
      <c r="T143" s="291"/>
      <c r="U143" s="291"/>
      <c r="V143" s="291"/>
      <c r="W143" s="291"/>
      <c r="X143" s="291"/>
      <c r="Y143" s="291"/>
      <c r="Z143" s="177">
        <f>SUM(N143:Y143)</f>
        <v>0</v>
      </c>
    </row>
    <row r="144" spans="3:27" ht="15.6" hidden="1">
      <c r="C144" s="314" t="s">
        <v>771</v>
      </c>
      <c r="D144" s="174" t="s">
        <v>22</v>
      </c>
      <c r="E144" s="181">
        <f>SUM(N144:Y144)</f>
        <v>2150</v>
      </c>
      <c r="F144" s="189" t="s">
        <v>990</v>
      </c>
      <c r="G144" s="175" t="s">
        <v>1064</v>
      </c>
      <c r="H144" s="181"/>
      <c r="I144" s="182"/>
      <c r="J144" s="182"/>
      <c r="K144" s="182"/>
      <c r="L144" s="182"/>
      <c r="M144" s="358"/>
      <c r="N144" s="181">
        <f>SUMIFS('FCST data'!Q:Q,'FCST data'!$D:$D,$F144,'FCST data'!$K:$K,$G144)</f>
        <v>0</v>
      </c>
      <c r="O144" s="181">
        <f>SUMIFS('FCST data'!R:R,'FCST data'!$D:$D,$F144,'FCST data'!$K:$K,$G144)</f>
        <v>0</v>
      </c>
      <c r="P144" s="181">
        <f>SUMIFS('FCST data'!S:S,'FCST data'!$D:$D,$F144,'FCST data'!$K:$K,$G144)</f>
        <v>0</v>
      </c>
      <c r="Q144" s="181">
        <f>SUMIFS('FCST data'!T:T,'FCST data'!$D:$D,$F144,'FCST data'!$K:$K,$G144)</f>
        <v>0</v>
      </c>
      <c r="R144" s="181">
        <f>SUMIFS('FCST data'!U:U,'FCST data'!$D:$D,$F144,'FCST data'!$K:$K,$G144)</f>
        <v>0</v>
      </c>
      <c r="S144" s="181">
        <f>SUMIFS('FCST data'!V:V,'FCST data'!$D:$D,$F144,'FCST data'!$K:$K,$G144)</f>
        <v>0</v>
      </c>
      <c r="T144" s="181">
        <f>SUMIFS('FCST data'!W:W,'FCST data'!$D:$D,$F144,'FCST data'!$K:$K,$G144)</f>
        <v>650</v>
      </c>
      <c r="U144" s="181">
        <f>SUMIFS('FCST data'!X:X,'FCST data'!$D:$D,$F144,'FCST data'!$K:$K,$G144)</f>
        <v>750</v>
      </c>
      <c r="V144" s="181">
        <f>SUMIFS('FCST data'!Y:Y,'FCST data'!$D:$D,$F144,'FCST data'!$K:$K,$G144)</f>
        <v>750</v>
      </c>
      <c r="W144" s="181">
        <f>SUMIFS('FCST data'!Z:Z,'FCST data'!$D:$D,$F144,'FCST data'!$K:$K,$G144)</f>
        <v>0</v>
      </c>
      <c r="X144" s="181">
        <f>SUMIFS('FCST data'!AA:AA,'FCST data'!$D:$D,$F144,'FCST data'!$K:$K,$G144)</f>
        <v>0</v>
      </c>
      <c r="Y144" s="181">
        <f>SUMIFS('FCST data'!AB:AB,'FCST data'!$D:$D,$F144,'FCST data'!$K:$K,$G144)</f>
        <v>0</v>
      </c>
      <c r="Z144" s="148"/>
      <c r="AA144" s="17">
        <f>E144-Z145-Z146</f>
        <v>0</v>
      </c>
    </row>
    <row r="145" spans="3:27" ht="14.4" hidden="1">
      <c r="C145" s="283"/>
      <c r="D145" s="284"/>
      <c r="E145" s="285"/>
      <c r="F145" s="286" t="s">
        <v>990</v>
      </c>
      <c r="G145" s="286" t="s">
        <v>1064</v>
      </c>
      <c r="H145" s="284" t="s">
        <v>2</v>
      </c>
      <c r="I145" s="287" t="s">
        <v>31</v>
      </c>
      <c r="J145" s="287" t="s">
        <v>285</v>
      </c>
      <c r="K145" s="287"/>
      <c r="L145" s="160"/>
      <c r="M145" s="362"/>
      <c r="N145" s="291">
        <f>N144</f>
        <v>0</v>
      </c>
      <c r="O145" s="291">
        <f t="shared" ref="O145:Y145" si="115">O144</f>
        <v>0</v>
      </c>
      <c r="P145" s="291">
        <f t="shared" si="115"/>
        <v>0</v>
      </c>
      <c r="Q145" s="291">
        <f t="shared" si="115"/>
        <v>0</v>
      </c>
      <c r="R145" s="291">
        <f t="shared" si="115"/>
        <v>0</v>
      </c>
      <c r="S145" s="291">
        <f t="shared" si="115"/>
        <v>0</v>
      </c>
      <c r="T145" s="291">
        <f t="shared" si="115"/>
        <v>650</v>
      </c>
      <c r="U145" s="291">
        <f t="shared" si="115"/>
        <v>750</v>
      </c>
      <c r="V145" s="291">
        <f t="shared" si="115"/>
        <v>750</v>
      </c>
      <c r="W145" s="291">
        <f t="shared" si="115"/>
        <v>0</v>
      </c>
      <c r="X145" s="291">
        <f t="shared" si="115"/>
        <v>0</v>
      </c>
      <c r="Y145" s="291">
        <f t="shared" si="115"/>
        <v>0</v>
      </c>
      <c r="Z145" s="177">
        <f>SUM(N145:Y145)</f>
        <v>2150</v>
      </c>
    </row>
    <row r="146" spans="3:27" ht="14.4" hidden="1">
      <c r="C146" s="283"/>
      <c r="D146" s="284"/>
      <c r="E146" s="285"/>
      <c r="F146" s="286" t="s">
        <v>990</v>
      </c>
      <c r="G146" s="286" t="s">
        <v>1064</v>
      </c>
      <c r="H146" s="284" t="s">
        <v>20</v>
      </c>
      <c r="I146" s="287" t="s">
        <v>31</v>
      </c>
      <c r="J146" s="287" t="s">
        <v>285</v>
      </c>
      <c r="K146" s="287"/>
      <c r="L146" s="160"/>
      <c r="M146" s="362"/>
      <c r="N146" s="291"/>
      <c r="O146" s="291"/>
      <c r="P146" s="291"/>
      <c r="Q146" s="291"/>
      <c r="R146" s="291"/>
      <c r="S146" s="291"/>
      <c r="T146" s="291"/>
      <c r="U146" s="291"/>
      <c r="V146" s="291"/>
      <c r="W146" s="291"/>
      <c r="X146" s="291"/>
      <c r="Y146" s="291"/>
      <c r="Z146" s="177">
        <f>SUM(N146:Y146)</f>
        <v>0</v>
      </c>
    </row>
    <row r="147" spans="3:27" ht="15.6" hidden="1">
      <c r="C147" s="314" t="s">
        <v>771</v>
      </c>
      <c r="D147" s="174" t="s">
        <v>22</v>
      </c>
      <c r="E147" s="181">
        <f>SUM(N147:Y147)</f>
        <v>400</v>
      </c>
      <c r="F147" s="189" t="s">
        <v>1018</v>
      </c>
      <c r="G147" s="175" t="s">
        <v>1065</v>
      </c>
      <c r="H147" s="181"/>
      <c r="I147" s="182"/>
      <c r="J147" s="182"/>
      <c r="K147" s="182"/>
      <c r="L147" s="182"/>
      <c r="M147" s="358"/>
      <c r="N147" s="181">
        <f>SUMIFS('FCST data'!Q:Q,'FCST data'!$D:$D,$F147,'FCST data'!$K:$K,$G147)</f>
        <v>0</v>
      </c>
      <c r="O147" s="181">
        <f>SUMIFS('FCST data'!R:R,'FCST data'!$D:$D,$F147,'FCST data'!$K:$K,$G147)</f>
        <v>0</v>
      </c>
      <c r="P147" s="181">
        <f>SUMIFS('FCST data'!S:S,'FCST data'!$D:$D,$F147,'FCST data'!$K:$K,$G147)</f>
        <v>0</v>
      </c>
      <c r="Q147" s="181">
        <f>SUMIFS('FCST data'!T:T,'FCST data'!$D:$D,$F147,'FCST data'!$K:$K,$G147)</f>
        <v>0</v>
      </c>
      <c r="R147" s="181">
        <f>SUMIFS('FCST data'!U:U,'FCST data'!$D:$D,$F147,'FCST data'!$K:$K,$G147)</f>
        <v>0</v>
      </c>
      <c r="S147" s="181">
        <f>SUMIFS('FCST data'!V:V,'FCST data'!$D:$D,$F147,'FCST data'!$K:$K,$G147)</f>
        <v>0</v>
      </c>
      <c r="T147" s="181">
        <f>SUMIFS('FCST data'!W:W,'FCST data'!$D:$D,$F147,'FCST data'!$K:$K,$G147)</f>
        <v>200</v>
      </c>
      <c r="U147" s="181">
        <f>SUMIFS('FCST data'!X:X,'FCST data'!$D:$D,$F147,'FCST data'!$K:$K,$G147)</f>
        <v>100</v>
      </c>
      <c r="V147" s="181">
        <f>SUMIFS('FCST data'!Y:Y,'FCST data'!$D:$D,$F147,'FCST data'!$K:$K,$G147)</f>
        <v>100</v>
      </c>
      <c r="W147" s="181">
        <f>SUMIFS('FCST data'!Z:Z,'FCST data'!$D:$D,$F147,'FCST data'!$K:$K,$G147)</f>
        <v>0</v>
      </c>
      <c r="X147" s="181">
        <f>SUMIFS('FCST data'!AA:AA,'FCST data'!$D:$D,$F147,'FCST data'!$K:$K,$G147)</f>
        <v>0</v>
      </c>
      <c r="Y147" s="181">
        <f>SUMIFS('FCST data'!AB:AB,'FCST data'!$D:$D,$F147,'FCST data'!$K:$K,$G147)</f>
        <v>0</v>
      </c>
      <c r="Z147" s="148"/>
      <c r="AA147" s="17">
        <f>E147-Z148-Z149</f>
        <v>0</v>
      </c>
    </row>
    <row r="148" spans="3:27" ht="14.4" hidden="1">
      <c r="C148" s="283"/>
      <c r="D148" s="284"/>
      <c r="E148" s="285"/>
      <c r="F148" s="286" t="s">
        <v>1018</v>
      </c>
      <c r="G148" s="286" t="s">
        <v>1065</v>
      </c>
      <c r="H148" s="284" t="s">
        <v>2</v>
      </c>
      <c r="I148" s="287" t="s">
        <v>31</v>
      </c>
      <c r="J148" s="287" t="s">
        <v>285</v>
      </c>
      <c r="K148" s="287"/>
      <c r="L148" s="160"/>
      <c r="M148" s="362"/>
      <c r="N148" s="291">
        <f>N147</f>
        <v>0</v>
      </c>
      <c r="O148" s="291">
        <f t="shared" ref="O148:Y148" si="116">O147</f>
        <v>0</v>
      </c>
      <c r="P148" s="291">
        <f t="shared" si="116"/>
        <v>0</v>
      </c>
      <c r="Q148" s="291">
        <f t="shared" si="116"/>
        <v>0</v>
      </c>
      <c r="R148" s="291">
        <f t="shared" si="116"/>
        <v>0</v>
      </c>
      <c r="S148" s="291">
        <f t="shared" si="116"/>
        <v>0</v>
      </c>
      <c r="T148" s="291">
        <f t="shared" si="116"/>
        <v>200</v>
      </c>
      <c r="U148" s="291">
        <f t="shared" si="116"/>
        <v>100</v>
      </c>
      <c r="V148" s="291">
        <f t="shared" si="116"/>
        <v>100</v>
      </c>
      <c r="W148" s="291">
        <f t="shared" si="116"/>
        <v>0</v>
      </c>
      <c r="X148" s="291">
        <f t="shared" si="116"/>
        <v>0</v>
      </c>
      <c r="Y148" s="291">
        <f t="shared" si="116"/>
        <v>0</v>
      </c>
      <c r="Z148" s="177">
        <f>SUM(N148:Y148)</f>
        <v>400</v>
      </c>
    </row>
    <row r="149" spans="3:27" ht="14.4" hidden="1">
      <c r="C149" s="283"/>
      <c r="D149" s="284"/>
      <c r="E149" s="285"/>
      <c r="F149" s="286" t="s">
        <v>1018</v>
      </c>
      <c r="G149" s="286" t="s">
        <v>1065</v>
      </c>
      <c r="H149" s="284" t="s">
        <v>20</v>
      </c>
      <c r="I149" s="287" t="s">
        <v>31</v>
      </c>
      <c r="J149" s="287" t="s">
        <v>285</v>
      </c>
      <c r="K149" s="287"/>
      <c r="L149" s="160"/>
      <c r="M149" s="362"/>
      <c r="N149" s="291"/>
      <c r="O149" s="291"/>
      <c r="P149" s="291"/>
      <c r="Q149" s="291"/>
      <c r="R149" s="291"/>
      <c r="S149" s="291"/>
      <c r="T149" s="291"/>
      <c r="U149" s="291"/>
      <c r="V149" s="291"/>
      <c r="W149" s="291"/>
      <c r="X149" s="291"/>
      <c r="Y149" s="291"/>
      <c r="Z149" s="177">
        <f>SUM(N149:Y149)</f>
        <v>0</v>
      </c>
    </row>
    <row r="150" spans="3:27" ht="15.6" hidden="1">
      <c r="C150" s="314" t="s">
        <v>771</v>
      </c>
      <c r="D150" s="174" t="s">
        <v>22</v>
      </c>
      <c r="E150" s="181">
        <f>SUM(N150:Y150)</f>
        <v>210</v>
      </c>
      <c r="F150" s="189" t="s">
        <v>1003</v>
      </c>
      <c r="G150" s="175" t="s">
        <v>1066</v>
      </c>
      <c r="H150" s="181"/>
      <c r="I150" s="182"/>
      <c r="J150" s="182"/>
      <c r="K150" s="182"/>
      <c r="L150" s="182"/>
      <c r="M150" s="358"/>
      <c r="N150" s="181">
        <f>SUMIFS('FCST data'!Q:Q,'FCST data'!$D:$D,$F150,'FCST data'!$K:$K,$G150)</f>
        <v>0</v>
      </c>
      <c r="O150" s="181">
        <f>SUMIFS('FCST data'!R:R,'FCST data'!$D:$D,$F150,'FCST data'!$K:$K,$G150)</f>
        <v>0</v>
      </c>
      <c r="P150" s="181">
        <f>SUMIFS('FCST data'!S:S,'FCST data'!$D:$D,$F150,'FCST data'!$K:$K,$G150)</f>
        <v>0</v>
      </c>
      <c r="Q150" s="181">
        <f>SUMIFS('FCST data'!T:T,'FCST data'!$D:$D,$F150,'FCST data'!$K:$K,$G150)</f>
        <v>0</v>
      </c>
      <c r="R150" s="181">
        <f>SUMIFS('FCST data'!U:U,'FCST data'!$D:$D,$F150,'FCST data'!$K:$K,$G150)</f>
        <v>0</v>
      </c>
      <c r="S150" s="181">
        <f>SUMIFS('FCST data'!V:V,'FCST data'!$D:$D,$F150,'FCST data'!$K:$K,$G150)</f>
        <v>0</v>
      </c>
      <c r="T150" s="181">
        <f>SUMIFS('FCST data'!W:W,'FCST data'!$D:$D,$F150,'FCST data'!$K:$K,$G150)</f>
        <v>210</v>
      </c>
      <c r="U150" s="181">
        <f>SUMIFS('FCST data'!X:X,'FCST data'!$D:$D,$F150,'FCST data'!$K:$K,$G150)</f>
        <v>0</v>
      </c>
      <c r="V150" s="181">
        <f>SUMIFS('FCST data'!Y:Y,'FCST data'!$D:$D,$F150,'FCST data'!$K:$K,$G150)</f>
        <v>0</v>
      </c>
      <c r="W150" s="181">
        <f>SUMIFS('FCST data'!Z:Z,'FCST data'!$D:$D,$F150,'FCST data'!$K:$K,$G150)</f>
        <v>0</v>
      </c>
      <c r="X150" s="181">
        <f>SUMIFS('FCST data'!AA:AA,'FCST data'!$D:$D,$F150,'FCST data'!$K:$K,$G150)</f>
        <v>0</v>
      </c>
      <c r="Y150" s="181">
        <f>SUMIFS('FCST data'!AB:AB,'FCST data'!$D:$D,$F150,'FCST data'!$K:$K,$G150)</f>
        <v>0</v>
      </c>
      <c r="Z150" s="148"/>
      <c r="AA150" s="17">
        <f>E150-Z151-Z152</f>
        <v>0</v>
      </c>
    </row>
    <row r="151" spans="3:27" ht="14.4" hidden="1">
      <c r="C151" s="283"/>
      <c r="D151" s="284"/>
      <c r="E151" s="285"/>
      <c r="F151" s="286" t="s">
        <v>1003</v>
      </c>
      <c r="G151" s="286" t="s">
        <v>1066</v>
      </c>
      <c r="H151" s="284" t="s">
        <v>2</v>
      </c>
      <c r="I151" s="287" t="s">
        <v>31</v>
      </c>
      <c r="J151" s="287" t="s">
        <v>285</v>
      </c>
      <c r="K151" s="287"/>
      <c r="L151" s="160"/>
      <c r="M151" s="362"/>
      <c r="N151" s="291">
        <f>N150</f>
        <v>0</v>
      </c>
      <c r="O151" s="291">
        <f t="shared" ref="O151:Y151" si="117">O150</f>
        <v>0</v>
      </c>
      <c r="P151" s="291">
        <f t="shared" si="117"/>
        <v>0</v>
      </c>
      <c r="Q151" s="291">
        <f t="shared" si="117"/>
        <v>0</v>
      </c>
      <c r="R151" s="291">
        <f t="shared" si="117"/>
        <v>0</v>
      </c>
      <c r="S151" s="291">
        <f t="shared" si="117"/>
        <v>0</v>
      </c>
      <c r="T151" s="291">
        <f t="shared" si="117"/>
        <v>210</v>
      </c>
      <c r="U151" s="291">
        <f t="shared" si="117"/>
        <v>0</v>
      </c>
      <c r="V151" s="291">
        <f t="shared" si="117"/>
        <v>0</v>
      </c>
      <c r="W151" s="291">
        <f t="shared" si="117"/>
        <v>0</v>
      </c>
      <c r="X151" s="291">
        <f t="shared" si="117"/>
        <v>0</v>
      </c>
      <c r="Y151" s="291">
        <f t="shared" si="117"/>
        <v>0</v>
      </c>
      <c r="Z151" s="177">
        <f>SUM(N151:Y151)</f>
        <v>210</v>
      </c>
    </row>
    <row r="152" spans="3:27" ht="14.4" hidden="1">
      <c r="C152" s="283"/>
      <c r="D152" s="284"/>
      <c r="E152" s="285"/>
      <c r="F152" s="286" t="s">
        <v>1003</v>
      </c>
      <c r="G152" s="286" t="s">
        <v>1066</v>
      </c>
      <c r="H152" s="284" t="s">
        <v>20</v>
      </c>
      <c r="I152" s="287" t="s">
        <v>31</v>
      </c>
      <c r="J152" s="287" t="s">
        <v>285</v>
      </c>
      <c r="K152" s="287"/>
      <c r="L152" s="160"/>
      <c r="M152" s="362"/>
      <c r="N152" s="291"/>
      <c r="O152" s="291"/>
      <c r="P152" s="291"/>
      <c r="Q152" s="291"/>
      <c r="R152" s="291"/>
      <c r="S152" s="291"/>
      <c r="T152" s="291"/>
      <c r="U152" s="291"/>
      <c r="V152" s="291"/>
      <c r="W152" s="291"/>
      <c r="X152" s="291"/>
      <c r="Y152" s="291"/>
      <c r="Z152" s="177">
        <f>SUM(N152:Y152)</f>
        <v>0</v>
      </c>
    </row>
    <row r="153" spans="3:27">
      <c r="N153" s="17">
        <f>SUBTOTAL(9,N14:N152)</f>
        <v>42600</v>
      </c>
      <c r="O153" s="17">
        <f t="shared" ref="O153:Y153" si="118">SUBTOTAL(9,O14:O152)</f>
        <v>41500</v>
      </c>
      <c r="P153" s="17">
        <f t="shared" si="118"/>
        <v>39700</v>
      </c>
      <c r="Q153" s="17">
        <f t="shared" si="118"/>
        <v>19500</v>
      </c>
      <c r="R153" s="17">
        <f t="shared" si="118"/>
        <v>7600</v>
      </c>
      <c r="S153" s="17">
        <f t="shared" si="118"/>
        <v>0</v>
      </c>
      <c r="T153" s="17">
        <f t="shared" si="118"/>
        <v>4000</v>
      </c>
      <c r="U153" s="17">
        <f t="shared" si="118"/>
        <v>4000</v>
      </c>
      <c r="V153" s="17">
        <f t="shared" si="118"/>
        <v>2000</v>
      </c>
      <c r="W153" s="17">
        <f t="shared" si="118"/>
        <v>0</v>
      </c>
      <c r="X153" s="17">
        <f t="shared" si="118"/>
        <v>0</v>
      </c>
      <c r="Y153" s="17">
        <f t="shared" si="118"/>
        <v>0</v>
      </c>
    </row>
  </sheetData>
  <autoFilter ref="C13:Z152">
    <filterColumn colId="3"/>
    <filterColumn colId="5">
      <filters>
        <filter val="Local"/>
      </filters>
    </filterColumn>
    <filterColumn colId="10">
      <filters>
        <filter val="15050-04165000"/>
      </filters>
    </filterColumn>
  </autoFilter>
  <phoneticPr fontId="19" type="noConversion"/>
  <conditionalFormatting sqref="N14:Y14 N19:Y19 N24:Y24 N29:Y29 N34:Y34 N55:Y55 N60:Y60 N70:Y70 N39:Y39 N65:Y65 N44:Y44">
    <cfRule type="cellIs" dxfId="27" priority="83" operator="notEqual">
      <formula>N17</formula>
    </cfRule>
    <cfRule type="cellIs" dxfId="26" priority="84" operator="notEqual">
      <formula>N16</formula>
    </cfRule>
  </conditionalFormatting>
  <conditionalFormatting sqref="N49:Y49 N52:Y52 N81:Y81 N87:Y87 N90:Y90 N93:Y93 N99:Y99 N102:Y102 N108:Y108 N111:Y111 N114:Y114 N75:Y75 N78:Y78 N84:Y84 N96:Y96 N105:Y105 N117:Y117 N120:Y120 N123:Y123">
    <cfRule type="cellIs" dxfId="25" priority="71" operator="notEqual">
      <formula>SUM(N50:N51)</formula>
    </cfRule>
  </conditionalFormatting>
  <conditionalFormatting sqref="N126:Y126">
    <cfRule type="cellIs" dxfId="24" priority="10" operator="notEqual">
      <formula>SUM(N127:N128)</formula>
    </cfRule>
  </conditionalFormatting>
  <conditionalFormatting sqref="N129:Y129">
    <cfRule type="cellIs" dxfId="23" priority="9" operator="notEqual">
      <formula>SUM(N130:N131)</formula>
    </cfRule>
  </conditionalFormatting>
  <conditionalFormatting sqref="N132:Y132">
    <cfRule type="cellIs" dxfId="22" priority="8" operator="notEqual">
      <formula>SUM(N133:N134)</formula>
    </cfRule>
  </conditionalFormatting>
  <conditionalFormatting sqref="N135:Y135">
    <cfRule type="cellIs" dxfId="21" priority="7" operator="notEqual">
      <formula>SUM(N136:N137)</formula>
    </cfRule>
  </conditionalFormatting>
  <conditionalFormatting sqref="N138:Y138">
    <cfRule type="cellIs" dxfId="20" priority="5" operator="notEqual">
      <formula>SUM(N139:N140)</formula>
    </cfRule>
  </conditionalFormatting>
  <conditionalFormatting sqref="N141:Y141">
    <cfRule type="cellIs" dxfId="19" priority="4" operator="notEqual">
      <formula>SUM(N142:N143)</formula>
    </cfRule>
  </conditionalFormatting>
  <conditionalFormatting sqref="N144:Y144">
    <cfRule type="cellIs" dxfId="18" priority="3" operator="notEqual">
      <formula>SUM(N145:N146)</formula>
    </cfRule>
  </conditionalFormatting>
  <conditionalFormatting sqref="N147:Y147">
    <cfRule type="cellIs" dxfId="17" priority="2" operator="notEqual">
      <formula>SUM(N148:N149)</formula>
    </cfRule>
  </conditionalFormatting>
  <conditionalFormatting sqref="N150:Y150">
    <cfRule type="cellIs" dxfId="16" priority="1" operator="notEqual">
      <formula>SUM(N151:N152)</formula>
    </cfRule>
  </conditionalFormatting>
  <pageMargins left="0.511811024" right="0.511811024" top="0.78740157499999996" bottom="0.78740157499999996" header="0.31496062000000002" footer="0.31496062000000002"/>
  <pageSetup orientation="portrait" r:id="rId1"/>
  <ignoredErrors>
    <ignoredError sqref="N18 N33 N64 N38 N23 N28 N59" unlocked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C4:M31"/>
  <sheetViews>
    <sheetView showGridLines="0" topLeftCell="A4" zoomScale="80" zoomScaleNormal="80" workbookViewId="0">
      <selection activeCell="F15" sqref="F15"/>
    </sheetView>
  </sheetViews>
  <sheetFormatPr defaultRowHeight="14.4"/>
  <cols>
    <col min="1" max="1" width="4.5546875" customWidth="1"/>
    <col min="2" max="2" width="2.33203125" customWidth="1"/>
    <col min="3" max="3" width="21.44140625" bestFit="1" customWidth="1"/>
  </cols>
  <sheetData>
    <row r="4" spans="3:13">
      <c r="M4" s="191">
        <f>SUM(M6:M31)</f>
        <v>251000</v>
      </c>
    </row>
    <row r="5" spans="3:13" ht="27.6">
      <c r="C5" s="159" t="s">
        <v>14</v>
      </c>
      <c r="D5" s="172" t="s">
        <v>1</v>
      </c>
      <c r="E5" s="172" t="s">
        <v>3</v>
      </c>
      <c r="F5" s="172" t="s">
        <v>4</v>
      </c>
      <c r="G5" s="172" t="s">
        <v>5</v>
      </c>
      <c r="H5" s="172" t="s">
        <v>6</v>
      </c>
      <c r="I5" s="172" t="s">
        <v>89</v>
      </c>
      <c r="J5" s="172" t="s">
        <v>8</v>
      </c>
      <c r="K5" s="172" t="s">
        <v>9</v>
      </c>
      <c r="L5" s="172" t="s">
        <v>10</v>
      </c>
      <c r="M5" s="167" t="s">
        <v>24</v>
      </c>
    </row>
    <row r="6" spans="3:13">
      <c r="C6" s="175" t="s">
        <v>96</v>
      </c>
      <c r="D6" s="176">
        <v>6000</v>
      </c>
      <c r="E6" s="176">
        <v>5000</v>
      </c>
      <c r="F6" s="176">
        <v>3500</v>
      </c>
      <c r="G6" s="176">
        <v>0</v>
      </c>
      <c r="H6" s="176">
        <v>0</v>
      </c>
      <c r="I6" s="176">
        <v>0</v>
      </c>
      <c r="J6" s="176">
        <v>0</v>
      </c>
      <c r="K6" s="176">
        <v>0</v>
      </c>
      <c r="L6" s="176">
        <v>0</v>
      </c>
      <c r="M6" s="148">
        <f t="shared" ref="M6:M31" si="0">SUM(D6:L6)</f>
        <v>14500</v>
      </c>
    </row>
    <row r="7" spans="3:13">
      <c r="C7" s="175" t="s">
        <v>134</v>
      </c>
      <c r="D7" s="176">
        <v>0</v>
      </c>
      <c r="E7" s="176">
        <v>0</v>
      </c>
      <c r="F7" s="176">
        <v>2500</v>
      </c>
      <c r="G7" s="176">
        <v>7500</v>
      </c>
      <c r="H7" s="176">
        <v>7000</v>
      </c>
      <c r="I7" s="176">
        <v>6200</v>
      </c>
      <c r="J7" s="187">
        <v>9800</v>
      </c>
      <c r="K7" s="187">
        <v>9800</v>
      </c>
      <c r="L7" s="187">
        <v>9800</v>
      </c>
      <c r="M7" s="148">
        <f t="shared" si="0"/>
        <v>52600</v>
      </c>
    </row>
    <row r="8" spans="3:13">
      <c r="C8" s="175" t="s">
        <v>126</v>
      </c>
      <c r="D8" s="176">
        <v>5500</v>
      </c>
      <c r="E8" s="176">
        <v>2800</v>
      </c>
      <c r="F8" s="176">
        <v>3300</v>
      </c>
      <c r="G8" s="176">
        <v>3050</v>
      </c>
      <c r="H8" s="176">
        <v>0</v>
      </c>
      <c r="I8" s="176">
        <v>0</v>
      </c>
      <c r="J8" s="176">
        <v>0</v>
      </c>
      <c r="K8" s="176">
        <v>0</v>
      </c>
      <c r="L8" s="176">
        <v>0</v>
      </c>
      <c r="M8" s="148">
        <f t="shared" si="0"/>
        <v>14650</v>
      </c>
    </row>
    <row r="9" spans="3:13">
      <c r="C9" s="175" t="s">
        <v>128</v>
      </c>
      <c r="D9" s="176">
        <v>0</v>
      </c>
      <c r="E9" s="176">
        <v>2400</v>
      </c>
      <c r="F9" s="176">
        <v>2200</v>
      </c>
      <c r="G9" s="176">
        <v>5950</v>
      </c>
      <c r="H9" s="176">
        <v>8700</v>
      </c>
      <c r="I9" s="176">
        <v>8500</v>
      </c>
      <c r="J9" s="187">
        <v>4700</v>
      </c>
      <c r="K9" s="187">
        <v>4700</v>
      </c>
      <c r="L9" s="187">
        <v>4700</v>
      </c>
      <c r="M9" s="148">
        <f t="shared" si="0"/>
        <v>41850</v>
      </c>
    </row>
    <row r="10" spans="3:13">
      <c r="C10" s="175" t="s">
        <v>129</v>
      </c>
      <c r="D10" s="176">
        <v>3400</v>
      </c>
      <c r="E10" s="176">
        <v>2900</v>
      </c>
      <c r="F10" s="176">
        <v>3200</v>
      </c>
      <c r="G10" s="176">
        <v>2500</v>
      </c>
      <c r="H10" s="176">
        <v>2500</v>
      </c>
      <c r="I10" s="176">
        <v>2400</v>
      </c>
      <c r="J10" s="176">
        <v>0</v>
      </c>
      <c r="K10" s="176">
        <v>0</v>
      </c>
      <c r="L10" s="176">
        <v>0</v>
      </c>
      <c r="M10" s="148">
        <f t="shared" si="0"/>
        <v>16900</v>
      </c>
    </row>
    <row r="11" spans="3:13">
      <c r="C11" s="175" t="s">
        <v>127</v>
      </c>
      <c r="D11" s="176">
        <v>0</v>
      </c>
      <c r="E11" s="176">
        <v>0</v>
      </c>
      <c r="F11" s="176">
        <v>0</v>
      </c>
      <c r="G11" s="176">
        <v>1300</v>
      </c>
      <c r="H11" s="176">
        <v>1300</v>
      </c>
      <c r="I11" s="176">
        <v>1900</v>
      </c>
      <c r="J11" s="187">
        <v>6000</v>
      </c>
      <c r="K11" s="187">
        <v>6000</v>
      </c>
      <c r="L11" s="187">
        <v>6000</v>
      </c>
      <c r="M11" s="148">
        <f t="shared" si="0"/>
        <v>22500</v>
      </c>
    </row>
    <row r="12" spans="3:13">
      <c r="C12" s="175" t="s">
        <v>91</v>
      </c>
      <c r="D12" s="148">
        <v>1500</v>
      </c>
      <c r="E12" s="148">
        <v>1200</v>
      </c>
      <c r="F12" s="148"/>
      <c r="G12" s="148"/>
      <c r="H12" s="148"/>
      <c r="I12" s="148"/>
      <c r="J12" s="148"/>
      <c r="K12" s="148"/>
      <c r="L12" s="148"/>
      <c r="M12" s="148">
        <f t="shared" si="0"/>
        <v>2700</v>
      </c>
    </row>
    <row r="13" spans="3:13">
      <c r="C13" s="175" t="s">
        <v>109</v>
      </c>
      <c r="D13" s="148">
        <v>600</v>
      </c>
      <c r="E13" s="148">
        <v>900</v>
      </c>
      <c r="F13" s="148"/>
      <c r="G13" s="148"/>
      <c r="H13" s="148"/>
      <c r="I13" s="148"/>
      <c r="J13" s="148"/>
      <c r="K13" s="148"/>
      <c r="L13" s="148"/>
      <c r="M13" s="148">
        <f t="shared" si="0"/>
        <v>1500</v>
      </c>
    </row>
    <row r="14" spans="3:13">
      <c r="C14" s="175" t="s">
        <v>90</v>
      </c>
      <c r="D14" s="148">
        <v>800</v>
      </c>
      <c r="E14" s="148">
        <v>800</v>
      </c>
      <c r="F14" s="148"/>
      <c r="G14" s="148"/>
      <c r="H14" s="148"/>
      <c r="I14" s="148"/>
      <c r="J14" s="148"/>
      <c r="K14" s="148"/>
      <c r="L14" s="148"/>
      <c r="M14" s="148">
        <f t="shared" si="0"/>
        <v>1600</v>
      </c>
    </row>
    <row r="15" spans="3:13">
      <c r="C15" s="175" t="s">
        <v>13</v>
      </c>
      <c r="D15" s="148">
        <v>950</v>
      </c>
      <c r="E15" s="148">
        <v>950</v>
      </c>
      <c r="F15" s="148"/>
      <c r="G15" s="148"/>
      <c r="H15" s="148"/>
      <c r="I15" s="148"/>
      <c r="J15" s="148"/>
      <c r="K15" s="148"/>
      <c r="L15" s="148"/>
      <c r="M15" s="148">
        <f t="shared" si="0"/>
        <v>1900</v>
      </c>
    </row>
    <row r="16" spans="3:13">
      <c r="C16" s="183" t="s">
        <v>111</v>
      </c>
      <c r="D16" s="148">
        <v>200</v>
      </c>
      <c r="E16" s="148">
        <v>200</v>
      </c>
      <c r="F16" s="148"/>
      <c r="G16" s="148"/>
      <c r="H16" s="148"/>
      <c r="I16" s="148"/>
      <c r="J16" s="148"/>
      <c r="K16" s="148"/>
      <c r="L16" s="148"/>
      <c r="M16" s="148">
        <f t="shared" si="0"/>
        <v>400</v>
      </c>
    </row>
    <row r="17" spans="3:13">
      <c r="C17" s="175" t="s">
        <v>92</v>
      </c>
      <c r="D17" s="148">
        <v>600</v>
      </c>
      <c r="E17" s="148">
        <v>400</v>
      </c>
      <c r="F17" s="148">
        <v>150</v>
      </c>
      <c r="G17" s="148"/>
      <c r="H17" s="148"/>
      <c r="I17" s="148"/>
      <c r="J17" s="148"/>
      <c r="K17" s="148"/>
      <c r="L17" s="148"/>
      <c r="M17" s="148">
        <f t="shared" si="0"/>
        <v>1150</v>
      </c>
    </row>
    <row r="18" spans="3:13">
      <c r="C18" s="175" t="s">
        <v>106</v>
      </c>
      <c r="D18" s="148"/>
      <c r="E18" s="148"/>
      <c r="F18" s="148"/>
      <c r="G18" s="148">
        <v>0</v>
      </c>
      <c r="H18" s="148">
        <v>0</v>
      </c>
      <c r="I18" s="148">
        <v>0</v>
      </c>
      <c r="J18" s="148"/>
      <c r="K18" s="148"/>
      <c r="L18" s="148"/>
      <c r="M18" s="148">
        <f t="shared" si="0"/>
        <v>0</v>
      </c>
    </row>
    <row r="19" spans="3:13">
      <c r="C19" s="189" t="s">
        <v>198</v>
      </c>
      <c r="D19" s="148"/>
      <c r="E19" s="148"/>
      <c r="F19" s="148"/>
      <c r="G19" s="148"/>
      <c r="H19" s="148"/>
      <c r="I19" s="148"/>
      <c r="J19" s="148"/>
      <c r="K19" s="188">
        <v>500</v>
      </c>
      <c r="L19" s="188">
        <v>500</v>
      </c>
      <c r="M19" s="148">
        <f t="shared" si="0"/>
        <v>1000</v>
      </c>
    </row>
    <row r="20" spans="3:13">
      <c r="C20" s="192" t="s">
        <v>201</v>
      </c>
      <c r="D20" s="193">
        <v>0</v>
      </c>
      <c r="E20" s="193">
        <v>0</v>
      </c>
      <c r="F20" s="193">
        <v>200</v>
      </c>
      <c r="G20" s="193">
        <v>150</v>
      </c>
      <c r="H20" s="193">
        <v>200</v>
      </c>
      <c r="I20" s="193">
        <v>200</v>
      </c>
      <c r="J20" s="194"/>
      <c r="K20" s="194"/>
      <c r="L20" s="194"/>
      <c r="M20" s="148">
        <f t="shared" si="0"/>
        <v>750</v>
      </c>
    </row>
    <row r="21" spans="3:13" s="11" customFormat="1">
      <c r="C21" s="192" t="s">
        <v>120</v>
      </c>
      <c r="D21" s="193"/>
      <c r="E21" s="193"/>
      <c r="F21" s="193">
        <v>1200</v>
      </c>
      <c r="G21" s="193">
        <v>1000</v>
      </c>
      <c r="H21" s="193">
        <v>1300</v>
      </c>
      <c r="I21" s="193">
        <v>1500</v>
      </c>
      <c r="J21" s="193">
        <v>1300</v>
      </c>
      <c r="K21" s="193">
        <v>1300</v>
      </c>
      <c r="L21" s="193">
        <v>1300</v>
      </c>
      <c r="M21" s="148">
        <f t="shared" si="0"/>
        <v>8900</v>
      </c>
    </row>
    <row r="22" spans="3:13">
      <c r="C22" s="189" t="s">
        <v>199</v>
      </c>
      <c r="D22" s="148"/>
      <c r="E22" s="148"/>
      <c r="F22" s="148"/>
      <c r="G22" s="148"/>
      <c r="H22" s="148"/>
      <c r="I22" s="148"/>
      <c r="J22" s="148"/>
      <c r="K22" s="188">
        <v>500</v>
      </c>
      <c r="L22" s="188">
        <v>500</v>
      </c>
      <c r="M22" s="148">
        <f t="shared" si="0"/>
        <v>1000</v>
      </c>
    </row>
    <row r="23" spans="3:13">
      <c r="C23" s="175" t="s">
        <v>112</v>
      </c>
      <c r="D23" s="148">
        <v>0</v>
      </c>
      <c r="E23" s="148">
        <v>0</v>
      </c>
      <c r="F23" s="148">
        <v>0</v>
      </c>
      <c r="G23" s="148">
        <v>200</v>
      </c>
      <c r="H23" s="148">
        <v>0</v>
      </c>
      <c r="I23" s="148">
        <v>300</v>
      </c>
      <c r="J23" s="188">
        <v>200</v>
      </c>
      <c r="K23" s="188">
        <v>200</v>
      </c>
      <c r="L23" s="188">
        <v>200</v>
      </c>
      <c r="M23" s="148">
        <f t="shared" si="0"/>
        <v>1100</v>
      </c>
    </row>
    <row r="24" spans="3:13">
      <c r="C24" s="175" t="s">
        <v>123</v>
      </c>
      <c r="D24" s="148">
        <v>0</v>
      </c>
      <c r="E24" s="148">
        <v>0</v>
      </c>
      <c r="F24" s="148">
        <v>0</v>
      </c>
      <c r="G24" s="148">
        <v>200</v>
      </c>
      <c r="H24" s="148">
        <v>300</v>
      </c>
      <c r="I24" s="148">
        <v>300</v>
      </c>
      <c r="J24" s="188">
        <v>300</v>
      </c>
      <c r="K24" s="188">
        <v>300</v>
      </c>
      <c r="L24" s="188">
        <v>300</v>
      </c>
      <c r="M24" s="148">
        <f t="shared" si="0"/>
        <v>1700</v>
      </c>
    </row>
    <row r="25" spans="3:13">
      <c r="C25" s="183" t="s">
        <v>107</v>
      </c>
      <c r="D25" s="181">
        <v>0</v>
      </c>
      <c r="E25" s="181">
        <v>0</v>
      </c>
      <c r="F25" s="181">
        <v>1000</v>
      </c>
      <c r="G25" s="181">
        <v>1000</v>
      </c>
      <c r="H25" s="181">
        <v>1000</v>
      </c>
      <c r="I25" s="181">
        <v>1300</v>
      </c>
      <c r="J25" s="188">
        <v>2200</v>
      </c>
      <c r="K25" s="188">
        <v>2200</v>
      </c>
      <c r="L25" s="188">
        <v>2200</v>
      </c>
      <c r="M25" s="148">
        <f t="shared" si="0"/>
        <v>10900</v>
      </c>
    </row>
    <row r="26" spans="3:13">
      <c r="C26" s="183" t="s">
        <v>110</v>
      </c>
      <c r="D26" s="181">
        <v>0</v>
      </c>
      <c r="E26" s="181">
        <v>0</v>
      </c>
      <c r="F26" s="181">
        <v>800</v>
      </c>
      <c r="G26" s="148">
        <v>1000</v>
      </c>
      <c r="H26" s="148">
        <v>1000</v>
      </c>
      <c r="I26" s="148">
        <v>1000</v>
      </c>
      <c r="J26" s="188">
        <v>2200</v>
      </c>
      <c r="K26" s="188">
        <v>2200</v>
      </c>
      <c r="L26" s="188">
        <v>2200</v>
      </c>
      <c r="M26" s="148">
        <f t="shared" si="0"/>
        <v>10400</v>
      </c>
    </row>
    <row r="27" spans="3:13">
      <c r="C27" s="183" t="s">
        <v>136</v>
      </c>
      <c r="D27" s="181"/>
      <c r="E27" s="181"/>
      <c r="F27" s="181">
        <v>1500</v>
      </c>
      <c r="G27" s="148">
        <v>2500</v>
      </c>
      <c r="H27" s="148">
        <v>2500</v>
      </c>
      <c r="I27" s="148">
        <v>2500</v>
      </c>
      <c r="J27" s="188">
        <v>4100</v>
      </c>
      <c r="K27" s="188">
        <v>4100</v>
      </c>
      <c r="L27" s="188">
        <v>4100</v>
      </c>
      <c r="M27" s="148">
        <f t="shared" si="0"/>
        <v>21300</v>
      </c>
    </row>
    <row r="28" spans="3:13">
      <c r="C28" s="183" t="s">
        <v>138</v>
      </c>
      <c r="D28" s="181"/>
      <c r="E28" s="181"/>
      <c r="F28" s="181"/>
      <c r="G28" s="148">
        <v>400</v>
      </c>
      <c r="H28" s="148">
        <v>300</v>
      </c>
      <c r="I28" s="181"/>
      <c r="J28" s="188">
        <v>1300</v>
      </c>
      <c r="K28" s="188">
        <v>1300</v>
      </c>
      <c r="L28" s="188">
        <v>1300</v>
      </c>
      <c r="M28" s="148">
        <f t="shared" si="0"/>
        <v>4600</v>
      </c>
    </row>
    <row r="29" spans="3:13">
      <c r="C29" s="190" t="s">
        <v>200</v>
      </c>
      <c r="D29" s="181">
        <v>0</v>
      </c>
      <c r="E29" s="181">
        <v>0</v>
      </c>
      <c r="F29" s="181">
        <v>0</v>
      </c>
      <c r="G29" s="148"/>
      <c r="H29" s="148"/>
      <c r="I29" s="148"/>
      <c r="J29" s="148"/>
      <c r="K29" s="188">
        <v>1000</v>
      </c>
      <c r="L29" s="188">
        <v>1000</v>
      </c>
      <c r="M29" s="148">
        <f t="shared" si="0"/>
        <v>2000</v>
      </c>
    </row>
    <row r="30" spans="3:13">
      <c r="C30" s="183" t="s">
        <v>131</v>
      </c>
      <c r="D30" s="148">
        <v>500</v>
      </c>
      <c r="E30" s="148">
        <v>500</v>
      </c>
      <c r="F30" s="148">
        <v>500</v>
      </c>
      <c r="G30" s="148">
        <v>0</v>
      </c>
      <c r="H30" s="148">
        <v>0</v>
      </c>
      <c r="I30" s="148">
        <v>0</v>
      </c>
      <c r="J30" s="148">
        <v>0</v>
      </c>
      <c r="K30" s="148">
        <v>0</v>
      </c>
      <c r="L30" s="148">
        <v>0</v>
      </c>
      <c r="M30" s="148">
        <f t="shared" si="0"/>
        <v>1500</v>
      </c>
    </row>
    <row r="31" spans="3:13">
      <c r="C31" s="183" t="s">
        <v>139</v>
      </c>
      <c r="D31" s="181">
        <v>0</v>
      </c>
      <c r="E31" s="181">
        <v>0</v>
      </c>
      <c r="F31" s="181">
        <v>0</v>
      </c>
      <c r="G31" s="148">
        <v>1500</v>
      </c>
      <c r="H31" s="148">
        <v>2000</v>
      </c>
      <c r="I31" s="148">
        <v>2000</v>
      </c>
      <c r="J31" s="188">
        <v>2700</v>
      </c>
      <c r="K31" s="188">
        <v>2700</v>
      </c>
      <c r="L31" s="188">
        <v>2700</v>
      </c>
      <c r="M31" s="148">
        <f t="shared" si="0"/>
        <v>13600</v>
      </c>
    </row>
  </sheetData>
  <autoFilter ref="C5:L5"/>
  <phoneticPr fontId="71" type="noConversion"/>
  <pageMargins left="0.7" right="0.7" top="0.75" bottom="0.75" header="0.3" footer="0.3"/>
  <ignoredErrors>
    <ignoredError sqref="M21:M31 M6:M20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3"/>
  <dimension ref="E2:F59"/>
  <sheetViews>
    <sheetView showGridLines="0" workbookViewId="0">
      <selection activeCell="F11" sqref="F11"/>
    </sheetView>
  </sheetViews>
  <sheetFormatPr defaultRowHeight="14.4"/>
  <cols>
    <col min="5" max="5" width="21.44140625" bestFit="1" customWidth="1"/>
    <col min="6" max="6" width="54" style="134" customWidth="1"/>
  </cols>
  <sheetData>
    <row r="2" spans="5:6" ht="73.2">
      <c r="F2" s="132" t="s">
        <v>195</v>
      </c>
    </row>
    <row r="3" spans="5:6">
      <c r="E3" s="130" t="s">
        <v>152</v>
      </c>
      <c r="F3" s="133" t="s">
        <v>193</v>
      </c>
    </row>
    <row r="4" spans="5:6">
      <c r="E4" s="130" t="s">
        <v>134</v>
      </c>
      <c r="F4" s="133">
        <v>23</v>
      </c>
    </row>
    <row r="5" spans="5:6">
      <c r="E5" s="130" t="s">
        <v>155</v>
      </c>
      <c r="F5" s="133">
        <v>32</v>
      </c>
    </row>
    <row r="6" spans="5:6">
      <c r="E6" s="130" t="s">
        <v>165</v>
      </c>
      <c r="F6" s="133">
        <v>41</v>
      </c>
    </row>
    <row r="7" spans="5:6">
      <c r="E7" s="130" t="s">
        <v>156</v>
      </c>
      <c r="F7" s="133">
        <v>50</v>
      </c>
    </row>
    <row r="8" spans="5:6">
      <c r="E8" s="130" t="s">
        <v>157</v>
      </c>
      <c r="F8" s="133">
        <v>59</v>
      </c>
    </row>
    <row r="9" spans="5:6">
      <c r="E9" s="130" t="s">
        <v>130</v>
      </c>
      <c r="F9" s="133">
        <v>68</v>
      </c>
    </row>
    <row r="10" spans="5:6">
      <c r="E10" s="131" t="s">
        <v>107</v>
      </c>
      <c r="F10" s="133">
        <v>77</v>
      </c>
    </row>
    <row r="11" spans="5:6">
      <c r="E11" s="131" t="s">
        <v>110</v>
      </c>
      <c r="F11" s="133">
        <v>86</v>
      </c>
    </row>
    <row r="12" spans="5:6">
      <c r="E12" s="131" t="s">
        <v>158</v>
      </c>
      <c r="F12" s="133">
        <v>95</v>
      </c>
    </row>
    <row r="13" spans="5:6">
      <c r="E13" s="131" t="s">
        <v>159</v>
      </c>
      <c r="F13" s="133">
        <v>104</v>
      </c>
    </row>
    <row r="14" spans="5:6">
      <c r="E14" s="131" t="s">
        <v>139</v>
      </c>
      <c r="F14" s="133">
        <v>113</v>
      </c>
    </row>
    <row r="15" spans="5:6">
      <c r="E15" s="130" t="s">
        <v>112</v>
      </c>
      <c r="F15" s="133">
        <v>114</v>
      </c>
    </row>
    <row r="16" spans="5:6">
      <c r="E16" s="130" t="s">
        <v>113</v>
      </c>
      <c r="F16" s="133">
        <v>115</v>
      </c>
    </row>
    <row r="18" spans="5:6">
      <c r="E18" s="143" t="s">
        <v>194</v>
      </c>
    </row>
    <row r="19" spans="5:6">
      <c r="E19" s="140" t="s">
        <v>167</v>
      </c>
      <c r="F19" s="135"/>
    </row>
    <row r="20" spans="5:6">
      <c r="E20" s="136" t="s">
        <v>168</v>
      </c>
      <c r="F20" s="137"/>
    </row>
    <row r="21" spans="5:6">
      <c r="E21" s="142" t="s">
        <v>169</v>
      </c>
      <c r="F21" s="137"/>
    </row>
    <row r="22" spans="5:6">
      <c r="E22" s="136" t="s">
        <v>170</v>
      </c>
      <c r="F22" s="137"/>
    </row>
    <row r="23" spans="5:6">
      <c r="E23" s="136" t="s">
        <v>171</v>
      </c>
      <c r="F23" s="137"/>
    </row>
    <row r="24" spans="5:6">
      <c r="E24" s="136" t="s">
        <v>189</v>
      </c>
      <c r="F24" s="141" t="s">
        <v>184</v>
      </c>
    </row>
    <row r="25" spans="5:6">
      <c r="E25" s="136" t="s">
        <v>188</v>
      </c>
      <c r="F25" s="137"/>
    </row>
    <row r="26" spans="5:6">
      <c r="E26" s="136" t="s">
        <v>172</v>
      </c>
      <c r="F26" s="137"/>
    </row>
    <row r="27" spans="5:6">
      <c r="E27" s="136" t="s">
        <v>173</v>
      </c>
      <c r="F27" s="137"/>
    </row>
    <row r="28" spans="5:6">
      <c r="E28" s="136" t="s">
        <v>174</v>
      </c>
      <c r="F28" s="137"/>
    </row>
    <row r="29" spans="5:6">
      <c r="E29" s="136" t="s">
        <v>189</v>
      </c>
      <c r="F29" s="141" t="s">
        <v>184</v>
      </c>
    </row>
    <row r="30" spans="5:6">
      <c r="E30" s="136" t="s">
        <v>175</v>
      </c>
      <c r="F30" s="137"/>
    </row>
    <row r="31" spans="5:6">
      <c r="E31" s="136"/>
      <c r="F31" s="137"/>
    </row>
    <row r="32" spans="5:6">
      <c r="E32" s="142" t="s">
        <v>176</v>
      </c>
      <c r="F32" s="137"/>
    </row>
    <row r="33" spans="5:6">
      <c r="E33" s="136" t="s">
        <v>177</v>
      </c>
      <c r="F33" s="137"/>
    </row>
    <row r="34" spans="5:6">
      <c r="E34" s="136" t="s">
        <v>178</v>
      </c>
      <c r="F34" s="141" t="s">
        <v>185</v>
      </c>
    </row>
    <row r="35" spans="5:6">
      <c r="E35" s="136" t="s">
        <v>190</v>
      </c>
      <c r="F35" s="137"/>
    </row>
    <row r="36" spans="5:6">
      <c r="E36" s="136" t="s">
        <v>172</v>
      </c>
      <c r="F36" s="137"/>
    </row>
    <row r="37" spans="5:6">
      <c r="E37" s="136" t="s">
        <v>173</v>
      </c>
      <c r="F37" s="137"/>
    </row>
    <row r="38" spans="5:6">
      <c r="E38" s="136" t="s">
        <v>174</v>
      </c>
      <c r="F38" s="137"/>
    </row>
    <row r="39" spans="5:6">
      <c r="E39" s="136" t="s">
        <v>178</v>
      </c>
      <c r="F39" s="141" t="s">
        <v>185</v>
      </c>
    </row>
    <row r="40" spans="5:6">
      <c r="E40" s="136" t="s">
        <v>175</v>
      </c>
      <c r="F40" s="137"/>
    </row>
    <row r="41" spans="5:6">
      <c r="E41" s="142" t="s">
        <v>179</v>
      </c>
      <c r="F41" s="137"/>
    </row>
    <row r="42" spans="5:6">
      <c r="E42" s="136" t="s">
        <v>177</v>
      </c>
      <c r="F42" s="137"/>
    </row>
    <row r="43" spans="5:6">
      <c r="E43" s="136" t="s">
        <v>180</v>
      </c>
      <c r="F43" s="141" t="s">
        <v>186</v>
      </c>
    </row>
    <row r="44" spans="5:6">
      <c r="E44" s="136" t="s">
        <v>191</v>
      </c>
      <c r="F44" s="137"/>
    </row>
    <row r="45" spans="5:6">
      <c r="E45" s="136" t="s">
        <v>172</v>
      </c>
      <c r="F45" s="137"/>
    </row>
    <row r="46" spans="5:6">
      <c r="E46" s="136" t="s">
        <v>173</v>
      </c>
      <c r="F46" s="137"/>
    </row>
    <row r="47" spans="5:6">
      <c r="E47" s="136" t="s">
        <v>174</v>
      </c>
      <c r="F47" s="137"/>
    </row>
    <row r="48" spans="5:6">
      <c r="E48" s="136" t="s">
        <v>180</v>
      </c>
      <c r="F48" s="141" t="s">
        <v>186</v>
      </c>
    </row>
    <row r="49" spans="5:6">
      <c r="E49" s="136" t="s">
        <v>175</v>
      </c>
      <c r="F49" s="137"/>
    </row>
    <row r="50" spans="5:6">
      <c r="E50" s="136"/>
      <c r="F50" s="137"/>
    </row>
    <row r="51" spans="5:6">
      <c r="E51" s="142" t="s">
        <v>181</v>
      </c>
      <c r="F51" s="137"/>
    </row>
    <row r="52" spans="5:6">
      <c r="E52" s="136" t="s">
        <v>182</v>
      </c>
      <c r="F52" s="141" t="s">
        <v>187</v>
      </c>
    </row>
    <row r="53" spans="5:6">
      <c r="E53" s="136" t="s">
        <v>192</v>
      </c>
      <c r="F53" s="137"/>
    </row>
    <row r="54" spans="5:6">
      <c r="E54" s="136" t="s">
        <v>172</v>
      </c>
      <c r="F54" s="137"/>
    </row>
    <row r="55" spans="5:6">
      <c r="E55" s="136" t="s">
        <v>173</v>
      </c>
      <c r="F55" s="137"/>
    </row>
    <row r="56" spans="5:6">
      <c r="E56" s="136" t="s">
        <v>174</v>
      </c>
      <c r="F56" s="137"/>
    </row>
    <row r="57" spans="5:6">
      <c r="E57" s="136" t="s">
        <v>182</v>
      </c>
      <c r="F57" s="141" t="s">
        <v>187</v>
      </c>
    </row>
    <row r="58" spans="5:6" s="11" customFormat="1">
      <c r="E58" s="136" t="s">
        <v>175</v>
      </c>
      <c r="F58" s="137"/>
    </row>
    <row r="59" spans="5:6">
      <c r="E59" s="139" t="s">
        <v>183</v>
      </c>
      <c r="F59" s="138"/>
    </row>
  </sheetData>
  <phoneticPr fontId="7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1">
    <tabColor rgb="FF92D050"/>
  </sheetPr>
  <dimension ref="A1:AA361"/>
  <sheetViews>
    <sheetView showGridLines="0" topLeftCell="E10" zoomScale="60" zoomScaleNormal="60" workbookViewId="0">
      <selection activeCell="L91" sqref="L91"/>
    </sheetView>
  </sheetViews>
  <sheetFormatPr defaultColWidth="9.109375" defaultRowHeight="13.8"/>
  <cols>
    <col min="1" max="1" width="3.109375" style="144" customWidth="1"/>
    <col min="2" max="2" width="14" style="271" bestFit="1" customWidth="1"/>
    <col min="3" max="3" width="17.33203125" style="144" customWidth="1"/>
    <col min="4" max="4" width="11" style="144" customWidth="1"/>
    <col min="5" max="5" width="12.5546875" style="144" customWidth="1"/>
    <col min="6" max="6" width="16.33203125" style="144" bestFit="1" customWidth="1"/>
    <col min="7" max="7" width="26.6640625" style="144" customWidth="1"/>
    <col min="8" max="8" width="10.88671875" style="144" customWidth="1"/>
    <col min="9" max="9" width="13.44140625" style="144" customWidth="1"/>
    <col min="10" max="10" width="10.109375" style="144" customWidth="1"/>
    <col min="11" max="11" width="18" style="200" customWidth="1"/>
    <col min="12" max="12" width="4.5546875" style="144" customWidth="1"/>
    <col min="13" max="13" width="19.6640625" style="200" bestFit="1" customWidth="1"/>
    <col min="14" max="14" width="9.6640625" style="144" customWidth="1"/>
    <col min="15" max="15" width="14.6640625" style="144" customWidth="1"/>
    <col min="16" max="16" width="9.109375" style="144" customWidth="1"/>
    <col min="17" max="25" width="11.44140625" style="144" bestFit="1" customWidth="1"/>
    <col min="26" max="26" width="13.33203125" style="144" bestFit="1" customWidth="1"/>
    <col min="27" max="27" width="44.33203125" style="230" customWidth="1"/>
    <col min="28" max="28" width="9.109375" style="144"/>
    <col min="29" max="29" width="17.88671875" style="144" customWidth="1"/>
    <col min="30" max="16384" width="9.109375" style="144"/>
  </cols>
  <sheetData>
    <row r="1" spans="2:27" ht="27.6">
      <c r="B1" s="144"/>
      <c r="I1" s="207"/>
      <c r="J1" s="208"/>
      <c r="K1" s="151" t="s">
        <v>202</v>
      </c>
      <c r="L1" s="209" t="s">
        <v>164</v>
      </c>
      <c r="M1" s="210" t="s">
        <v>141</v>
      </c>
      <c r="N1" s="211" t="s">
        <v>208</v>
      </c>
      <c r="O1" s="212" t="s">
        <v>209</v>
      </c>
      <c r="P1" s="213" t="s">
        <v>4</v>
      </c>
      <c r="Q1" s="213" t="s">
        <v>5</v>
      </c>
      <c r="R1" s="213" t="s">
        <v>6</v>
      </c>
      <c r="S1" s="213" t="s">
        <v>89</v>
      </c>
      <c r="T1" s="213" t="s">
        <v>8</v>
      </c>
      <c r="U1" s="213" t="s">
        <v>9</v>
      </c>
      <c r="V1" s="213" t="s">
        <v>10</v>
      </c>
      <c r="W1" s="213" t="s">
        <v>11</v>
      </c>
      <c r="X1" s="213" t="s">
        <v>12</v>
      </c>
      <c r="Y1" s="213" t="s">
        <v>210</v>
      </c>
      <c r="Z1" s="214" t="s">
        <v>0</v>
      </c>
      <c r="AA1" s="215"/>
    </row>
    <row r="2" spans="2:27" ht="16.5" customHeight="1">
      <c r="B2" s="144"/>
      <c r="H2" s="216" t="s">
        <v>211</v>
      </c>
      <c r="I2" s="208"/>
      <c r="J2" s="208" t="s">
        <v>240</v>
      </c>
      <c r="K2" s="217" t="s">
        <v>212</v>
      </c>
      <c r="L2" s="209">
        <v>1</v>
      </c>
      <c r="M2" s="217" t="s">
        <v>146</v>
      </c>
      <c r="N2" s="216">
        <v>9136</v>
      </c>
      <c r="O2" s="160" t="e">
        <f>Z2-N2</f>
        <v>#REF!</v>
      </c>
      <c r="P2" s="160"/>
      <c r="Q2" s="160">
        <f t="shared" ref="Q2:Y11" si="0">SUMIFS(Q$32:Q$491,$M$32:$M$491,$M2)</f>
        <v>600</v>
      </c>
      <c r="R2" s="160">
        <f t="shared" si="0"/>
        <v>600</v>
      </c>
      <c r="S2" s="160">
        <f t="shared" si="0"/>
        <v>2000</v>
      </c>
      <c r="T2" s="160">
        <f t="shared" si="0"/>
        <v>2000</v>
      </c>
      <c r="U2" s="160">
        <f t="shared" si="0"/>
        <v>1000</v>
      </c>
      <c r="V2" s="160">
        <f t="shared" si="0"/>
        <v>0</v>
      </c>
      <c r="W2" s="160">
        <f t="shared" si="0"/>
        <v>0</v>
      </c>
      <c r="X2" s="160">
        <f t="shared" si="0"/>
        <v>0</v>
      </c>
      <c r="Y2" s="160" t="e">
        <f t="shared" si="0"/>
        <v>#REF!</v>
      </c>
      <c r="Z2" s="160" t="e">
        <f t="shared" ref="Z2:Z26" si="1">SUM(Q2:Y2)</f>
        <v>#REF!</v>
      </c>
      <c r="AA2" s="215"/>
    </row>
    <row r="3" spans="2:27" ht="16.5" customHeight="1">
      <c r="B3" s="144"/>
      <c r="H3" s="219" t="s">
        <v>103</v>
      </c>
      <c r="I3" s="208"/>
      <c r="J3" s="208" t="s">
        <v>240</v>
      </c>
      <c r="K3" s="217" t="s">
        <v>213</v>
      </c>
      <c r="L3" s="209">
        <v>2</v>
      </c>
      <c r="M3" s="217" t="s">
        <v>149</v>
      </c>
      <c r="N3" s="216">
        <v>86720</v>
      </c>
      <c r="O3" s="160" t="e">
        <f t="shared" ref="O3:O12" si="2">Z3-N3</f>
        <v>#REF!</v>
      </c>
      <c r="P3" s="160"/>
      <c r="Q3" s="160">
        <f t="shared" si="0"/>
        <v>600</v>
      </c>
      <c r="R3" s="160">
        <f t="shared" si="0"/>
        <v>600</v>
      </c>
      <c r="S3" s="160">
        <f t="shared" si="0"/>
        <v>2000</v>
      </c>
      <c r="T3" s="160">
        <f t="shared" si="0"/>
        <v>2000</v>
      </c>
      <c r="U3" s="160">
        <f t="shared" si="0"/>
        <v>1000</v>
      </c>
      <c r="V3" s="160">
        <f t="shared" si="0"/>
        <v>0</v>
      </c>
      <c r="W3" s="160">
        <f t="shared" si="0"/>
        <v>0</v>
      </c>
      <c r="X3" s="160">
        <f t="shared" si="0"/>
        <v>0</v>
      </c>
      <c r="Y3" s="160" t="e">
        <f t="shared" si="0"/>
        <v>#REF!</v>
      </c>
      <c r="Z3" s="160" t="e">
        <f t="shared" si="1"/>
        <v>#REF!</v>
      </c>
      <c r="AA3" s="215"/>
    </row>
    <row r="4" spans="2:27" ht="16.5" customHeight="1">
      <c r="B4" s="144"/>
      <c r="H4" s="208"/>
      <c r="I4" s="208"/>
      <c r="J4" s="208" t="s">
        <v>240</v>
      </c>
      <c r="K4" s="217" t="s">
        <v>214</v>
      </c>
      <c r="L4" s="209">
        <v>3</v>
      </c>
      <c r="M4" s="217" t="s">
        <v>144</v>
      </c>
      <c r="N4" s="216">
        <v>11770</v>
      </c>
      <c r="O4" s="160" t="e">
        <f t="shared" si="2"/>
        <v>#REF!</v>
      </c>
      <c r="P4" s="160"/>
      <c r="Q4" s="160">
        <f t="shared" si="0"/>
        <v>600</v>
      </c>
      <c r="R4" s="160">
        <f t="shared" si="0"/>
        <v>600</v>
      </c>
      <c r="S4" s="160">
        <f t="shared" si="0"/>
        <v>2000</v>
      </c>
      <c r="T4" s="160">
        <f t="shared" si="0"/>
        <v>2000</v>
      </c>
      <c r="U4" s="160">
        <f t="shared" si="0"/>
        <v>1000</v>
      </c>
      <c r="V4" s="160">
        <f t="shared" si="0"/>
        <v>0</v>
      </c>
      <c r="W4" s="160">
        <f t="shared" si="0"/>
        <v>0</v>
      </c>
      <c r="X4" s="160">
        <f t="shared" si="0"/>
        <v>0</v>
      </c>
      <c r="Y4" s="160" t="e">
        <f t="shared" si="0"/>
        <v>#REF!</v>
      </c>
      <c r="Z4" s="160" t="e">
        <f t="shared" si="1"/>
        <v>#REF!</v>
      </c>
      <c r="AA4" s="215"/>
    </row>
    <row r="5" spans="2:27" ht="16.5" customHeight="1">
      <c r="B5" s="144"/>
      <c r="H5" s="208"/>
      <c r="I5" s="208"/>
      <c r="J5" s="208" t="s">
        <v>240</v>
      </c>
      <c r="K5" s="217" t="s">
        <v>154</v>
      </c>
      <c r="L5" s="209">
        <v>4</v>
      </c>
      <c r="M5" s="217" t="s">
        <v>150</v>
      </c>
      <c r="N5" s="216">
        <v>12554</v>
      </c>
      <c r="O5" s="160" t="e">
        <f t="shared" si="2"/>
        <v>#REF!</v>
      </c>
      <c r="P5" s="160"/>
      <c r="Q5" s="160">
        <f t="shared" si="0"/>
        <v>600</v>
      </c>
      <c r="R5" s="160">
        <f t="shared" si="0"/>
        <v>600</v>
      </c>
      <c r="S5" s="160">
        <f t="shared" si="0"/>
        <v>2000</v>
      </c>
      <c r="T5" s="160">
        <f t="shared" si="0"/>
        <v>2000</v>
      </c>
      <c r="U5" s="160">
        <f t="shared" si="0"/>
        <v>1000</v>
      </c>
      <c r="V5" s="160">
        <f t="shared" si="0"/>
        <v>0</v>
      </c>
      <c r="W5" s="160">
        <f t="shared" si="0"/>
        <v>0</v>
      </c>
      <c r="X5" s="160">
        <f t="shared" si="0"/>
        <v>0</v>
      </c>
      <c r="Y5" s="160" t="e">
        <f t="shared" si="0"/>
        <v>#REF!</v>
      </c>
      <c r="Z5" s="160" t="e">
        <f t="shared" si="1"/>
        <v>#REF!</v>
      </c>
      <c r="AA5" s="215"/>
    </row>
    <row r="6" spans="2:27" ht="16.5" customHeight="1">
      <c r="B6" s="144"/>
      <c r="H6" s="208"/>
      <c r="I6" s="208"/>
      <c r="J6" s="208" t="s">
        <v>240</v>
      </c>
      <c r="K6" s="217" t="s">
        <v>215</v>
      </c>
      <c r="L6" s="209">
        <v>5</v>
      </c>
      <c r="M6" s="217" t="s">
        <v>147</v>
      </c>
      <c r="N6" s="216">
        <v>4568</v>
      </c>
      <c r="O6" s="161" t="e">
        <f t="shared" si="2"/>
        <v>#REF!</v>
      </c>
      <c r="P6" s="160"/>
      <c r="Q6" s="160">
        <f t="shared" si="0"/>
        <v>600</v>
      </c>
      <c r="R6" s="160">
        <f t="shared" si="0"/>
        <v>600</v>
      </c>
      <c r="S6" s="160">
        <f t="shared" si="0"/>
        <v>2000</v>
      </c>
      <c r="T6" s="160">
        <f t="shared" si="0"/>
        <v>2000</v>
      </c>
      <c r="U6" s="160">
        <f t="shared" si="0"/>
        <v>1000</v>
      </c>
      <c r="V6" s="160">
        <f t="shared" si="0"/>
        <v>0</v>
      </c>
      <c r="W6" s="160">
        <f t="shared" si="0"/>
        <v>0</v>
      </c>
      <c r="X6" s="160">
        <f t="shared" si="0"/>
        <v>0</v>
      </c>
      <c r="Y6" s="160" t="e">
        <f t="shared" si="0"/>
        <v>#REF!</v>
      </c>
      <c r="Z6" s="160" t="e">
        <f t="shared" si="1"/>
        <v>#REF!</v>
      </c>
      <c r="AA6" s="215"/>
    </row>
    <row r="7" spans="2:27" ht="16.5" customHeight="1">
      <c r="B7" s="144"/>
      <c r="H7" s="208"/>
      <c r="I7" s="208"/>
      <c r="J7" s="208" t="s">
        <v>240</v>
      </c>
      <c r="K7" s="217" t="s">
        <v>216</v>
      </c>
      <c r="L7" s="209">
        <v>6</v>
      </c>
      <c r="M7" s="217" t="s">
        <v>145</v>
      </c>
      <c r="N7" s="216">
        <v>21791</v>
      </c>
      <c r="O7" s="161" t="e">
        <f t="shared" si="2"/>
        <v>#REF!</v>
      </c>
      <c r="P7" s="160"/>
      <c r="Q7" s="160">
        <f t="shared" si="0"/>
        <v>0</v>
      </c>
      <c r="R7" s="160">
        <f t="shared" si="0"/>
        <v>0</v>
      </c>
      <c r="S7" s="160">
        <f t="shared" si="0"/>
        <v>0</v>
      </c>
      <c r="T7" s="160">
        <f t="shared" si="0"/>
        <v>0</v>
      </c>
      <c r="U7" s="160">
        <f t="shared" si="0"/>
        <v>0</v>
      </c>
      <c r="V7" s="160">
        <f t="shared" si="0"/>
        <v>0</v>
      </c>
      <c r="W7" s="160">
        <f t="shared" si="0"/>
        <v>0</v>
      </c>
      <c r="X7" s="160">
        <f t="shared" si="0"/>
        <v>0</v>
      </c>
      <c r="Y7" s="160" t="e">
        <f t="shared" si="0"/>
        <v>#REF!</v>
      </c>
      <c r="Z7" s="160" t="e">
        <f t="shared" si="1"/>
        <v>#REF!</v>
      </c>
      <c r="AA7" s="215"/>
    </row>
    <row r="8" spans="2:27" ht="16.5" customHeight="1">
      <c r="B8" s="144"/>
      <c r="I8" s="208"/>
      <c r="J8" s="208" t="s">
        <v>240</v>
      </c>
      <c r="K8" s="217" t="s">
        <v>216</v>
      </c>
      <c r="L8" s="209">
        <v>7</v>
      </c>
      <c r="M8" s="217" t="s">
        <v>161</v>
      </c>
      <c r="N8" s="216">
        <v>81109</v>
      </c>
      <c r="O8" s="161" t="e">
        <f t="shared" si="2"/>
        <v>#REF!</v>
      </c>
      <c r="P8" s="160"/>
      <c r="Q8" s="160">
        <f t="shared" si="0"/>
        <v>1800</v>
      </c>
      <c r="R8" s="160">
        <f t="shared" si="0"/>
        <v>1800</v>
      </c>
      <c r="S8" s="160">
        <f t="shared" si="0"/>
        <v>0</v>
      </c>
      <c r="T8" s="160">
        <f t="shared" si="0"/>
        <v>0</v>
      </c>
      <c r="U8" s="160">
        <f t="shared" si="0"/>
        <v>0</v>
      </c>
      <c r="V8" s="160">
        <f t="shared" si="0"/>
        <v>0</v>
      </c>
      <c r="W8" s="160">
        <f t="shared" si="0"/>
        <v>0</v>
      </c>
      <c r="X8" s="160">
        <f t="shared" si="0"/>
        <v>0</v>
      </c>
      <c r="Y8" s="160" t="e">
        <f t="shared" si="0"/>
        <v>#REF!</v>
      </c>
      <c r="Z8" s="160" t="e">
        <f t="shared" si="1"/>
        <v>#REF!</v>
      </c>
      <c r="AA8" s="215"/>
    </row>
    <row r="9" spans="2:27" ht="16.5" customHeight="1">
      <c r="B9" s="144"/>
      <c r="I9" s="208"/>
      <c r="J9" s="208" t="s">
        <v>240</v>
      </c>
      <c r="K9" s="217" t="s">
        <v>216</v>
      </c>
      <c r="L9" s="209">
        <v>8</v>
      </c>
      <c r="M9" s="217" t="s">
        <v>151</v>
      </c>
      <c r="N9" s="216">
        <v>29097</v>
      </c>
      <c r="O9" s="161" t="e">
        <f t="shared" si="2"/>
        <v>#REF!</v>
      </c>
      <c r="P9" s="160"/>
      <c r="Q9" s="160">
        <f t="shared" si="0"/>
        <v>0</v>
      </c>
      <c r="R9" s="160">
        <f t="shared" si="0"/>
        <v>0</v>
      </c>
      <c r="S9" s="160">
        <f t="shared" si="0"/>
        <v>0</v>
      </c>
      <c r="T9" s="160">
        <f t="shared" si="0"/>
        <v>0</v>
      </c>
      <c r="U9" s="160">
        <f t="shared" si="0"/>
        <v>0</v>
      </c>
      <c r="V9" s="160">
        <f t="shared" si="0"/>
        <v>0</v>
      </c>
      <c r="W9" s="160">
        <f t="shared" si="0"/>
        <v>0</v>
      </c>
      <c r="X9" s="160">
        <f t="shared" si="0"/>
        <v>0</v>
      </c>
      <c r="Y9" s="160" t="e">
        <f t="shared" si="0"/>
        <v>#REF!</v>
      </c>
      <c r="Z9" s="160" t="e">
        <f t="shared" si="1"/>
        <v>#REF!</v>
      </c>
      <c r="AA9" s="215"/>
    </row>
    <row r="10" spans="2:27" ht="16.5" customHeight="1">
      <c r="B10" s="144"/>
      <c r="G10" s="220"/>
      <c r="I10" s="208"/>
      <c r="J10" s="208" t="s">
        <v>240</v>
      </c>
      <c r="K10" s="217" t="s">
        <v>216</v>
      </c>
      <c r="L10" s="209">
        <v>9</v>
      </c>
      <c r="M10" s="217" t="s">
        <v>143</v>
      </c>
      <c r="N10" s="216">
        <v>25000</v>
      </c>
      <c r="O10" s="161" t="e">
        <f>Z10-N10</f>
        <v>#REF!</v>
      </c>
      <c r="P10" s="160"/>
      <c r="Q10" s="160">
        <f t="shared" si="0"/>
        <v>0</v>
      </c>
      <c r="R10" s="160">
        <f t="shared" si="0"/>
        <v>0</v>
      </c>
      <c r="S10" s="160">
        <f t="shared" si="0"/>
        <v>0</v>
      </c>
      <c r="T10" s="160">
        <f t="shared" si="0"/>
        <v>0</v>
      </c>
      <c r="U10" s="160">
        <f t="shared" si="0"/>
        <v>0</v>
      </c>
      <c r="V10" s="160">
        <f t="shared" si="0"/>
        <v>0</v>
      </c>
      <c r="W10" s="160">
        <f t="shared" si="0"/>
        <v>0</v>
      </c>
      <c r="X10" s="160">
        <f t="shared" si="0"/>
        <v>0</v>
      </c>
      <c r="Y10" s="160" t="e">
        <f t="shared" si="0"/>
        <v>#REF!</v>
      </c>
      <c r="Z10" s="160" t="e">
        <f>SUM(Q10:Y10)</f>
        <v>#REF!</v>
      </c>
      <c r="AA10" s="215"/>
    </row>
    <row r="11" spans="2:27" ht="16.5" customHeight="1">
      <c r="B11" s="144"/>
      <c r="G11" s="221"/>
      <c r="I11" s="208"/>
      <c r="J11" s="208" t="s">
        <v>240</v>
      </c>
      <c r="K11" s="217" t="s">
        <v>217</v>
      </c>
      <c r="L11" s="209">
        <v>10</v>
      </c>
      <c r="M11" s="217" t="s">
        <v>162</v>
      </c>
      <c r="N11" s="216">
        <v>13198</v>
      </c>
      <c r="O11" s="161" t="e">
        <f t="shared" si="2"/>
        <v>#REF!</v>
      </c>
      <c r="P11" s="160"/>
      <c r="Q11" s="160">
        <f t="shared" si="0"/>
        <v>0</v>
      </c>
      <c r="R11" s="160">
        <f t="shared" si="0"/>
        <v>0</v>
      </c>
      <c r="S11" s="160">
        <f t="shared" si="0"/>
        <v>0</v>
      </c>
      <c r="T11" s="160">
        <f t="shared" si="0"/>
        <v>0</v>
      </c>
      <c r="U11" s="160">
        <f t="shared" si="0"/>
        <v>0</v>
      </c>
      <c r="V11" s="160">
        <f t="shared" si="0"/>
        <v>0</v>
      </c>
      <c r="W11" s="160">
        <f t="shared" si="0"/>
        <v>0</v>
      </c>
      <c r="X11" s="160">
        <f t="shared" si="0"/>
        <v>0</v>
      </c>
      <c r="Y11" s="160" t="e">
        <f t="shared" si="0"/>
        <v>#REF!</v>
      </c>
      <c r="Z11" s="160" t="e">
        <f t="shared" si="1"/>
        <v>#REF!</v>
      </c>
      <c r="AA11" s="215"/>
    </row>
    <row r="12" spans="2:27" ht="16.5" customHeight="1">
      <c r="B12" s="144"/>
      <c r="I12" s="208"/>
      <c r="J12" s="208" t="s">
        <v>240</v>
      </c>
      <c r="K12" s="217" t="s">
        <v>217</v>
      </c>
      <c r="L12" s="209">
        <v>11</v>
      </c>
      <c r="M12" s="217" t="s">
        <v>163</v>
      </c>
      <c r="N12" s="216">
        <v>286</v>
      </c>
      <c r="O12" s="161" t="e">
        <f t="shared" si="2"/>
        <v>#REF!</v>
      </c>
      <c r="P12" s="160"/>
      <c r="Q12" s="160">
        <f t="shared" ref="Q12:Y19" si="3">SUMIFS(Q$32:Q$491,$M$32:$M$491,$M12)</f>
        <v>0</v>
      </c>
      <c r="R12" s="160">
        <f t="shared" si="3"/>
        <v>0</v>
      </c>
      <c r="S12" s="160">
        <f t="shared" si="3"/>
        <v>0</v>
      </c>
      <c r="T12" s="160">
        <f t="shared" si="3"/>
        <v>0</v>
      </c>
      <c r="U12" s="160">
        <f t="shared" si="3"/>
        <v>0</v>
      </c>
      <c r="V12" s="160">
        <f t="shared" si="3"/>
        <v>0</v>
      </c>
      <c r="W12" s="160">
        <f t="shared" si="3"/>
        <v>0</v>
      </c>
      <c r="X12" s="160">
        <f t="shared" si="3"/>
        <v>0</v>
      </c>
      <c r="Y12" s="160" t="e">
        <f t="shared" si="3"/>
        <v>#REF!</v>
      </c>
      <c r="Z12" s="160" t="e">
        <f t="shared" si="1"/>
        <v>#REF!</v>
      </c>
      <c r="AA12" s="215"/>
    </row>
    <row r="13" spans="2:27" ht="16.5" customHeight="1">
      <c r="B13" s="144"/>
      <c r="H13" s="208"/>
      <c r="I13" s="208"/>
      <c r="J13" s="208" t="s">
        <v>240</v>
      </c>
      <c r="K13" s="217" t="s">
        <v>217</v>
      </c>
      <c r="L13" s="209">
        <v>12</v>
      </c>
      <c r="M13" s="217" t="s">
        <v>160</v>
      </c>
      <c r="N13" s="216">
        <v>39900</v>
      </c>
      <c r="O13" s="161" t="e">
        <f>Z13-N13</f>
        <v>#REF!</v>
      </c>
      <c r="P13" s="160"/>
      <c r="Q13" s="160">
        <f t="shared" si="3"/>
        <v>600</v>
      </c>
      <c r="R13" s="160">
        <f t="shared" si="3"/>
        <v>600</v>
      </c>
      <c r="S13" s="160">
        <f t="shared" si="3"/>
        <v>0</v>
      </c>
      <c r="T13" s="160">
        <f t="shared" si="3"/>
        <v>0</v>
      </c>
      <c r="U13" s="160">
        <f t="shared" si="3"/>
        <v>0</v>
      </c>
      <c r="V13" s="160">
        <f t="shared" si="3"/>
        <v>0</v>
      </c>
      <c r="W13" s="160">
        <f t="shared" si="3"/>
        <v>0</v>
      </c>
      <c r="X13" s="160">
        <f t="shared" si="3"/>
        <v>0</v>
      </c>
      <c r="Y13" s="160" t="e">
        <f t="shared" si="3"/>
        <v>#REF!</v>
      </c>
      <c r="Z13" s="160" t="e">
        <f>SUM(Q13:Y13)</f>
        <v>#REF!</v>
      </c>
      <c r="AA13" s="215"/>
    </row>
    <row r="14" spans="2:27" ht="16.5" customHeight="1">
      <c r="B14" s="144"/>
      <c r="G14" s="220"/>
      <c r="I14" s="208"/>
      <c r="J14" s="279" t="s">
        <v>103</v>
      </c>
      <c r="K14" s="219" t="s">
        <v>217</v>
      </c>
      <c r="L14" s="223">
        <v>9</v>
      </c>
      <c r="M14" s="219" t="s">
        <v>256</v>
      </c>
      <c r="N14" s="223"/>
      <c r="O14" s="281" t="e">
        <f t="shared" ref="O14:O17" si="4">Z14-N14</f>
        <v>#REF!</v>
      </c>
      <c r="P14" s="226"/>
      <c r="Q14" s="226">
        <f t="shared" si="3"/>
        <v>0</v>
      </c>
      <c r="R14" s="226">
        <f t="shared" si="3"/>
        <v>0</v>
      </c>
      <c r="S14" s="226">
        <f t="shared" si="3"/>
        <v>2000</v>
      </c>
      <c r="T14" s="226">
        <f t="shared" si="3"/>
        <v>2000</v>
      </c>
      <c r="U14" s="226">
        <f t="shared" si="3"/>
        <v>1000</v>
      </c>
      <c r="V14" s="226">
        <f t="shared" si="3"/>
        <v>0</v>
      </c>
      <c r="W14" s="226">
        <f t="shared" si="3"/>
        <v>0</v>
      </c>
      <c r="X14" s="226">
        <f t="shared" si="3"/>
        <v>0</v>
      </c>
      <c r="Y14" s="226" t="e">
        <f t="shared" si="3"/>
        <v>#REF!</v>
      </c>
      <c r="Z14" s="226" t="e">
        <f>SUM(Q14:Y14)</f>
        <v>#REF!</v>
      </c>
      <c r="AA14" s="215"/>
    </row>
    <row r="15" spans="2:27" ht="16.5" customHeight="1">
      <c r="B15" s="144"/>
      <c r="G15" s="221"/>
      <c r="I15" s="208"/>
      <c r="J15" s="279" t="s">
        <v>103</v>
      </c>
      <c r="K15" s="219" t="s">
        <v>216</v>
      </c>
      <c r="L15" s="223">
        <v>10</v>
      </c>
      <c r="M15" s="219" t="s">
        <v>257</v>
      </c>
      <c r="N15" s="223"/>
      <c r="O15" s="281" t="e">
        <f t="shared" si="4"/>
        <v>#REF!</v>
      </c>
      <c r="P15" s="226"/>
      <c r="Q15" s="226">
        <f t="shared" si="3"/>
        <v>0</v>
      </c>
      <c r="R15" s="226">
        <f t="shared" si="3"/>
        <v>0</v>
      </c>
      <c r="S15" s="226">
        <f t="shared" si="3"/>
        <v>6000</v>
      </c>
      <c r="T15" s="226">
        <f t="shared" si="3"/>
        <v>6000</v>
      </c>
      <c r="U15" s="226">
        <f t="shared" si="3"/>
        <v>3000</v>
      </c>
      <c r="V15" s="226">
        <f t="shared" si="3"/>
        <v>0</v>
      </c>
      <c r="W15" s="226">
        <f t="shared" si="3"/>
        <v>0</v>
      </c>
      <c r="X15" s="226">
        <f t="shared" si="3"/>
        <v>0</v>
      </c>
      <c r="Y15" s="226" t="e">
        <f t="shared" si="3"/>
        <v>#REF!</v>
      </c>
      <c r="Z15" s="226" t="e">
        <f t="shared" ref="Z15" si="5">SUM(Q15:Y15)</f>
        <v>#REF!</v>
      </c>
      <c r="AA15" s="215"/>
    </row>
    <row r="16" spans="2:27" ht="16.5" customHeight="1">
      <c r="B16" s="144"/>
      <c r="G16" s="220"/>
      <c r="I16" s="208"/>
      <c r="J16" s="279" t="s">
        <v>103</v>
      </c>
      <c r="K16" s="219" t="s">
        <v>217</v>
      </c>
      <c r="L16" s="223">
        <v>9</v>
      </c>
      <c r="M16" s="219" t="s">
        <v>241</v>
      </c>
      <c r="N16" s="223"/>
      <c r="O16" s="281" t="e">
        <f t="shared" si="4"/>
        <v>#REF!</v>
      </c>
      <c r="P16" s="226"/>
      <c r="Q16" s="226">
        <f t="shared" si="3"/>
        <v>0</v>
      </c>
      <c r="R16" s="226">
        <f t="shared" si="3"/>
        <v>0</v>
      </c>
      <c r="S16" s="226">
        <f t="shared" si="3"/>
        <v>0</v>
      </c>
      <c r="T16" s="226">
        <f t="shared" si="3"/>
        <v>0</v>
      </c>
      <c r="U16" s="226">
        <f t="shared" si="3"/>
        <v>0</v>
      </c>
      <c r="V16" s="226">
        <f t="shared" si="3"/>
        <v>0</v>
      </c>
      <c r="W16" s="226">
        <f t="shared" si="3"/>
        <v>0</v>
      </c>
      <c r="X16" s="226">
        <f t="shared" si="3"/>
        <v>0</v>
      </c>
      <c r="Y16" s="226" t="e">
        <f t="shared" si="3"/>
        <v>#REF!</v>
      </c>
      <c r="Z16" s="226" t="e">
        <f>SUM(Q16:Y16)</f>
        <v>#REF!</v>
      </c>
      <c r="AA16" s="215"/>
    </row>
    <row r="17" spans="2:27" ht="16.5" customHeight="1">
      <c r="B17" s="144"/>
      <c r="G17" s="221"/>
      <c r="I17" s="208"/>
      <c r="J17" s="279" t="s">
        <v>103</v>
      </c>
      <c r="K17" s="219" t="s">
        <v>216</v>
      </c>
      <c r="L17" s="223">
        <v>10</v>
      </c>
      <c r="M17" s="219" t="s">
        <v>242</v>
      </c>
      <c r="N17" s="223"/>
      <c r="O17" s="281" t="e">
        <f t="shared" si="4"/>
        <v>#REF!</v>
      </c>
      <c r="P17" s="226"/>
      <c r="Q17" s="226">
        <f t="shared" si="3"/>
        <v>0</v>
      </c>
      <c r="R17" s="226">
        <f t="shared" si="3"/>
        <v>0</v>
      </c>
      <c r="S17" s="226">
        <f t="shared" si="3"/>
        <v>0</v>
      </c>
      <c r="T17" s="226">
        <f t="shared" si="3"/>
        <v>0</v>
      </c>
      <c r="U17" s="226">
        <f t="shared" si="3"/>
        <v>0</v>
      </c>
      <c r="V17" s="226">
        <f t="shared" si="3"/>
        <v>0</v>
      </c>
      <c r="W17" s="226">
        <f t="shared" si="3"/>
        <v>0</v>
      </c>
      <c r="X17" s="226">
        <f t="shared" si="3"/>
        <v>0</v>
      </c>
      <c r="Y17" s="226" t="e">
        <f t="shared" si="3"/>
        <v>#REF!</v>
      </c>
      <c r="Z17" s="226" t="e">
        <f t="shared" ref="Z17" si="6">SUM(Q17:Y17)</f>
        <v>#REF!</v>
      </c>
      <c r="AA17" s="215"/>
    </row>
    <row r="18" spans="2:27" ht="16.5" customHeight="1">
      <c r="B18" s="144"/>
      <c r="G18" s="220"/>
      <c r="I18" s="208"/>
      <c r="J18" s="279" t="s">
        <v>103</v>
      </c>
      <c r="K18" s="219" t="s">
        <v>217</v>
      </c>
      <c r="L18" s="223">
        <v>9</v>
      </c>
      <c r="M18" s="219" t="s">
        <v>258</v>
      </c>
      <c r="N18" s="223"/>
      <c r="O18" s="281" t="e">
        <f t="shared" ref="O18:O19" si="7">Z18-N18</f>
        <v>#REF!</v>
      </c>
      <c r="P18" s="226"/>
      <c r="Q18" s="226">
        <f t="shared" si="3"/>
        <v>0</v>
      </c>
      <c r="R18" s="226">
        <f t="shared" si="3"/>
        <v>0</v>
      </c>
      <c r="S18" s="226">
        <f t="shared" si="3"/>
        <v>0</v>
      </c>
      <c r="T18" s="226">
        <f t="shared" si="3"/>
        <v>0</v>
      </c>
      <c r="U18" s="226">
        <f t="shared" si="3"/>
        <v>0</v>
      </c>
      <c r="V18" s="226">
        <f t="shared" si="3"/>
        <v>0</v>
      </c>
      <c r="W18" s="226">
        <f t="shared" si="3"/>
        <v>0</v>
      </c>
      <c r="X18" s="226">
        <f t="shared" si="3"/>
        <v>0</v>
      </c>
      <c r="Y18" s="226" t="e">
        <f t="shared" si="3"/>
        <v>#REF!</v>
      </c>
      <c r="Z18" s="226" t="e">
        <f>SUM(Q18:Y18)</f>
        <v>#REF!</v>
      </c>
      <c r="AA18" s="215"/>
    </row>
    <row r="19" spans="2:27" ht="16.5" customHeight="1">
      <c r="B19" s="144"/>
      <c r="G19" s="221"/>
      <c r="I19" s="208"/>
      <c r="J19" s="279" t="s">
        <v>103</v>
      </c>
      <c r="K19" s="219" t="s">
        <v>216</v>
      </c>
      <c r="L19" s="223">
        <v>10</v>
      </c>
      <c r="M19" s="219" t="s">
        <v>259</v>
      </c>
      <c r="N19" s="223"/>
      <c r="O19" s="281" t="e">
        <f t="shared" si="7"/>
        <v>#REF!</v>
      </c>
      <c r="P19" s="226"/>
      <c r="Q19" s="226">
        <f t="shared" si="3"/>
        <v>0</v>
      </c>
      <c r="R19" s="226">
        <f t="shared" si="3"/>
        <v>0</v>
      </c>
      <c r="S19" s="226">
        <f t="shared" si="3"/>
        <v>0</v>
      </c>
      <c r="T19" s="226">
        <f t="shared" si="3"/>
        <v>0</v>
      </c>
      <c r="U19" s="226">
        <f t="shared" si="3"/>
        <v>0</v>
      </c>
      <c r="V19" s="226">
        <f t="shared" si="3"/>
        <v>0</v>
      </c>
      <c r="W19" s="226">
        <f t="shared" si="3"/>
        <v>0</v>
      </c>
      <c r="X19" s="226">
        <f t="shared" si="3"/>
        <v>0</v>
      </c>
      <c r="Y19" s="226" t="e">
        <f t="shared" si="3"/>
        <v>#REF!</v>
      </c>
      <c r="Z19" s="226" t="e">
        <f t="shared" ref="Z19" si="8">SUM(Q19:Y19)</f>
        <v>#REF!</v>
      </c>
      <c r="AA19" s="215"/>
    </row>
    <row r="20" spans="2:27" ht="16.5" customHeight="1">
      <c r="B20" s="222"/>
      <c r="C20" s="145"/>
      <c r="D20" s="145"/>
      <c r="E20" s="145"/>
      <c r="J20" s="279" t="s">
        <v>103</v>
      </c>
      <c r="K20" s="219" t="s">
        <v>213</v>
      </c>
      <c r="L20" s="223">
        <v>1</v>
      </c>
      <c r="M20" s="219" t="s">
        <v>218</v>
      </c>
      <c r="N20" s="224"/>
      <c r="O20" s="224"/>
      <c r="P20" s="224"/>
      <c r="Q20" s="223">
        <f t="shared" ref="Q20:Y22" si="9">SUMIFS(Q$32:Q$491,$M$32:$M$491,$M20)</f>
        <v>0</v>
      </c>
      <c r="R20" s="223">
        <f t="shared" si="9"/>
        <v>0</v>
      </c>
      <c r="S20" s="223">
        <f t="shared" si="9"/>
        <v>0</v>
      </c>
      <c r="T20" s="223">
        <f t="shared" si="9"/>
        <v>0</v>
      </c>
      <c r="U20" s="223">
        <f t="shared" si="9"/>
        <v>0</v>
      </c>
      <c r="V20" s="223">
        <f t="shared" si="9"/>
        <v>0</v>
      </c>
      <c r="W20" s="223">
        <f t="shared" si="9"/>
        <v>0</v>
      </c>
      <c r="X20" s="223">
        <f t="shared" si="9"/>
        <v>0</v>
      </c>
      <c r="Y20" s="223" t="e">
        <f t="shared" si="9"/>
        <v>#REF!</v>
      </c>
      <c r="Z20" s="223" t="e">
        <f>SUM(Q20:Y20)</f>
        <v>#REF!</v>
      </c>
      <c r="AA20" s="225"/>
    </row>
    <row r="21" spans="2:27" ht="16.5" customHeight="1">
      <c r="B21" s="144"/>
      <c r="I21" s="208"/>
      <c r="J21" s="279" t="s">
        <v>103</v>
      </c>
      <c r="K21" s="219" t="s">
        <v>216</v>
      </c>
      <c r="L21" s="223">
        <v>3</v>
      </c>
      <c r="M21" s="219" t="s">
        <v>219</v>
      </c>
      <c r="N21" s="224"/>
      <c r="O21" s="224"/>
      <c r="P21" s="224"/>
      <c r="Q21" s="223">
        <f t="shared" si="9"/>
        <v>0</v>
      </c>
      <c r="R21" s="223">
        <f t="shared" si="9"/>
        <v>0</v>
      </c>
      <c r="S21" s="223">
        <f t="shared" si="9"/>
        <v>0</v>
      </c>
      <c r="T21" s="223">
        <f t="shared" si="9"/>
        <v>0</v>
      </c>
      <c r="U21" s="223">
        <f t="shared" si="9"/>
        <v>0</v>
      </c>
      <c r="V21" s="223">
        <f t="shared" si="9"/>
        <v>0</v>
      </c>
      <c r="W21" s="223">
        <f t="shared" si="9"/>
        <v>0</v>
      </c>
      <c r="X21" s="223">
        <f t="shared" si="9"/>
        <v>0</v>
      </c>
      <c r="Y21" s="223" t="e">
        <f t="shared" si="9"/>
        <v>#REF!</v>
      </c>
      <c r="Z21" s="223" t="e">
        <f t="shared" si="1"/>
        <v>#REF!</v>
      </c>
      <c r="AA21" s="225"/>
    </row>
    <row r="22" spans="2:27" ht="16.5" customHeight="1">
      <c r="B22" s="222"/>
      <c r="C22" s="145"/>
      <c r="D22" s="145"/>
      <c r="E22" s="145"/>
      <c r="J22" s="279" t="s">
        <v>103</v>
      </c>
      <c r="K22" s="219" t="s">
        <v>216</v>
      </c>
      <c r="L22" s="223">
        <v>4</v>
      </c>
      <c r="M22" s="219" t="s">
        <v>220</v>
      </c>
      <c r="N22" s="226"/>
      <c r="O22" s="226"/>
      <c r="P22" s="226"/>
      <c r="Q22" s="223">
        <f t="shared" si="9"/>
        <v>0</v>
      </c>
      <c r="R22" s="223">
        <f t="shared" si="9"/>
        <v>0</v>
      </c>
      <c r="S22" s="223">
        <f t="shared" si="9"/>
        <v>0</v>
      </c>
      <c r="T22" s="223">
        <f t="shared" si="9"/>
        <v>0</v>
      </c>
      <c r="U22" s="223">
        <f t="shared" si="9"/>
        <v>0</v>
      </c>
      <c r="V22" s="223">
        <f t="shared" si="9"/>
        <v>0</v>
      </c>
      <c r="W22" s="223">
        <f t="shared" si="9"/>
        <v>0</v>
      </c>
      <c r="X22" s="223">
        <f t="shared" si="9"/>
        <v>0</v>
      </c>
      <c r="Y22" s="223" t="e">
        <f t="shared" si="9"/>
        <v>#REF!</v>
      </c>
      <c r="Z22" s="223" t="e">
        <f t="shared" si="1"/>
        <v>#REF!</v>
      </c>
      <c r="AA22" s="225"/>
    </row>
    <row r="23" spans="2:27" ht="16.5" customHeight="1">
      <c r="B23" s="144"/>
      <c r="I23" s="208"/>
      <c r="J23" s="279" t="s">
        <v>103</v>
      </c>
      <c r="K23" s="219" t="s">
        <v>217</v>
      </c>
      <c r="L23" s="223">
        <v>5</v>
      </c>
      <c r="M23" s="219" t="s">
        <v>221</v>
      </c>
      <c r="N23" s="224"/>
      <c r="O23" s="224"/>
      <c r="P23" s="224"/>
      <c r="Q23" s="223">
        <f t="shared" ref="Q23:Y26" si="10">SUMIFS(Q$32:Q$491,$M$32:$M$491,$M23)</f>
        <v>0</v>
      </c>
      <c r="R23" s="223">
        <f t="shared" si="10"/>
        <v>0</v>
      </c>
      <c r="S23" s="223">
        <f t="shared" si="10"/>
        <v>0</v>
      </c>
      <c r="T23" s="223">
        <f t="shared" si="10"/>
        <v>0</v>
      </c>
      <c r="U23" s="223">
        <f t="shared" si="10"/>
        <v>0</v>
      </c>
      <c r="V23" s="223">
        <f t="shared" si="10"/>
        <v>0</v>
      </c>
      <c r="W23" s="223">
        <f t="shared" si="10"/>
        <v>0</v>
      </c>
      <c r="X23" s="223">
        <f t="shared" si="10"/>
        <v>0</v>
      </c>
      <c r="Y23" s="223" t="e">
        <f t="shared" si="10"/>
        <v>#REF!</v>
      </c>
      <c r="Z23" s="223" t="e">
        <f>SUM(Q23:Y23)</f>
        <v>#REF!</v>
      </c>
      <c r="AA23" s="225"/>
    </row>
    <row r="24" spans="2:27" ht="16.5" customHeight="1">
      <c r="B24" s="144"/>
      <c r="J24" s="279" t="s">
        <v>103</v>
      </c>
      <c r="K24" s="219" t="s">
        <v>217</v>
      </c>
      <c r="L24" s="223">
        <v>6</v>
      </c>
      <c r="M24" s="219" t="s">
        <v>222</v>
      </c>
      <c r="N24" s="224"/>
      <c r="O24" s="224"/>
      <c r="P24" s="224"/>
      <c r="Q24" s="223">
        <f t="shared" si="10"/>
        <v>0</v>
      </c>
      <c r="R24" s="223">
        <f t="shared" si="10"/>
        <v>0</v>
      </c>
      <c r="S24" s="223">
        <f t="shared" si="10"/>
        <v>0</v>
      </c>
      <c r="T24" s="223">
        <f t="shared" si="10"/>
        <v>0</v>
      </c>
      <c r="U24" s="223">
        <f t="shared" si="10"/>
        <v>0</v>
      </c>
      <c r="V24" s="223">
        <f t="shared" si="10"/>
        <v>0</v>
      </c>
      <c r="W24" s="223">
        <f t="shared" si="10"/>
        <v>0</v>
      </c>
      <c r="X24" s="223">
        <f t="shared" si="10"/>
        <v>0</v>
      </c>
      <c r="Y24" s="223" t="e">
        <f t="shared" si="10"/>
        <v>#REF!</v>
      </c>
      <c r="Z24" s="223" t="e">
        <f>SUM(Q24:Y24)</f>
        <v>#REF!</v>
      </c>
      <c r="AA24" s="225"/>
    </row>
    <row r="25" spans="2:27" ht="16.5" customHeight="1">
      <c r="B25" s="222"/>
      <c r="C25" s="145"/>
      <c r="D25" s="145"/>
      <c r="E25" s="145"/>
      <c r="J25" s="279" t="s">
        <v>103</v>
      </c>
      <c r="K25" s="219" t="s">
        <v>217</v>
      </c>
      <c r="L25" s="223">
        <v>7</v>
      </c>
      <c r="M25" s="219" t="s">
        <v>223</v>
      </c>
      <c r="N25" s="224"/>
      <c r="O25" s="224"/>
      <c r="P25" s="224"/>
      <c r="Q25" s="223">
        <f t="shared" si="10"/>
        <v>0</v>
      </c>
      <c r="R25" s="223">
        <f t="shared" si="10"/>
        <v>0</v>
      </c>
      <c r="S25" s="223">
        <f t="shared" si="10"/>
        <v>0</v>
      </c>
      <c r="T25" s="223">
        <f t="shared" si="10"/>
        <v>0</v>
      </c>
      <c r="U25" s="223">
        <f t="shared" si="10"/>
        <v>0</v>
      </c>
      <c r="V25" s="223">
        <f t="shared" si="10"/>
        <v>0</v>
      </c>
      <c r="W25" s="223">
        <f t="shared" si="10"/>
        <v>0</v>
      </c>
      <c r="X25" s="223">
        <f t="shared" si="10"/>
        <v>0</v>
      </c>
      <c r="Y25" s="223" t="e">
        <f t="shared" si="10"/>
        <v>#REF!</v>
      </c>
      <c r="Z25" s="223" t="e">
        <f>SUM(Q25:Y25)</f>
        <v>#REF!</v>
      </c>
      <c r="AA25" s="225"/>
    </row>
    <row r="26" spans="2:27" ht="16.5" customHeight="1">
      <c r="B26" s="222"/>
      <c r="C26" s="145"/>
      <c r="D26" s="145"/>
      <c r="E26" s="145"/>
      <c r="J26" s="279" t="s">
        <v>103</v>
      </c>
      <c r="K26" s="219" t="s">
        <v>217</v>
      </c>
      <c r="L26" s="223">
        <v>8</v>
      </c>
      <c r="M26" s="219" t="s">
        <v>148</v>
      </c>
      <c r="N26" s="216">
        <v>21938</v>
      </c>
      <c r="O26" s="226"/>
      <c r="P26" s="226"/>
      <c r="Q26" s="223">
        <f t="shared" si="10"/>
        <v>0</v>
      </c>
      <c r="R26" s="223">
        <f t="shared" si="10"/>
        <v>0</v>
      </c>
      <c r="S26" s="223">
        <f t="shared" si="10"/>
        <v>0</v>
      </c>
      <c r="T26" s="223">
        <f t="shared" si="10"/>
        <v>0</v>
      </c>
      <c r="U26" s="223">
        <f t="shared" si="10"/>
        <v>0</v>
      </c>
      <c r="V26" s="223">
        <f t="shared" si="10"/>
        <v>0</v>
      </c>
      <c r="W26" s="223">
        <f t="shared" si="10"/>
        <v>0</v>
      </c>
      <c r="X26" s="223">
        <f t="shared" si="10"/>
        <v>0</v>
      </c>
      <c r="Y26" s="223" t="e">
        <f t="shared" si="10"/>
        <v>#REF!</v>
      </c>
      <c r="Z26" s="223" t="e">
        <f t="shared" si="1"/>
        <v>#REF!</v>
      </c>
      <c r="AA26" s="225"/>
    </row>
    <row r="27" spans="2:27" ht="18" customHeight="1">
      <c r="B27" s="222"/>
      <c r="C27" s="145"/>
      <c r="D27" s="145"/>
      <c r="E27" s="145"/>
      <c r="J27" s="208"/>
      <c r="L27" s="149"/>
      <c r="N27" s="227">
        <f>SUBTOTAL(9,N2:N26)</f>
        <v>357067</v>
      </c>
      <c r="O27" s="228"/>
      <c r="P27" s="228"/>
      <c r="Q27" s="227">
        <f t="shared" ref="Q27:Z27" si="11">SUBTOTAL(9,Q2:Q26)</f>
        <v>5400</v>
      </c>
      <c r="R27" s="227">
        <f t="shared" si="11"/>
        <v>5400</v>
      </c>
      <c r="S27" s="227">
        <f t="shared" si="11"/>
        <v>18000</v>
      </c>
      <c r="T27" s="227">
        <f t="shared" si="11"/>
        <v>18000</v>
      </c>
      <c r="U27" s="227">
        <f t="shared" si="11"/>
        <v>9000</v>
      </c>
      <c r="V27" s="227">
        <f t="shared" si="11"/>
        <v>0</v>
      </c>
      <c r="W27" s="227">
        <f t="shared" si="11"/>
        <v>0</v>
      </c>
      <c r="X27" s="227">
        <f t="shared" si="11"/>
        <v>0</v>
      </c>
      <c r="Y27" s="227" t="e">
        <f t="shared" si="11"/>
        <v>#REF!</v>
      </c>
      <c r="Z27" s="227" t="e">
        <f t="shared" si="11"/>
        <v>#REF!</v>
      </c>
      <c r="AA27" s="218"/>
    </row>
    <row r="28" spans="2:27" ht="18" customHeight="1">
      <c r="B28" s="222"/>
      <c r="C28" s="145"/>
      <c r="D28" s="145"/>
      <c r="E28" s="145"/>
      <c r="AA28" s="218"/>
    </row>
    <row r="29" spans="2:27" ht="18" customHeight="1">
      <c r="B29" s="222"/>
      <c r="C29" s="145"/>
      <c r="D29" s="145"/>
      <c r="E29" s="145"/>
      <c r="F29" s="145"/>
      <c r="G29" s="145"/>
      <c r="H29" s="229"/>
      <c r="AA29" s="218"/>
    </row>
    <row r="30" spans="2:27" ht="18" customHeight="1">
      <c r="B30" s="222" t="e">
        <f>SUMIFS($B$32:$B$534,$E$32:$E$534,"FCST")</f>
        <v>#REF!</v>
      </c>
      <c r="C30" s="145"/>
      <c r="D30" s="145"/>
      <c r="E30" s="145"/>
      <c r="F30" s="184" t="e">
        <f>SUMIFS($F$31:$F$10127,$E$31:$E$10127,$E$31)+N30</f>
        <v>#REF!</v>
      </c>
      <c r="N30" s="533">
        <v>58150</v>
      </c>
      <c r="O30" s="533"/>
      <c r="P30" s="533"/>
      <c r="Q30" s="184">
        <f t="shared" ref="Q30:Z30" si="12">SUBTOTAL(9,Q31:Q491)</f>
        <v>6000</v>
      </c>
      <c r="R30" s="184">
        <f t="shared" si="12"/>
        <v>6000</v>
      </c>
      <c r="S30" s="184">
        <f t="shared" si="12"/>
        <v>20000</v>
      </c>
      <c r="T30" s="184">
        <f t="shared" si="12"/>
        <v>20000</v>
      </c>
      <c r="U30" s="184">
        <f t="shared" si="12"/>
        <v>10000</v>
      </c>
      <c r="V30" s="184">
        <f t="shared" si="12"/>
        <v>0</v>
      </c>
      <c r="W30" s="184">
        <f t="shared" si="12"/>
        <v>0</v>
      </c>
      <c r="X30" s="184">
        <f t="shared" si="12"/>
        <v>0</v>
      </c>
      <c r="Y30" s="184" t="e">
        <f t="shared" si="12"/>
        <v>#REF!</v>
      </c>
      <c r="Z30" s="184" t="e">
        <f t="shared" si="12"/>
        <v>#REF!</v>
      </c>
      <c r="AA30" s="220"/>
    </row>
    <row r="31" spans="2:27" s="243" customFormat="1" ht="18" customHeight="1">
      <c r="B31" s="231" t="s">
        <v>203</v>
      </c>
      <c r="C31" s="232" t="s">
        <v>97</v>
      </c>
      <c r="D31" s="232" t="s">
        <v>98</v>
      </c>
      <c r="E31" s="233" t="s">
        <v>22</v>
      </c>
      <c r="F31" s="234" t="s">
        <v>24</v>
      </c>
      <c r="G31" s="235" t="s">
        <v>14</v>
      </c>
      <c r="H31" s="236" t="s">
        <v>15</v>
      </c>
      <c r="I31" s="237" t="s">
        <v>224</v>
      </c>
      <c r="J31" s="237" t="s">
        <v>17</v>
      </c>
      <c r="K31" s="238" t="s">
        <v>18</v>
      </c>
      <c r="L31" s="239" t="s">
        <v>23</v>
      </c>
      <c r="M31" s="240" t="s">
        <v>225</v>
      </c>
      <c r="N31" s="241" t="s">
        <v>1</v>
      </c>
      <c r="O31" s="241" t="s">
        <v>226</v>
      </c>
      <c r="P31" s="241" t="s">
        <v>4</v>
      </c>
      <c r="Q31" s="241" t="s">
        <v>5</v>
      </c>
      <c r="R31" s="241" t="s">
        <v>6</v>
      </c>
      <c r="S31" s="241" t="s">
        <v>89</v>
      </c>
      <c r="T31" s="241" t="s">
        <v>8</v>
      </c>
      <c r="U31" s="241" t="s">
        <v>9</v>
      </c>
      <c r="V31" s="241" t="s">
        <v>10</v>
      </c>
      <c r="W31" s="241" t="s">
        <v>11</v>
      </c>
      <c r="X31" s="241" t="s">
        <v>12</v>
      </c>
      <c r="Y31" s="241" t="s">
        <v>227</v>
      </c>
      <c r="Z31" s="241" t="s">
        <v>0</v>
      </c>
      <c r="AA31" s="242"/>
    </row>
    <row r="32" spans="2:27" ht="15" customHeight="1">
      <c r="B32" s="244" t="e">
        <f>SUM(Q32:Y32)</f>
        <v>#REF!</v>
      </c>
      <c r="C32" s="244" t="s">
        <v>228</v>
      </c>
      <c r="D32" s="244" t="s">
        <v>229</v>
      </c>
      <c r="E32" s="244" t="s">
        <v>22</v>
      </c>
      <c r="F32" s="244" t="e">
        <f>SUM(N32:Y32)</f>
        <v>#REF!</v>
      </c>
      <c r="G32" s="244" t="s">
        <v>139</v>
      </c>
      <c r="H32" s="244"/>
      <c r="I32" s="244"/>
      <c r="J32" s="244"/>
      <c r="K32" s="244"/>
      <c r="L32" s="244"/>
      <c r="M32" s="244"/>
      <c r="N32" s="244"/>
      <c r="O32" s="244"/>
      <c r="P32" s="244"/>
      <c r="Q32" s="244">
        <f>SUMIFS(MB!R:R,MB!$F:$F,$G:$G,MB!$D:$D,"FCST")</f>
        <v>600</v>
      </c>
      <c r="R32" s="244">
        <f>SUMIFS(MB!S:S,MB!$F:$F,$G:$G,MB!$D:$D,"FCST")</f>
        <v>600</v>
      </c>
      <c r="S32" s="244">
        <f>SUMIFS(MB!T:T,MB!$F:$F,$G:$G,MB!$D:$D,"FCST")</f>
        <v>0</v>
      </c>
      <c r="T32" s="244">
        <f>SUMIFS(MB!U:U,MB!$F:$F,$G:$G,MB!$D:$D,"FCST")</f>
        <v>0</v>
      </c>
      <c r="U32" s="244">
        <f>SUMIFS(MB!V:V,MB!$F:$F,$G:$G,MB!$D:$D,"FCST")</f>
        <v>0</v>
      </c>
      <c r="V32" s="244">
        <f>SUMIFS(MB!W:W,MB!$F:$F,$G:$G,MB!$D:$D,"FCST")</f>
        <v>0</v>
      </c>
      <c r="W32" s="244">
        <f>SUMIFS(MB!X:X,MB!$F:$F,$G:$G,MB!$D:$D,"FCST")</f>
        <v>0</v>
      </c>
      <c r="X32" s="244">
        <f>SUMIFS(MB!Y:Y,MB!$F:$F,$G:$G,MB!$D:$D,"FCST")</f>
        <v>0</v>
      </c>
      <c r="Y32" s="244" t="e">
        <f>SUMIFS(MB!#REF!,MB!$F:$F,$G:$G,MB!$D:$D,"FCST")</f>
        <v>#REF!</v>
      </c>
      <c r="Z32" s="244"/>
    </row>
    <row r="33" spans="2:27" ht="15" customHeight="1">
      <c r="B33" s="245">
        <v>1</v>
      </c>
      <c r="C33" s="246"/>
      <c r="D33" s="246"/>
      <c r="E33" s="247"/>
      <c r="F33" s="248"/>
      <c r="G33" s="249" t="str">
        <f>$G$32</f>
        <v>E510MA</v>
      </c>
      <c r="H33" s="248" t="s">
        <v>103</v>
      </c>
      <c r="I33" s="250" t="s">
        <v>103</v>
      </c>
      <c r="J33" s="250" t="s">
        <v>153</v>
      </c>
      <c r="K33" s="251" t="s">
        <v>212</v>
      </c>
      <c r="L33" s="250">
        <v>1</v>
      </c>
      <c r="M33" s="252" t="s">
        <v>146</v>
      </c>
      <c r="N33" s="253"/>
      <c r="O33" s="253">
        <v>9136</v>
      </c>
      <c r="P33" s="253"/>
      <c r="Q33" s="254">
        <v>0</v>
      </c>
      <c r="R33" s="254">
        <v>0</v>
      </c>
      <c r="S33" s="254">
        <v>0</v>
      </c>
      <c r="T33" s="254">
        <v>0</v>
      </c>
      <c r="U33" s="254">
        <v>0</v>
      </c>
      <c r="V33" s="254">
        <v>0</v>
      </c>
      <c r="W33" s="254">
        <v>0</v>
      </c>
      <c r="X33" s="254">
        <v>0</v>
      </c>
      <c r="Y33" s="254">
        <v>0</v>
      </c>
      <c r="Z33" s="248">
        <f t="shared" ref="Z33:Z46" si="13">SUM(Q33:Y33)</f>
        <v>0</v>
      </c>
    </row>
    <row r="34" spans="2:27" ht="15" customHeight="1">
      <c r="B34" s="245">
        <v>2</v>
      </c>
      <c r="C34" s="246"/>
      <c r="D34" s="246"/>
      <c r="E34" s="247"/>
      <c r="F34" s="248"/>
      <c r="G34" s="249" t="str">
        <f t="shared" ref="G34:G46" si="14">$G$32</f>
        <v>E510MA</v>
      </c>
      <c r="H34" s="248" t="s">
        <v>103</v>
      </c>
      <c r="I34" s="250" t="s">
        <v>103</v>
      </c>
      <c r="J34" s="250" t="s">
        <v>153</v>
      </c>
      <c r="K34" s="251" t="s">
        <v>213</v>
      </c>
      <c r="L34" s="250">
        <v>1</v>
      </c>
      <c r="M34" s="252" t="s">
        <v>149</v>
      </c>
      <c r="N34" s="253"/>
      <c r="O34" s="253">
        <v>86720</v>
      </c>
      <c r="P34" s="253"/>
      <c r="Q34" s="254">
        <v>1500</v>
      </c>
      <c r="R34" s="254">
        <v>2000</v>
      </c>
      <c r="S34" s="254">
        <v>2000</v>
      </c>
      <c r="T34" s="254">
        <v>0</v>
      </c>
      <c r="U34" s="254">
        <v>0</v>
      </c>
      <c r="V34" s="254">
        <v>0</v>
      </c>
      <c r="W34" s="254">
        <v>0</v>
      </c>
      <c r="X34" s="254">
        <v>0</v>
      </c>
      <c r="Y34" s="254">
        <v>0</v>
      </c>
      <c r="Z34" s="248">
        <f t="shared" si="13"/>
        <v>5500</v>
      </c>
    </row>
    <row r="35" spans="2:27" ht="15" customHeight="1">
      <c r="B35" s="245">
        <v>3</v>
      </c>
      <c r="C35" s="246"/>
      <c r="D35" s="246"/>
      <c r="E35" s="247"/>
      <c r="F35" s="248"/>
      <c r="G35" s="249" t="str">
        <f t="shared" si="14"/>
        <v>E510MA</v>
      </c>
      <c r="H35" s="248" t="s">
        <v>103</v>
      </c>
      <c r="I35" s="250" t="s">
        <v>103</v>
      </c>
      <c r="J35" s="250" t="s">
        <v>153</v>
      </c>
      <c r="K35" s="251" t="s">
        <v>214</v>
      </c>
      <c r="L35" s="250">
        <v>1</v>
      </c>
      <c r="M35" s="252" t="s">
        <v>144</v>
      </c>
      <c r="N35" s="253"/>
      <c r="O35" s="253">
        <v>11770</v>
      </c>
      <c r="P35" s="253"/>
      <c r="Q35" s="254">
        <v>1500</v>
      </c>
      <c r="R35" s="254">
        <v>0</v>
      </c>
      <c r="S35" s="254">
        <v>0</v>
      </c>
      <c r="T35" s="254">
        <v>0</v>
      </c>
      <c r="U35" s="254">
        <v>0</v>
      </c>
      <c r="V35" s="254">
        <v>0</v>
      </c>
      <c r="W35" s="254">
        <v>0</v>
      </c>
      <c r="X35" s="254">
        <v>0</v>
      </c>
      <c r="Y35" s="254">
        <v>0</v>
      </c>
      <c r="Z35" s="248">
        <f t="shared" si="13"/>
        <v>1500</v>
      </c>
    </row>
    <row r="36" spans="2:27" ht="15" customHeight="1">
      <c r="B36" s="245">
        <v>4</v>
      </c>
      <c r="C36" s="246"/>
      <c r="D36" s="246"/>
      <c r="E36" s="247"/>
      <c r="F36" s="248"/>
      <c r="G36" s="249" t="str">
        <f t="shared" si="14"/>
        <v>E510MA</v>
      </c>
      <c r="H36" s="248" t="s">
        <v>103</v>
      </c>
      <c r="I36" s="250" t="s">
        <v>103</v>
      </c>
      <c r="J36" s="250" t="s">
        <v>153</v>
      </c>
      <c r="K36" s="251" t="s">
        <v>154</v>
      </c>
      <c r="L36" s="250">
        <v>1</v>
      </c>
      <c r="M36" s="252" t="s">
        <v>150</v>
      </c>
      <c r="N36" s="253"/>
      <c r="O36" s="253">
        <v>12554</v>
      </c>
      <c r="P36" s="253"/>
      <c r="Q36" s="254">
        <v>1500</v>
      </c>
      <c r="R36" s="254">
        <v>0</v>
      </c>
      <c r="S36" s="254">
        <v>0</v>
      </c>
      <c r="T36" s="254">
        <v>0</v>
      </c>
      <c r="U36" s="254">
        <v>0</v>
      </c>
      <c r="V36" s="254">
        <v>0</v>
      </c>
      <c r="W36" s="254">
        <v>0</v>
      </c>
      <c r="X36" s="254">
        <v>0</v>
      </c>
      <c r="Y36" s="254">
        <v>0</v>
      </c>
      <c r="Z36" s="248">
        <f t="shared" si="13"/>
        <v>1500</v>
      </c>
    </row>
    <row r="37" spans="2:27" ht="15" customHeight="1">
      <c r="B37" s="245">
        <v>5</v>
      </c>
      <c r="C37" s="246"/>
      <c r="D37" s="246"/>
      <c r="E37" s="247"/>
      <c r="F37" s="248"/>
      <c r="G37" s="249" t="str">
        <f t="shared" si="14"/>
        <v>E510MA</v>
      </c>
      <c r="H37" s="248" t="s">
        <v>103</v>
      </c>
      <c r="I37" s="250" t="s">
        <v>103</v>
      </c>
      <c r="J37" s="250" t="s">
        <v>153</v>
      </c>
      <c r="K37" s="251" t="s">
        <v>215</v>
      </c>
      <c r="L37" s="250">
        <v>1</v>
      </c>
      <c r="M37" s="252" t="s">
        <v>147</v>
      </c>
      <c r="N37" s="253"/>
      <c r="O37" s="253">
        <v>4568</v>
      </c>
      <c r="P37" s="253"/>
      <c r="Q37" s="254">
        <v>1500</v>
      </c>
      <c r="R37" s="254">
        <v>0</v>
      </c>
      <c r="S37" s="254">
        <v>0</v>
      </c>
      <c r="T37" s="254">
        <v>0</v>
      </c>
      <c r="U37" s="254">
        <v>0</v>
      </c>
      <c r="V37" s="254">
        <v>0</v>
      </c>
      <c r="W37" s="254">
        <v>0</v>
      </c>
      <c r="X37" s="254">
        <v>0</v>
      </c>
      <c r="Y37" s="254">
        <v>0</v>
      </c>
      <c r="Z37" s="248">
        <f t="shared" si="13"/>
        <v>1500</v>
      </c>
    </row>
    <row r="38" spans="2:27" ht="15" customHeight="1">
      <c r="B38" s="245">
        <v>6</v>
      </c>
      <c r="C38" s="246"/>
      <c r="D38" s="246"/>
      <c r="E38" s="247"/>
      <c r="F38" s="248"/>
      <c r="G38" s="249" t="str">
        <f t="shared" si="14"/>
        <v>E510MA</v>
      </c>
      <c r="H38" s="248" t="s">
        <v>103</v>
      </c>
      <c r="I38" s="250" t="s">
        <v>103</v>
      </c>
      <c r="J38" s="250" t="s">
        <v>153</v>
      </c>
      <c r="K38" s="255" t="s">
        <v>217</v>
      </c>
      <c r="L38" s="250">
        <v>1</v>
      </c>
      <c r="M38" s="252" t="s">
        <v>160</v>
      </c>
      <c r="N38" s="253"/>
      <c r="O38" s="253">
        <v>39900</v>
      </c>
      <c r="P38" s="253"/>
      <c r="Q38" s="254">
        <v>1500</v>
      </c>
      <c r="R38" s="254">
        <v>2000</v>
      </c>
      <c r="S38" s="254">
        <v>0</v>
      </c>
      <c r="T38" s="254">
        <v>0</v>
      </c>
      <c r="U38" s="254">
        <v>0</v>
      </c>
      <c r="V38" s="254">
        <v>0</v>
      </c>
      <c r="W38" s="254">
        <v>0</v>
      </c>
      <c r="X38" s="254">
        <v>0</v>
      </c>
      <c r="Y38" s="254">
        <v>0</v>
      </c>
      <c r="Z38" s="248">
        <f t="shared" si="13"/>
        <v>3500</v>
      </c>
    </row>
    <row r="39" spans="2:27" ht="15" customHeight="1">
      <c r="B39" s="245">
        <v>7</v>
      </c>
      <c r="C39" s="246"/>
      <c r="D39" s="246"/>
      <c r="E39" s="247"/>
      <c r="F39" s="248"/>
      <c r="G39" s="249" t="str">
        <f t="shared" si="14"/>
        <v>E510MA</v>
      </c>
      <c r="H39" s="248" t="s">
        <v>103</v>
      </c>
      <c r="I39" s="250" t="s">
        <v>103</v>
      </c>
      <c r="J39" s="250" t="s">
        <v>153</v>
      </c>
      <c r="K39" s="255" t="s">
        <v>216</v>
      </c>
      <c r="L39" s="250">
        <v>3</v>
      </c>
      <c r="M39" s="252" t="s">
        <v>161</v>
      </c>
      <c r="N39" s="253"/>
      <c r="O39" s="253">
        <v>81109</v>
      </c>
      <c r="P39" s="253"/>
      <c r="Q39" s="254">
        <v>4500</v>
      </c>
      <c r="R39" s="254">
        <v>0</v>
      </c>
      <c r="S39" s="254">
        <v>0</v>
      </c>
      <c r="T39" s="254">
        <v>0</v>
      </c>
      <c r="U39" s="254">
        <v>0</v>
      </c>
      <c r="V39" s="254">
        <v>0</v>
      </c>
      <c r="W39" s="254">
        <v>0</v>
      </c>
      <c r="X39" s="254">
        <v>0</v>
      </c>
      <c r="Y39" s="254">
        <v>0</v>
      </c>
      <c r="Z39" s="248">
        <f t="shared" si="13"/>
        <v>4500</v>
      </c>
    </row>
    <row r="40" spans="2:27" s="259" customFormat="1" ht="15" customHeight="1">
      <c r="B40" s="256">
        <v>1</v>
      </c>
      <c r="C40" s="257"/>
      <c r="D40" s="257"/>
      <c r="E40" s="195"/>
      <c r="F40" s="147"/>
      <c r="G40" s="249" t="str">
        <f t="shared" si="14"/>
        <v>E510MA</v>
      </c>
      <c r="H40" s="147" t="s">
        <v>20</v>
      </c>
      <c r="I40" s="196" t="s">
        <v>142</v>
      </c>
      <c r="J40" s="196" t="s">
        <v>153</v>
      </c>
      <c r="K40" s="201" t="s">
        <v>212</v>
      </c>
      <c r="L40" s="196">
        <v>1</v>
      </c>
      <c r="M40" s="203" t="s">
        <v>146</v>
      </c>
      <c r="N40" s="253"/>
      <c r="O40" s="253">
        <v>9136</v>
      </c>
      <c r="P40" s="253"/>
      <c r="Q40" s="129">
        <f t="shared" ref="Q40:Y46" si="15">(Q$32*$L40)-Q33</f>
        <v>600</v>
      </c>
      <c r="R40" s="129">
        <f t="shared" si="15"/>
        <v>600</v>
      </c>
      <c r="S40" s="129">
        <f t="shared" si="15"/>
        <v>0</v>
      </c>
      <c r="T40" s="129">
        <f t="shared" si="15"/>
        <v>0</v>
      </c>
      <c r="U40" s="129">
        <f t="shared" si="15"/>
        <v>0</v>
      </c>
      <c r="V40" s="129">
        <f t="shared" si="15"/>
        <v>0</v>
      </c>
      <c r="W40" s="129">
        <f t="shared" si="15"/>
        <v>0</v>
      </c>
      <c r="X40" s="129">
        <f t="shared" si="15"/>
        <v>0</v>
      </c>
      <c r="Y40" s="129" t="e">
        <f t="shared" si="15"/>
        <v>#REF!</v>
      </c>
      <c r="Z40" s="147" t="e">
        <f t="shared" si="13"/>
        <v>#REF!</v>
      </c>
      <c r="AA40" s="258"/>
    </row>
    <row r="41" spans="2:27" s="259" customFormat="1" ht="15" customHeight="1">
      <c r="B41" s="256">
        <v>2</v>
      </c>
      <c r="C41" s="257"/>
      <c r="D41" s="257"/>
      <c r="E41" s="195"/>
      <c r="F41" s="147"/>
      <c r="G41" s="249" t="str">
        <f t="shared" si="14"/>
        <v>E510MA</v>
      </c>
      <c r="H41" s="147" t="s">
        <v>20</v>
      </c>
      <c r="I41" s="196" t="s">
        <v>142</v>
      </c>
      <c r="J41" s="196" t="s">
        <v>153</v>
      </c>
      <c r="K41" s="201" t="s">
        <v>213</v>
      </c>
      <c r="L41" s="196">
        <v>1</v>
      </c>
      <c r="M41" s="203" t="s">
        <v>149</v>
      </c>
      <c r="N41" s="253"/>
      <c r="O41" s="253">
        <v>86720</v>
      </c>
      <c r="P41" s="253"/>
      <c r="Q41" s="129">
        <f t="shared" si="15"/>
        <v>-900</v>
      </c>
      <c r="R41" s="129">
        <f t="shared" si="15"/>
        <v>-1400</v>
      </c>
      <c r="S41" s="129">
        <f t="shared" si="15"/>
        <v>-2000</v>
      </c>
      <c r="T41" s="129">
        <f t="shared" si="15"/>
        <v>0</v>
      </c>
      <c r="U41" s="129">
        <f t="shared" si="15"/>
        <v>0</v>
      </c>
      <c r="V41" s="129">
        <f t="shared" si="15"/>
        <v>0</v>
      </c>
      <c r="W41" s="129">
        <f t="shared" si="15"/>
        <v>0</v>
      </c>
      <c r="X41" s="129">
        <f t="shared" si="15"/>
        <v>0</v>
      </c>
      <c r="Y41" s="129" t="e">
        <f t="shared" si="15"/>
        <v>#REF!</v>
      </c>
      <c r="Z41" s="147" t="e">
        <f t="shared" si="13"/>
        <v>#REF!</v>
      </c>
      <c r="AA41" s="258"/>
    </row>
    <row r="42" spans="2:27" s="259" customFormat="1" ht="15" customHeight="1">
      <c r="B42" s="256">
        <v>3</v>
      </c>
      <c r="C42" s="257"/>
      <c r="D42" s="257"/>
      <c r="E42" s="195"/>
      <c r="F42" s="147"/>
      <c r="G42" s="249" t="str">
        <f t="shared" si="14"/>
        <v>E510MA</v>
      </c>
      <c r="H42" s="147" t="s">
        <v>20</v>
      </c>
      <c r="I42" s="196" t="s">
        <v>142</v>
      </c>
      <c r="J42" s="196" t="s">
        <v>153</v>
      </c>
      <c r="K42" s="201" t="s">
        <v>214</v>
      </c>
      <c r="L42" s="196">
        <v>1</v>
      </c>
      <c r="M42" s="203" t="s">
        <v>144</v>
      </c>
      <c r="N42" s="253"/>
      <c r="O42" s="253">
        <v>11770</v>
      </c>
      <c r="P42" s="253"/>
      <c r="Q42" s="129">
        <f t="shared" si="15"/>
        <v>-900</v>
      </c>
      <c r="R42" s="129">
        <f t="shared" si="15"/>
        <v>600</v>
      </c>
      <c r="S42" s="129">
        <f t="shared" si="15"/>
        <v>0</v>
      </c>
      <c r="T42" s="129">
        <f t="shared" si="15"/>
        <v>0</v>
      </c>
      <c r="U42" s="129">
        <f t="shared" si="15"/>
        <v>0</v>
      </c>
      <c r="V42" s="129">
        <f t="shared" si="15"/>
        <v>0</v>
      </c>
      <c r="W42" s="129">
        <f t="shared" si="15"/>
        <v>0</v>
      </c>
      <c r="X42" s="129">
        <f t="shared" si="15"/>
        <v>0</v>
      </c>
      <c r="Y42" s="129" t="e">
        <f t="shared" si="15"/>
        <v>#REF!</v>
      </c>
      <c r="Z42" s="147" t="e">
        <f t="shared" si="13"/>
        <v>#REF!</v>
      </c>
      <c r="AA42" s="258"/>
    </row>
    <row r="43" spans="2:27" s="259" customFormat="1" ht="15" customHeight="1">
      <c r="B43" s="256">
        <v>4</v>
      </c>
      <c r="C43" s="257"/>
      <c r="D43" s="257"/>
      <c r="E43" s="195"/>
      <c r="F43" s="147"/>
      <c r="G43" s="249" t="str">
        <f t="shared" si="14"/>
        <v>E510MA</v>
      </c>
      <c r="H43" s="147" t="s">
        <v>20</v>
      </c>
      <c r="I43" s="196" t="s">
        <v>142</v>
      </c>
      <c r="J43" s="196" t="s">
        <v>153</v>
      </c>
      <c r="K43" s="201" t="s">
        <v>154</v>
      </c>
      <c r="L43" s="196">
        <v>1</v>
      </c>
      <c r="M43" s="203" t="s">
        <v>150</v>
      </c>
      <c r="N43" s="253"/>
      <c r="O43" s="253">
        <v>12554</v>
      </c>
      <c r="P43" s="253"/>
      <c r="Q43" s="129">
        <f>(Q$32*$L43)-Q36</f>
        <v>-900</v>
      </c>
      <c r="R43" s="129">
        <f t="shared" si="15"/>
        <v>600</v>
      </c>
      <c r="S43" s="129">
        <f t="shared" si="15"/>
        <v>0</v>
      </c>
      <c r="T43" s="129">
        <f t="shared" si="15"/>
        <v>0</v>
      </c>
      <c r="U43" s="129">
        <f t="shared" si="15"/>
        <v>0</v>
      </c>
      <c r="V43" s="129">
        <f t="shared" si="15"/>
        <v>0</v>
      </c>
      <c r="W43" s="129">
        <f t="shared" si="15"/>
        <v>0</v>
      </c>
      <c r="X43" s="129">
        <f t="shared" si="15"/>
        <v>0</v>
      </c>
      <c r="Y43" s="129" t="e">
        <f t="shared" si="15"/>
        <v>#REF!</v>
      </c>
      <c r="Z43" s="147" t="e">
        <f t="shared" si="13"/>
        <v>#REF!</v>
      </c>
      <c r="AA43" s="258"/>
    </row>
    <row r="44" spans="2:27" s="259" customFormat="1" ht="15" customHeight="1">
      <c r="B44" s="256">
        <v>5</v>
      </c>
      <c r="C44" s="257"/>
      <c r="D44" s="257"/>
      <c r="E44" s="195"/>
      <c r="F44" s="147"/>
      <c r="G44" s="249" t="str">
        <f t="shared" si="14"/>
        <v>E510MA</v>
      </c>
      <c r="H44" s="147" t="s">
        <v>20</v>
      </c>
      <c r="I44" s="196" t="s">
        <v>142</v>
      </c>
      <c r="J44" s="196" t="s">
        <v>153</v>
      </c>
      <c r="K44" s="201" t="s">
        <v>215</v>
      </c>
      <c r="L44" s="196">
        <v>1</v>
      </c>
      <c r="M44" s="203" t="s">
        <v>147</v>
      </c>
      <c r="N44" s="253"/>
      <c r="O44" s="253">
        <v>4568</v>
      </c>
      <c r="P44" s="253"/>
      <c r="Q44" s="129">
        <f t="shared" si="15"/>
        <v>-900</v>
      </c>
      <c r="R44" s="129">
        <f t="shared" si="15"/>
        <v>600</v>
      </c>
      <c r="S44" s="129">
        <f t="shared" si="15"/>
        <v>0</v>
      </c>
      <c r="T44" s="129">
        <f t="shared" si="15"/>
        <v>0</v>
      </c>
      <c r="U44" s="129">
        <f t="shared" si="15"/>
        <v>0</v>
      </c>
      <c r="V44" s="129">
        <f t="shared" si="15"/>
        <v>0</v>
      </c>
      <c r="W44" s="129">
        <f t="shared" si="15"/>
        <v>0</v>
      </c>
      <c r="X44" s="129">
        <f t="shared" si="15"/>
        <v>0</v>
      </c>
      <c r="Y44" s="129" t="e">
        <f t="shared" si="15"/>
        <v>#REF!</v>
      </c>
      <c r="Z44" s="147" t="e">
        <f t="shared" si="13"/>
        <v>#REF!</v>
      </c>
      <c r="AA44" s="258"/>
    </row>
    <row r="45" spans="2:27" s="259" customFormat="1" ht="15" customHeight="1">
      <c r="B45" s="256">
        <v>6</v>
      </c>
      <c r="C45" s="257"/>
      <c r="D45" s="257"/>
      <c r="E45" s="195"/>
      <c r="F45" s="147"/>
      <c r="G45" s="249" t="str">
        <f t="shared" si="14"/>
        <v>E510MA</v>
      </c>
      <c r="H45" s="147" t="s">
        <v>20</v>
      </c>
      <c r="I45" s="196" t="s">
        <v>142</v>
      </c>
      <c r="J45" s="196" t="s">
        <v>153</v>
      </c>
      <c r="K45" s="201" t="s">
        <v>217</v>
      </c>
      <c r="L45" s="196">
        <v>1</v>
      </c>
      <c r="M45" s="203" t="s">
        <v>160</v>
      </c>
      <c r="N45" s="253"/>
      <c r="O45" s="253">
        <v>39900</v>
      </c>
      <c r="P45" s="253"/>
      <c r="Q45" s="129">
        <f t="shared" si="15"/>
        <v>-900</v>
      </c>
      <c r="R45" s="129">
        <f t="shared" si="15"/>
        <v>-1400</v>
      </c>
      <c r="S45" s="129">
        <f t="shared" si="15"/>
        <v>0</v>
      </c>
      <c r="T45" s="129">
        <f t="shared" si="15"/>
        <v>0</v>
      </c>
      <c r="U45" s="129">
        <f t="shared" si="15"/>
        <v>0</v>
      </c>
      <c r="V45" s="129">
        <f t="shared" si="15"/>
        <v>0</v>
      </c>
      <c r="W45" s="129">
        <f t="shared" si="15"/>
        <v>0</v>
      </c>
      <c r="X45" s="129">
        <f t="shared" si="15"/>
        <v>0</v>
      </c>
      <c r="Y45" s="129" t="e">
        <f t="shared" si="15"/>
        <v>#REF!</v>
      </c>
      <c r="Z45" s="147" t="e">
        <f t="shared" si="13"/>
        <v>#REF!</v>
      </c>
      <c r="AA45" s="258"/>
    </row>
    <row r="46" spans="2:27" s="259" customFormat="1" ht="15" customHeight="1">
      <c r="B46" s="256">
        <v>7</v>
      </c>
      <c r="C46" s="257"/>
      <c r="D46" s="257"/>
      <c r="E46" s="195"/>
      <c r="F46" s="147"/>
      <c r="G46" s="249" t="str">
        <f t="shared" si="14"/>
        <v>E510MA</v>
      </c>
      <c r="H46" s="147" t="s">
        <v>20</v>
      </c>
      <c r="I46" s="196" t="s">
        <v>142</v>
      </c>
      <c r="J46" s="196" t="s">
        <v>153</v>
      </c>
      <c r="K46" s="202" t="s">
        <v>216</v>
      </c>
      <c r="L46" s="196">
        <v>3</v>
      </c>
      <c r="M46" s="203" t="s">
        <v>161</v>
      </c>
      <c r="N46" s="253"/>
      <c r="O46" s="253">
        <v>81109</v>
      </c>
      <c r="P46" s="253"/>
      <c r="Q46" s="129">
        <f t="shared" si="15"/>
        <v>-2700</v>
      </c>
      <c r="R46" s="129">
        <f t="shared" si="15"/>
        <v>1800</v>
      </c>
      <c r="S46" s="129">
        <f t="shared" si="15"/>
        <v>0</v>
      </c>
      <c r="T46" s="129">
        <f t="shared" si="15"/>
        <v>0</v>
      </c>
      <c r="U46" s="129">
        <f t="shared" si="15"/>
        <v>0</v>
      </c>
      <c r="V46" s="129">
        <f t="shared" si="15"/>
        <v>0</v>
      </c>
      <c r="W46" s="129">
        <f t="shared" si="15"/>
        <v>0</v>
      </c>
      <c r="X46" s="129">
        <f t="shared" si="15"/>
        <v>0</v>
      </c>
      <c r="Y46" s="129" t="e">
        <f t="shared" si="15"/>
        <v>#REF!</v>
      </c>
      <c r="Z46" s="147" t="e">
        <f t="shared" si="13"/>
        <v>#REF!</v>
      </c>
      <c r="AA46" s="258"/>
    </row>
    <row r="47" spans="2:27" ht="15" customHeight="1">
      <c r="B47" s="244" t="e">
        <f>SUM(Q47:Y47)</f>
        <v>#REF!</v>
      </c>
      <c r="C47" s="244" t="s">
        <v>100</v>
      </c>
      <c r="D47" s="244" t="s">
        <v>229</v>
      </c>
      <c r="E47" s="244" t="s">
        <v>22</v>
      </c>
      <c r="F47" s="244" t="e">
        <f>SUM(N47:Y47)</f>
        <v>#REF!</v>
      </c>
      <c r="G47" s="244" t="s">
        <v>201</v>
      </c>
      <c r="H47" s="244"/>
      <c r="I47" s="244"/>
      <c r="J47" s="244"/>
      <c r="K47" s="244"/>
      <c r="L47" s="244"/>
      <c r="M47" s="244"/>
      <c r="N47" s="244"/>
      <c r="O47" s="244"/>
      <c r="P47" s="244"/>
      <c r="Q47" s="244">
        <f>SUMIFS(MB!R:R,MB!$F:$F,$G:$G,MB!$D:$D,"FCST")</f>
        <v>0</v>
      </c>
      <c r="R47" s="244">
        <f>SUMIFS(MB!S:S,MB!$F:$F,$G:$G,MB!$D:$D,"FCST")</f>
        <v>0</v>
      </c>
      <c r="S47" s="244">
        <f>SUMIFS(MB!T:T,MB!$F:$F,$G:$G,MB!$D:$D,"FCST")</f>
        <v>0</v>
      </c>
      <c r="T47" s="244">
        <f>SUMIFS(MB!U:U,MB!$F:$F,$G:$G,MB!$D:$D,"FCST")</f>
        <v>0</v>
      </c>
      <c r="U47" s="244">
        <f>SUMIFS(MB!V:V,MB!$F:$F,$G:$G,MB!$D:$D,"FCST")</f>
        <v>0</v>
      </c>
      <c r="V47" s="244">
        <f>SUMIFS(MB!W:W,MB!$F:$F,$G:$G,MB!$D:$D,"FCST")</f>
        <v>0</v>
      </c>
      <c r="W47" s="244">
        <f>SUMIFS(MB!X:X,MB!$F:$F,$G:$G,MB!$D:$D,"FCST")</f>
        <v>0</v>
      </c>
      <c r="X47" s="244">
        <f>SUMIFS(MB!Y:Y,MB!$F:$F,$G:$G,MB!$D:$D,"FCST")</f>
        <v>0</v>
      </c>
      <c r="Y47" s="244" t="e">
        <f>SUMIFS(MB!#REF!,MB!$F:$F,$G:$G,MB!$D:$D,"FCST")</f>
        <v>#REF!</v>
      </c>
      <c r="Z47" s="244"/>
    </row>
    <row r="48" spans="2:27" ht="15" customHeight="1">
      <c r="B48" s="245">
        <v>1</v>
      </c>
      <c r="C48" s="246"/>
      <c r="D48" s="246"/>
      <c r="E48" s="247"/>
      <c r="F48" s="248"/>
      <c r="G48" s="249" t="str">
        <f>$G$47</f>
        <v>K513EP</v>
      </c>
      <c r="H48" s="248" t="s">
        <v>103</v>
      </c>
      <c r="I48" s="250" t="s">
        <v>103</v>
      </c>
      <c r="J48" s="250" t="s">
        <v>153</v>
      </c>
      <c r="K48" s="251" t="s">
        <v>212</v>
      </c>
      <c r="L48" s="250">
        <v>1</v>
      </c>
      <c r="M48" s="252" t="s">
        <v>146</v>
      </c>
      <c r="N48" s="253"/>
      <c r="O48" s="253">
        <v>9136</v>
      </c>
      <c r="P48" s="253"/>
      <c r="Q48" s="254">
        <v>0</v>
      </c>
      <c r="R48" s="254">
        <v>0</v>
      </c>
      <c r="S48" s="254">
        <v>0</v>
      </c>
      <c r="T48" s="254">
        <v>0</v>
      </c>
      <c r="U48" s="254">
        <v>0</v>
      </c>
      <c r="V48" s="254">
        <v>0</v>
      </c>
      <c r="W48" s="254">
        <v>0</v>
      </c>
      <c r="X48" s="254">
        <v>0</v>
      </c>
      <c r="Y48" s="254">
        <v>0</v>
      </c>
      <c r="Z48" s="248">
        <f t="shared" ref="Z48:Z61" si="16">SUM(Q48:Y48)</f>
        <v>0</v>
      </c>
    </row>
    <row r="49" spans="2:27" ht="15" customHeight="1">
      <c r="B49" s="245">
        <v>2</v>
      </c>
      <c r="C49" s="246"/>
      <c r="D49" s="246"/>
      <c r="E49" s="247"/>
      <c r="F49" s="248"/>
      <c r="G49" s="249" t="str">
        <f t="shared" ref="G49:G61" si="17">$G$47</f>
        <v>K513EP</v>
      </c>
      <c r="H49" s="248" t="s">
        <v>103</v>
      </c>
      <c r="I49" s="250" t="s">
        <v>103</v>
      </c>
      <c r="J49" s="250" t="s">
        <v>153</v>
      </c>
      <c r="K49" s="251" t="s">
        <v>213</v>
      </c>
      <c r="L49" s="250">
        <v>1</v>
      </c>
      <c r="M49" s="273" t="s">
        <v>149</v>
      </c>
      <c r="N49" s="253"/>
      <c r="O49" s="253">
        <v>0</v>
      </c>
      <c r="P49" s="253"/>
      <c r="Q49" s="254">
        <v>0</v>
      </c>
      <c r="R49" s="254">
        <v>0</v>
      </c>
      <c r="S49" s="254">
        <v>0</v>
      </c>
      <c r="T49" s="254">
        <v>0</v>
      </c>
      <c r="U49" s="254">
        <v>0</v>
      </c>
      <c r="V49" s="254">
        <v>0</v>
      </c>
      <c r="W49" s="254">
        <v>0</v>
      </c>
      <c r="X49" s="254">
        <v>0</v>
      </c>
      <c r="Y49" s="254">
        <v>0</v>
      </c>
      <c r="Z49" s="248">
        <f t="shared" si="16"/>
        <v>0</v>
      </c>
    </row>
    <row r="50" spans="2:27" ht="15" customHeight="1">
      <c r="B50" s="245">
        <v>3</v>
      </c>
      <c r="C50" s="246"/>
      <c r="D50" s="246"/>
      <c r="E50" s="247"/>
      <c r="F50" s="248"/>
      <c r="G50" s="249" t="str">
        <f t="shared" si="17"/>
        <v>K513EP</v>
      </c>
      <c r="H50" s="248" t="s">
        <v>103</v>
      </c>
      <c r="I50" s="250" t="s">
        <v>103</v>
      </c>
      <c r="J50" s="250" t="s">
        <v>153</v>
      </c>
      <c r="K50" s="251" t="s">
        <v>214</v>
      </c>
      <c r="L50" s="250">
        <v>1</v>
      </c>
      <c r="M50" s="252" t="s">
        <v>144</v>
      </c>
      <c r="N50" s="253"/>
      <c r="O50" s="253">
        <v>11770</v>
      </c>
      <c r="P50" s="253"/>
      <c r="Q50" s="254">
        <v>150</v>
      </c>
      <c r="R50" s="254">
        <v>0</v>
      </c>
      <c r="S50" s="254">
        <v>0</v>
      </c>
      <c r="T50" s="254">
        <v>0</v>
      </c>
      <c r="U50" s="254">
        <v>0</v>
      </c>
      <c r="V50" s="254">
        <v>0</v>
      </c>
      <c r="W50" s="254">
        <v>0</v>
      </c>
      <c r="X50" s="254">
        <v>0</v>
      </c>
      <c r="Y50" s="254">
        <v>0</v>
      </c>
      <c r="Z50" s="248">
        <f t="shared" si="16"/>
        <v>150</v>
      </c>
    </row>
    <row r="51" spans="2:27" ht="15" customHeight="1">
      <c r="B51" s="245">
        <v>4</v>
      </c>
      <c r="C51" s="246"/>
      <c r="D51" s="246"/>
      <c r="E51" s="247"/>
      <c r="F51" s="248"/>
      <c r="G51" s="249" t="str">
        <f t="shared" si="17"/>
        <v>K513EP</v>
      </c>
      <c r="H51" s="248" t="s">
        <v>103</v>
      </c>
      <c r="I51" s="250" t="s">
        <v>103</v>
      </c>
      <c r="J51" s="250" t="s">
        <v>153</v>
      </c>
      <c r="K51" s="251" t="s">
        <v>154</v>
      </c>
      <c r="L51" s="250">
        <v>1</v>
      </c>
      <c r="M51" s="252" t="s">
        <v>150</v>
      </c>
      <c r="N51" s="253"/>
      <c r="O51" s="253">
        <v>12554</v>
      </c>
      <c r="P51" s="253"/>
      <c r="Q51" s="254">
        <v>150</v>
      </c>
      <c r="R51" s="254">
        <v>0</v>
      </c>
      <c r="S51" s="254">
        <v>0</v>
      </c>
      <c r="T51" s="254">
        <v>0</v>
      </c>
      <c r="U51" s="254">
        <v>0</v>
      </c>
      <c r="V51" s="254">
        <v>0</v>
      </c>
      <c r="W51" s="254">
        <v>0</v>
      </c>
      <c r="X51" s="254">
        <v>0</v>
      </c>
      <c r="Y51" s="254">
        <v>0</v>
      </c>
      <c r="Z51" s="248">
        <f t="shared" si="16"/>
        <v>150</v>
      </c>
    </row>
    <row r="52" spans="2:27" ht="15" customHeight="1">
      <c r="B52" s="245">
        <v>5</v>
      </c>
      <c r="C52" s="246"/>
      <c r="D52" s="246"/>
      <c r="E52" s="247"/>
      <c r="F52" s="248"/>
      <c r="G52" s="249" t="str">
        <f t="shared" si="17"/>
        <v>K513EP</v>
      </c>
      <c r="H52" s="248" t="s">
        <v>103</v>
      </c>
      <c r="I52" s="250" t="s">
        <v>103</v>
      </c>
      <c r="J52" s="250" t="s">
        <v>153</v>
      </c>
      <c r="K52" s="251" t="s">
        <v>215</v>
      </c>
      <c r="L52" s="250">
        <v>1</v>
      </c>
      <c r="M52" s="252" t="s">
        <v>147</v>
      </c>
      <c r="N52" s="253"/>
      <c r="O52" s="253">
        <v>4568</v>
      </c>
      <c r="P52" s="253"/>
      <c r="Q52" s="254">
        <v>150</v>
      </c>
      <c r="R52" s="254">
        <v>0</v>
      </c>
      <c r="S52" s="254">
        <v>0</v>
      </c>
      <c r="T52" s="254">
        <v>0</v>
      </c>
      <c r="U52" s="254">
        <v>0</v>
      </c>
      <c r="V52" s="254">
        <v>0</v>
      </c>
      <c r="W52" s="254">
        <v>0</v>
      </c>
      <c r="X52" s="254">
        <v>0</v>
      </c>
      <c r="Y52" s="254">
        <v>0</v>
      </c>
      <c r="Z52" s="248">
        <f t="shared" si="16"/>
        <v>150</v>
      </c>
    </row>
    <row r="53" spans="2:27" ht="15" customHeight="1">
      <c r="B53" s="245">
        <v>6</v>
      </c>
      <c r="C53" s="246"/>
      <c r="D53" s="246"/>
      <c r="E53" s="247"/>
      <c r="F53" s="248"/>
      <c r="G53" s="249" t="str">
        <f t="shared" si="17"/>
        <v>K513EP</v>
      </c>
      <c r="H53" s="248" t="s">
        <v>103</v>
      </c>
      <c r="I53" s="250" t="s">
        <v>103</v>
      </c>
      <c r="J53" s="250" t="s">
        <v>153</v>
      </c>
      <c r="K53" s="251" t="s">
        <v>217</v>
      </c>
      <c r="L53" s="250">
        <v>1</v>
      </c>
      <c r="M53" s="252" t="s">
        <v>163</v>
      </c>
      <c r="N53" s="253"/>
      <c r="O53" s="253">
        <v>286</v>
      </c>
      <c r="P53" s="253"/>
      <c r="Q53" s="254">
        <v>0</v>
      </c>
      <c r="R53" s="254">
        <v>0</v>
      </c>
      <c r="S53" s="254">
        <v>0</v>
      </c>
      <c r="T53" s="254">
        <v>0</v>
      </c>
      <c r="U53" s="254">
        <v>0</v>
      </c>
      <c r="V53" s="254">
        <v>0</v>
      </c>
      <c r="W53" s="254">
        <v>0</v>
      </c>
      <c r="X53" s="254">
        <v>0</v>
      </c>
      <c r="Y53" s="254">
        <v>0</v>
      </c>
      <c r="Z53" s="248">
        <f t="shared" si="16"/>
        <v>0</v>
      </c>
    </row>
    <row r="54" spans="2:27" ht="15" customHeight="1">
      <c r="B54" s="245">
        <v>7</v>
      </c>
      <c r="C54" s="246"/>
      <c r="D54" s="246"/>
      <c r="E54" s="247"/>
      <c r="F54" s="248"/>
      <c r="G54" s="249" t="str">
        <f t="shared" si="17"/>
        <v>K513EP</v>
      </c>
      <c r="H54" s="248" t="s">
        <v>103</v>
      </c>
      <c r="I54" s="250" t="s">
        <v>103</v>
      </c>
      <c r="J54" s="250" t="s">
        <v>153</v>
      </c>
      <c r="K54" s="255" t="s">
        <v>216</v>
      </c>
      <c r="L54" s="250">
        <v>3</v>
      </c>
      <c r="M54" s="252" t="s">
        <v>143</v>
      </c>
      <c r="N54" s="253"/>
      <c r="O54" s="253">
        <v>25000</v>
      </c>
      <c r="P54" s="253"/>
      <c r="Q54" s="254">
        <v>450</v>
      </c>
      <c r="R54" s="254">
        <v>900</v>
      </c>
      <c r="S54" s="254">
        <v>1200</v>
      </c>
      <c r="T54" s="254">
        <v>0</v>
      </c>
      <c r="U54" s="254">
        <v>0</v>
      </c>
      <c r="V54" s="254">
        <v>0</v>
      </c>
      <c r="W54" s="254">
        <v>0</v>
      </c>
      <c r="X54" s="254">
        <v>0</v>
      </c>
      <c r="Y54" s="254">
        <v>0</v>
      </c>
      <c r="Z54" s="248">
        <f t="shared" si="16"/>
        <v>2550</v>
      </c>
    </row>
    <row r="55" spans="2:27" s="259" customFormat="1" ht="15" customHeight="1">
      <c r="B55" s="256">
        <v>1</v>
      </c>
      <c r="C55" s="257"/>
      <c r="D55" s="257"/>
      <c r="E55" s="195"/>
      <c r="F55" s="147"/>
      <c r="G55" s="249" t="str">
        <f t="shared" si="17"/>
        <v>K513EP</v>
      </c>
      <c r="H55" s="147" t="s">
        <v>20</v>
      </c>
      <c r="I55" s="196" t="s">
        <v>142</v>
      </c>
      <c r="J55" s="196" t="s">
        <v>153</v>
      </c>
      <c r="K55" s="202" t="s">
        <v>212</v>
      </c>
      <c r="L55" s="196">
        <v>1</v>
      </c>
      <c r="M55" s="203" t="s">
        <v>146</v>
      </c>
      <c r="N55" s="253"/>
      <c r="O55" s="253">
        <v>9136</v>
      </c>
      <c r="P55" s="253"/>
      <c r="Q55" s="129">
        <f t="shared" ref="Q55:Y61" si="18">(Q$47*$L55)-Q48</f>
        <v>0</v>
      </c>
      <c r="R55" s="129">
        <f t="shared" si="18"/>
        <v>0</v>
      </c>
      <c r="S55" s="129">
        <f t="shared" si="18"/>
        <v>0</v>
      </c>
      <c r="T55" s="129">
        <f t="shared" si="18"/>
        <v>0</v>
      </c>
      <c r="U55" s="129">
        <f t="shared" si="18"/>
        <v>0</v>
      </c>
      <c r="V55" s="129">
        <f t="shared" si="18"/>
        <v>0</v>
      </c>
      <c r="W55" s="129">
        <f t="shared" si="18"/>
        <v>0</v>
      </c>
      <c r="X55" s="129">
        <f t="shared" si="18"/>
        <v>0</v>
      </c>
      <c r="Y55" s="129" t="e">
        <f t="shared" si="18"/>
        <v>#REF!</v>
      </c>
      <c r="Z55" s="147" t="e">
        <f t="shared" si="16"/>
        <v>#REF!</v>
      </c>
      <c r="AA55" s="258"/>
    </row>
    <row r="56" spans="2:27" s="259" customFormat="1" ht="15" customHeight="1">
      <c r="B56" s="256">
        <v>2</v>
      </c>
      <c r="C56" s="257"/>
      <c r="D56" s="257"/>
      <c r="E56" s="195"/>
      <c r="F56" s="197"/>
      <c r="G56" s="249" t="str">
        <f t="shared" si="17"/>
        <v>K513EP</v>
      </c>
      <c r="H56" s="147" t="s">
        <v>20</v>
      </c>
      <c r="I56" s="196" t="s">
        <v>142</v>
      </c>
      <c r="J56" s="198" t="s">
        <v>153</v>
      </c>
      <c r="K56" s="202" t="s">
        <v>213</v>
      </c>
      <c r="L56" s="198">
        <v>1</v>
      </c>
      <c r="M56" s="273" t="s">
        <v>149</v>
      </c>
      <c r="N56" s="253"/>
      <c r="O56" s="253">
        <v>0</v>
      </c>
      <c r="P56" s="253"/>
      <c r="Q56" s="129">
        <f t="shared" si="18"/>
        <v>0</v>
      </c>
      <c r="R56" s="129">
        <f t="shared" si="18"/>
        <v>0</v>
      </c>
      <c r="S56" s="129">
        <f t="shared" si="18"/>
        <v>0</v>
      </c>
      <c r="T56" s="129">
        <f t="shared" si="18"/>
        <v>0</v>
      </c>
      <c r="U56" s="129">
        <f t="shared" si="18"/>
        <v>0</v>
      </c>
      <c r="V56" s="129">
        <f t="shared" si="18"/>
        <v>0</v>
      </c>
      <c r="W56" s="129">
        <f t="shared" si="18"/>
        <v>0</v>
      </c>
      <c r="X56" s="129">
        <f t="shared" si="18"/>
        <v>0</v>
      </c>
      <c r="Y56" s="129" t="e">
        <f t="shared" si="18"/>
        <v>#REF!</v>
      </c>
      <c r="Z56" s="147" t="e">
        <f t="shared" si="16"/>
        <v>#REF!</v>
      </c>
      <c r="AA56" s="258"/>
    </row>
    <row r="57" spans="2:27" s="259" customFormat="1" ht="15" customHeight="1">
      <c r="B57" s="256">
        <v>3</v>
      </c>
      <c r="C57" s="257"/>
      <c r="D57" s="257"/>
      <c r="E57" s="195"/>
      <c r="F57" s="197"/>
      <c r="G57" s="249" t="str">
        <f t="shared" si="17"/>
        <v>K513EP</v>
      </c>
      <c r="H57" s="147" t="s">
        <v>20</v>
      </c>
      <c r="I57" s="196" t="s">
        <v>142</v>
      </c>
      <c r="J57" s="196" t="s">
        <v>153</v>
      </c>
      <c r="K57" s="201" t="s">
        <v>214</v>
      </c>
      <c r="L57" s="198">
        <v>1</v>
      </c>
      <c r="M57" s="204" t="s">
        <v>144</v>
      </c>
      <c r="N57" s="253"/>
      <c r="O57" s="253">
        <v>11770</v>
      </c>
      <c r="P57" s="253"/>
      <c r="Q57" s="129">
        <f t="shared" si="18"/>
        <v>-150</v>
      </c>
      <c r="R57" s="129">
        <f t="shared" si="18"/>
        <v>0</v>
      </c>
      <c r="S57" s="129">
        <f t="shared" si="18"/>
        <v>0</v>
      </c>
      <c r="T57" s="129">
        <f t="shared" si="18"/>
        <v>0</v>
      </c>
      <c r="U57" s="129">
        <f t="shared" si="18"/>
        <v>0</v>
      </c>
      <c r="V57" s="129">
        <f t="shared" si="18"/>
        <v>0</v>
      </c>
      <c r="W57" s="129">
        <f t="shared" si="18"/>
        <v>0</v>
      </c>
      <c r="X57" s="129">
        <f t="shared" si="18"/>
        <v>0</v>
      </c>
      <c r="Y57" s="129" t="e">
        <f t="shared" si="18"/>
        <v>#REF!</v>
      </c>
      <c r="Z57" s="147" t="e">
        <f t="shared" si="16"/>
        <v>#REF!</v>
      </c>
      <c r="AA57" s="258"/>
    </row>
    <row r="58" spans="2:27" s="259" customFormat="1" ht="15" customHeight="1">
      <c r="B58" s="256">
        <v>4</v>
      </c>
      <c r="C58" s="257"/>
      <c r="D58" s="257"/>
      <c r="E58" s="195"/>
      <c r="F58" s="197"/>
      <c r="G58" s="249" t="str">
        <f t="shared" si="17"/>
        <v>K513EP</v>
      </c>
      <c r="H58" s="147" t="s">
        <v>20</v>
      </c>
      <c r="I58" s="196" t="s">
        <v>142</v>
      </c>
      <c r="J58" s="196" t="s">
        <v>153</v>
      </c>
      <c r="K58" s="201" t="s">
        <v>154</v>
      </c>
      <c r="L58" s="198">
        <v>1</v>
      </c>
      <c r="M58" s="204" t="s">
        <v>150</v>
      </c>
      <c r="N58" s="253"/>
      <c r="O58" s="253">
        <v>12554</v>
      </c>
      <c r="P58" s="253"/>
      <c r="Q58" s="129">
        <f t="shared" si="18"/>
        <v>-150</v>
      </c>
      <c r="R58" s="129">
        <f t="shared" si="18"/>
        <v>0</v>
      </c>
      <c r="S58" s="129">
        <f t="shared" si="18"/>
        <v>0</v>
      </c>
      <c r="T58" s="129">
        <f t="shared" si="18"/>
        <v>0</v>
      </c>
      <c r="U58" s="129">
        <f t="shared" si="18"/>
        <v>0</v>
      </c>
      <c r="V58" s="129">
        <f t="shared" si="18"/>
        <v>0</v>
      </c>
      <c r="W58" s="129">
        <f t="shared" si="18"/>
        <v>0</v>
      </c>
      <c r="X58" s="129">
        <f t="shared" si="18"/>
        <v>0</v>
      </c>
      <c r="Y58" s="129" t="e">
        <f t="shared" si="18"/>
        <v>#REF!</v>
      </c>
      <c r="Z58" s="147" t="e">
        <f t="shared" si="16"/>
        <v>#REF!</v>
      </c>
      <c r="AA58" s="258"/>
    </row>
    <row r="59" spans="2:27" s="259" customFormat="1" ht="15" customHeight="1">
      <c r="B59" s="256">
        <v>5</v>
      </c>
      <c r="C59" s="257"/>
      <c r="D59" s="257"/>
      <c r="E59" s="195"/>
      <c r="F59" s="197"/>
      <c r="G59" s="249" t="str">
        <f t="shared" si="17"/>
        <v>K513EP</v>
      </c>
      <c r="H59" s="147" t="s">
        <v>20</v>
      </c>
      <c r="I59" s="196" t="s">
        <v>142</v>
      </c>
      <c r="J59" s="196" t="s">
        <v>153</v>
      </c>
      <c r="K59" s="201" t="s">
        <v>215</v>
      </c>
      <c r="L59" s="198">
        <v>1</v>
      </c>
      <c r="M59" s="204" t="s">
        <v>147</v>
      </c>
      <c r="N59" s="253"/>
      <c r="O59" s="253">
        <v>4568</v>
      </c>
      <c r="P59" s="253"/>
      <c r="Q59" s="129">
        <f t="shared" si="18"/>
        <v>-150</v>
      </c>
      <c r="R59" s="129">
        <f t="shared" si="18"/>
        <v>0</v>
      </c>
      <c r="S59" s="129">
        <f t="shared" si="18"/>
        <v>0</v>
      </c>
      <c r="T59" s="129">
        <f t="shared" si="18"/>
        <v>0</v>
      </c>
      <c r="U59" s="129">
        <f t="shared" si="18"/>
        <v>0</v>
      </c>
      <c r="V59" s="129">
        <f t="shared" si="18"/>
        <v>0</v>
      </c>
      <c r="W59" s="129">
        <f t="shared" si="18"/>
        <v>0</v>
      </c>
      <c r="X59" s="129">
        <f t="shared" si="18"/>
        <v>0</v>
      </c>
      <c r="Y59" s="129" t="e">
        <f t="shared" si="18"/>
        <v>#REF!</v>
      </c>
      <c r="Z59" s="147" t="e">
        <f t="shared" si="16"/>
        <v>#REF!</v>
      </c>
      <c r="AA59" s="258"/>
    </row>
    <row r="60" spans="2:27" s="259" customFormat="1" ht="15" customHeight="1">
      <c r="B60" s="256">
        <v>6</v>
      </c>
      <c r="C60" s="257"/>
      <c r="D60" s="257"/>
      <c r="E60" s="195"/>
      <c r="F60" s="197"/>
      <c r="G60" s="249" t="str">
        <f t="shared" si="17"/>
        <v>K513EP</v>
      </c>
      <c r="H60" s="147" t="s">
        <v>20</v>
      </c>
      <c r="I60" s="196" t="s">
        <v>142</v>
      </c>
      <c r="J60" s="196" t="s">
        <v>153</v>
      </c>
      <c r="K60" s="202" t="s">
        <v>217</v>
      </c>
      <c r="L60" s="198">
        <v>1</v>
      </c>
      <c r="M60" s="204" t="s">
        <v>163</v>
      </c>
      <c r="N60" s="253"/>
      <c r="O60" s="253">
        <v>286</v>
      </c>
      <c r="P60" s="253"/>
      <c r="Q60" s="129">
        <f t="shared" si="18"/>
        <v>0</v>
      </c>
      <c r="R60" s="129">
        <f t="shared" si="18"/>
        <v>0</v>
      </c>
      <c r="S60" s="129">
        <f t="shared" si="18"/>
        <v>0</v>
      </c>
      <c r="T60" s="129">
        <f t="shared" si="18"/>
        <v>0</v>
      </c>
      <c r="U60" s="129">
        <f t="shared" si="18"/>
        <v>0</v>
      </c>
      <c r="V60" s="129">
        <f t="shared" si="18"/>
        <v>0</v>
      </c>
      <c r="W60" s="129">
        <f t="shared" si="18"/>
        <v>0</v>
      </c>
      <c r="X60" s="129">
        <f t="shared" si="18"/>
        <v>0</v>
      </c>
      <c r="Y60" s="129" t="e">
        <f t="shared" si="18"/>
        <v>#REF!</v>
      </c>
      <c r="Z60" s="147" t="e">
        <f t="shared" si="16"/>
        <v>#REF!</v>
      </c>
      <c r="AA60" s="258"/>
    </row>
    <row r="61" spans="2:27" s="259" customFormat="1" ht="15" customHeight="1">
      <c r="B61" s="256">
        <v>7</v>
      </c>
      <c r="C61" s="257"/>
      <c r="D61" s="257"/>
      <c r="E61" s="195"/>
      <c r="F61" s="197"/>
      <c r="G61" s="249" t="str">
        <f t="shared" si="17"/>
        <v>K513EP</v>
      </c>
      <c r="H61" s="147" t="s">
        <v>20</v>
      </c>
      <c r="I61" s="196" t="s">
        <v>142</v>
      </c>
      <c r="J61" s="196" t="s">
        <v>153</v>
      </c>
      <c r="K61" s="201" t="s">
        <v>216</v>
      </c>
      <c r="L61" s="198">
        <v>3</v>
      </c>
      <c r="M61" s="204" t="s">
        <v>143</v>
      </c>
      <c r="N61" s="253"/>
      <c r="O61" s="253">
        <v>25000</v>
      </c>
      <c r="P61" s="253"/>
      <c r="Q61" s="129">
        <f t="shared" si="18"/>
        <v>-450</v>
      </c>
      <c r="R61" s="129">
        <f t="shared" si="18"/>
        <v>-900</v>
      </c>
      <c r="S61" s="129">
        <f t="shared" si="18"/>
        <v>-1200</v>
      </c>
      <c r="T61" s="129">
        <f t="shared" si="18"/>
        <v>0</v>
      </c>
      <c r="U61" s="129">
        <f t="shared" si="18"/>
        <v>0</v>
      </c>
      <c r="V61" s="129">
        <f t="shared" si="18"/>
        <v>0</v>
      </c>
      <c r="W61" s="129">
        <f t="shared" si="18"/>
        <v>0</v>
      </c>
      <c r="X61" s="129">
        <f t="shared" si="18"/>
        <v>0</v>
      </c>
      <c r="Y61" s="129" t="e">
        <f t="shared" si="18"/>
        <v>#REF!</v>
      </c>
      <c r="Z61" s="147" t="e">
        <f t="shared" si="16"/>
        <v>#REF!</v>
      </c>
      <c r="AA61" s="258"/>
    </row>
    <row r="62" spans="2:27" ht="15" customHeight="1">
      <c r="B62" s="244" t="e">
        <f>SUM(Q62:Y62)</f>
        <v>#REF!</v>
      </c>
      <c r="C62" s="244" t="s">
        <v>100</v>
      </c>
      <c r="D62" s="244" t="s">
        <v>229</v>
      </c>
      <c r="E62" s="244" t="s">
        <v>22</v>
      </c>
      <c r="F62" s="244" t="e">
        <f>SUM(N62:Y62)</f>
        <v>#REF!</v>
      </c>
      <c r="G62" s="272" t="s">
        <v>230</v>
      </c>
      <c r="H62" s="244"/>
      <c r="I62" s="244"/>
      <c r="J62" s="244"/>
      <c r="K62" s="244"/>
      <c r="L62" s="244"/>
      <c r="M62" s="244"/>
      <c r="N62" s="244"/>
      <c r="O62" s="244"/>
      <c r="P62" s="244"/>
      <c r="Q62" s="244">
        <f>SUMIFS(MB!R:R,MB!$F:$F,$G:$G,MB!$D:$D,"FCST")</f>
        <v>0</v>
      </c>
      <c r="R62" s="244">
        <f>SUMIFS(MB!S:S,MB!$F:$F,$G:$G,MB!$D:$D,"FCST")</f>
        <v>0</v>
      </c>
      <c r="S62" s="244">
        <f>SUMIFS(MB!T:T,MB!$F:$F,$G:$G,MB!$D:$D,"FCST")</f>
        <v>0</v>
      </c>
      <c r="T62" s="244">
        <f>SUMIFS(MB!U:U,MB!$F:$F,$G:$G,MB!$D:$D,"FCST")</f>
        <v>0</v>
      </c>
      <c r="U62" s="244">
        <f>SUMIFS(MB!V:V,MB!$F:$F,$G:$G,MB!$D:$D,"FCST")</f>
        <v>0</v>
      </c>
      <c r="V62" s="244">
        <f>SUMIFS(MB!W:W,MB!$F:$F,$G:$G,MB!$D:$D,"FCST")</f>
        <v>0</v>
      </c>
      <c r="W62" s="244">
        <f>SUMIFS(MB!X:X,MB!$F:$F,$G:$G,MB!$D:$D,"FCST")</f>
        <v>0</v>
      </c>
      <c r="X62" s="244">
        <f>SUMIFS(MB!Y:Y,MB!$F:$F,$G:$G,MB!$D:$D,"FCST")</f>
        <v>0</v>
      </c>
      <c r="Y62" s="244" t="e">
        <f>SUMIFS(MB!#REF!,MB!$F:$F,$G:$G,MB!$D:$D,"FCST")</f>
        <v>#REF!</v>
      </c>
      <c r="Z62" s="244"/>
    </row>
    <row r="63" spans="2:27" ht="15" customHeight="1">
      <c r="B63" s="245">
        <v>1</v>
      </c>
      <c r="C63" s="246"/>
      <c r="D63" s="246"/>
      <c r="E63" s="247"/>
      <c r="F63" s="261"/>
      <c r="G63" s="249" t="str">
        <f>$G$62</f>
        <v>M515DA (Ryzen 5 3500U)</v>
      </c>
      <c r="H63" s="248" t="s">
        <v>103</v>
      </c>
      <c r="I63" s="262" t="s">
        <v>103</v>
      </c>
      <c r="J63" s="262" t="s">
        <v>153</v>
      </c>
      <c r="K63" s="255" t="s">
        <v>212</v>
      </c>
      <c r="L63" s="262">
        <v>1</v>
      </c>
      <c r="M63" s="263" t="s">
        <v>146</v>
      </c>
      <c r="N63" s="253"/>
      <c r="O63" s="253">
        <v>9136</v>
      </c>
      <c r="P63" s="253"/>
      <c r="Q63" s="254">
        <v>0</v>
      </c>
      <c r="R63" s="254">
        <v>0</v>
      </c>
      <c r="S63" s="254">
        <v>0</v>
      </c>
      <c r="T63" s="254">
        <v>0</v>
      </c>
      <c r="U63" s="254">
        <v>0</v>
      </c>
      <c r="V63" s="254">
        <v>0</v>
      </c>
      <c r="W63" s="254">
        <v>0</v>
      </c>
      <c r="X63" s="254">
        <v>0</v>
      </c>
      <c r="Y63" s="254">
        <v>0</v>
      </c>
      <c r="Z63" s="248">
        <f t="shared" ref="Z63:Z76" si="19">SUM(Q63:Y63)</f>
        <v>0</v>
      </c>
    </row>
    <row r="64" spans="2:27" ht="15" customHeight="1">
      <c r="B64" s="245">
        <v>2</v>
      </c>
      <c r="C64" s="246"/>
      <c r="D64" s="246"/>
      <c r="E64" s="247"/>
      <c r="F64" s="261"/>
      <c r="G64" s="249" t="str">
        <f t="shared" ref="G64:G76" si="20">$G$62</f>
        <v>M515DA (Ryzen 5 3500U)</v>
      </c>
      <c r="H64" s="248" t="s">
        <v>103</v>
      </c>
      <c r="I64" s="250" t="s">
        <v>103</v>
      </c>
      <c r="J64" s="250" t="s">
        <v>153</v>
      </c>
      <c r="K64" s="251" t="s">
        <v>213</v>
      </c>
      <c r="L64" s="262">
        <v>1</v>
      </c>
      <c r="M64" s="263" t="s">
        <v>149</v>
      </c>
      <c r="N64" s="253"/>
      <c r="O64" s="253">
        <v>86720</v>
      </c>
      <c r="P64" s="253"/>
      <c r="Q64" s="254">
        <v>2500</v>
      </c>
      <c r="R64" s="254">
        <v>2500</v>
      </c>
      <c r="S64" s="254">
        <v>2500</v>
      </c>
      <c r="T64" s="254">
        <v>0</v>
      </c>
      <c r="U64" s="254">
        <v>0</v>
      </c>
      <c r="V64" s="254">
        <v>0</v>
      </c>
      <c r="W64" s="254">
        <v>0</v>
      </c>
      <c r="X64" s="254">
        <v>0</v>
      </c>
      <c r="Y64" s="254">
        <v>0</v>
      </c>
      <c r="Z64" s="248">
        <f t="shared" si="19"/>
        <v>7500</v>
      </c>
    </row>
    <row r="65" spans="2:27" ht="15" customHeight="1">
      <c r="B65" s="245">
        <v>3</v>
      </c>
      <c r="C65" s="246"/>
      <c r="D65" s="246"/>
      <c r="E65" s="247"/>
      <c r="F65" s="261"/>
      <c r="G65" s="249" t="str">
        <f t="shared" si="20"/>
        <v>M515DA (Ryzen 5 3500U)</v>
      </c>
      <c r="H65" s="248" t="s">
        <v>103</v>
      </c>
      <c r="I65" s="250" t="s">
        <v>103</v>
      </c>
      <c r="J65" s="250" t="s">
        <v>153</v>
      </c>
      <c r="K65" s="251" t="s">
        <v>214</v>
      </c>
      <c r="L65" s="262">
        <v>1</v>
      </c>
      <c r="M65" s="263" t="s">
        <v>144</v>
      </c>
      <c r="N65" s="253"/>
      <c r="O65" s="253">
        <v>11770</v>
      </c>
      <c r="P65" s="253"/>
      <c r="Q65" s="254">
        <v>2500</v>
      </c>
      <c r="R65" s="254">
        <v>0</v>
      </c>
      <c r="S65" s="254">
        <v>0</v>
      </c>
      <c r="T65" s="254">
        <v>0</v>
      </c>
      <c r="U65" s="254">
        <v>0</v>
      </c>
      <c r="V65" s="254">
        <v>0</v>
      </c>
      <c r="W65" s="254">
        <v>0</v>
      </c>
      <c r="X65" s="254">
        <v>0</v>
      </c>
      <c r="Y65" s="254">
        <v>0</v>
      </c>
      <c r="Z65" s="248">
        <f t="shared" si="19"/>
        <v>2500</v>
      </c>
    </row>
    <row r="66" spans="2:27" ht="15" customHeight="1">
      <c r="B66" s="245">
        <v>4</v>
      </c>
      <c r="C66" s="246"/>
      <c r="D66" s="246"/>
      <c r="E66" s="247"/>
      <c r="F66" s="261"/>
      <c r="G66" s="249" t="str">
        <f t="shared" si="20"/>
        <v>M515DA (Ryzen 5 3500U)</v>
      </c>
      <c r="H66" s="248" t="s">
        <v>103</v>
      </c>
      <c r="I66" s="250" t="s">
        <v>103</v>
      </c>
      <c r="J66" s="250" t="s">
        <v>153</v>
      </c>
      <c r="K66" s="251" t="s">
        <v>154</v>
      </c>
      <c r="L66" s="262">
        <v>1</v>
      </c>
      <c r="M66" s="263" t="s">
        <v>150</v>
      </c>
      <c r="N66" s="253"/>
      <c r="O66" s="253">
        <v>12554</v>
      </c>
      <c r="P66" s="253"/>
      <c r="Q66" s="254">
        <v>2500</v>
      </c>
      <c r="R66" s="254">
        <v>0</v>
      </c>
      <c r="S66" s="254">
        <v>0</v>
      </c>
      <c r="T66" s="254">
        <v>0</v>
      </c>
      <c r="U66" s="254">
        <v>0</v>
      </c>
      <c r="V66" s="254">
        <v>0</v>
      </c>
      <c r="W66" s="254">
        <v>0</v>
      </c>
      <c r="X66" s="254">
        <v>0</v>
      </c>
      <c r="Y66" s="254">
        <v>0</v>
      </c>
      <c r="Z66" s="248">
        <f t="shared" si="19"/>
        <v>2500</v>
      </c>
    </row>
    <row r="67" spans="2:27" ht="15" customHeight="1">
      <c r="B67" s="245">
        <v>5</v>
      </c>
      <c r="C67" s="246"/>
      <c r="D67" s="246"/>
      <c r="E67" s="247"/>
      <c r="F67" s="261"/>
      <c r="G67" s="249" t="str">
        <f t="shared" si="20"/>
        <v>M515DA (Ryzen 5 3500U)</v>
      </c>
      <c r="H67" s="248" t="s">
        <v>103</v>
      </c>
      <c r="I67" s="250" t="s">
        <v>103</v>
      </c>
      <c r="J67" s="250" t="s">
        <v>153</v>
      </c>
      <c r="K67" s="255" t="s">
        <v>215</v>
      </c>
      <c r="L67" s="262">
        <v>1</v>
      </c>
      <c r="M67" s="263" t="s">
        <v>147</v>
      </c>
      <c r="N67" s="253"/>
      <c r="O67" s="253">
        <v>4568</v>
      </c>
      <c r="P67" s="253"/>
      <c r="Q67" s="254">
        <v>2500</v>
      </c>
      <c r="R67" s="254">
        <v>0</v>
      </c>
      <c r="S67" s="254">
        <v>0</v>
      </c>
      <c r="T67" s="254">
        <v>0</v>
      </c>
      <c r="U67" s="254">
        <v>0</v>
      </c>
      <c r="V67" s="254">
        <v>0</v>
      </c>
      <c r="W67" s="254">
        <v>0</v>
      </c>
      <c r="X67" s="254">
        <v>0</v>
      </c>
      <c r="Y67" s="254">
        <v>0</v>
      </c>
      <c r="Z67" s="248">
        <f t="shared" si="19"/>
        <v>2500</v>
      </c>
    </row>
    <row r="68" spans="2:27" ht="15" customHeight="1">
      <c r="B68" s="245">
        <v>6</v>
      </c>
      <c r="C68" s="246"/>
      <c r="D68" s="246"/>
      <c r="E68" s="247"/>
      <c r="F68" s="261"/>
      <c r="G68" s="249" t="str">
        <f t="shared" si="20"/>
        <v>M515DA (Ryzen 5 3500U)</v>
      </c>
      <c r="H68" s="248" t="s">
        <v>103</v>
      </c>
      <c r="I68" s="250" t="s">
        <v>103</v>
      </c>
      <c r="J68" s="250" t="s">
        <v>153</v>
      </c>
      <c r="K68" s="251" t="s">
        <v>217</v>
      </c>
      <c r="L68" s="262">
        <v>1</v>
      </c>
      <c r="M68" s="263" t="s">
        <v>160</v>
      </c>
      <c r="N68" s="253"/>
      <c r="O68" s="253">
        <v>39900</v>
      </c>
      <c r="P68" s="253"/>
      <c r="Q68" s="254">
        <v>2500</v>
      </c>
      <c r="R68" s="254">
        <v>2500</v>
      </c>
      <c r="S68" s="254">
        <v>0</v>
      </c>
      <c r="T68" s="254">
        <v>0</v>
      </c>
      <c r="U68" s="254">
        <v>0</v>
      </c>
      <c r="V68" s="254">
        <v>0</v>
      </c>
      <c r="W68" s="254">
        <v>0</v>
      </c>
      <c r="X68" s="254">
        <v>0</v>
      </c>
      <c r="Y68" s="254">
        <v>0</v>
      </c>
      <c r="Z68" s="248">
        <f t="shared" si="19"/>
        <v>5000</v>
      </c>
    </row>
    <row r="69" spans="2:27" ht="15" customHeight="1">
      <c r="B69" s="245">
        <v>7</v>
      </c>
      <c r="C69" s="246"/>
      <c r="D69" s="246"/>
      <c r="E69" s="247"/>
      <c r="F69" s="261"/>
      <c r="G69" s="249" t="str">
        <f t="shared" si="20"/>
        <v>M515DA (Ryzen 5 3500U)</v>
      </c>
      <c r="H69" s="248" t="s">
        <v>103</v>
      </c>
      <c r="I69" s="250" t="s">
        <v>103</v>
      </c>
      <c r="J69" s="250" t="s">
        <v>153</v>
      </c>
      <c r="K69" s="255" t="s">
        <v>216</v>
      </c>
      <c r="L69" s="262">
        <v>3</v>
      </c>
      <c r="M69" s="263" t="s">
        <v>161</v>
      </c>
      <c r="N69" s="253"/>
      <c r="O69" s="253">
        <v>81109</v>
      </c>
      <c r="P69" s="253"/>
      <c r="Q69" s="254">
        <v>7500</v>
      </c>
      <c r="R69" s="254">
        <v>0</v>
      </c>
      <c r="S69" s="254">
        <v>0</v>
      </c>
      <c r="T69" s="254">
        <v>0</v>
      </c>
      <c r="U69" s="254">
        <v>0</v>
      </c>
      <c r="V69" s="254">
        <v>0</v>
      </c>
      <c r="W69" s="254">
        <v>0</v>
      </c>
      <c r="X69" s="254">
        <v>0</v>
      </c>
      <c r="Y69" s="254">
        <v>0</v>
      </c>
      <c r="Z69" s="248">
        <f t="shared" si="19"/>
        <v>7500</v>
      </c>
    </row>
    <row r="70" spans="2:27" s="259" customFormat="1" ht="15" customHeight="1">
      <c r="B70" s="256">
        <v>1</v>
      </c>
      <c r="C70" s="257"/>
      <c r="D70" s="257"/>
      <c r="E70" s="195"/>
      <c r="F70" s="197"/>
      <c r="G70" s="249" t="str">
        <f t="shared" si="20"/>
        <v>M515DA (Ryzen 5 3500U)</v>
      </c>
      <c r="H70" s="147" t="s">
        <v>20</v>
      </c>
      <c r="I70" s="196" t="s">
        <v>142</v>
      </c>
      <c r="J70" s="196" t="s">
        <v>153</v>
      </c>
      <c r="K70" s="202" t="s">
        <v>212</v>
      </c>
      <c r="L70" s="198">
        <v>1</v>
      </c>
      <c r="M70" s="204" t="s">
        <v>146</v>
      </c>
      <c r="N70" s="253"/>
      <c r="O70" s="253">
        <v>9136</v>
      </c>
      <c r="P70" s="253"/>
      <c r="Q70" s="129">
        <f t="shared" ref="Q70:Y76" si="21">(Q$62*$L70)-Q63</f>
        <v>0</v>
      </c>
      <c r="R70" s="129">
        <f t="shared" si="21"/>
        <v>0</v>
      </c>
      <c r="S70" s="129">
        <f t="shared" si="21"/>
        <v>0</v>
      </c>
      <c r="T70" s="129">
        <f t="shared" si="21"/>
        <v>0</v>
      </c>
      <c r="U70" s="129">
        <f t="shared" si="21"/>
        <v>0</v>
      </c>
      <c r="V70" s="129">
        <f t="shared" si="21"/>
        <v>0</v>
      </c>
      <c r="W70" s="129">
        <f t="shared" si="21"/>
        <v>0</v>
      </c>
      <c r="X70" s="129">
        <f t="shared" si="21"/>
        <v>0</v>
      </c>
      <c r="Y70" s="129" t="e">
        <f t="shared" si="21"/>
        <v>#REF!</v>
      </c>
      <c r="Z70" s="147" t="e">
        <f t="shared" si="19"/>
        <v>#REF!</v>
      </c>
      <c r="AA70" s="258"/>
    </row>
    <row r="71" spans="2:27" s="259" customFormat="1" ht="15" customHeight="1">
      <c r="B71" s="256">
        <v>2</v>
      </c>
      <c r="C71" s="257"/>
      <c r="D71" s="257"/>
      <c r="E71" s="195"/>
      <c r="F71" s="197"/>
      <c r="G71" s="249" t="str">
        <f t="shared" si="20"/>
        <v>M515DA (Ryzen 5 3500U)</v>
      </c>
      <c r="H71" s="147" t="s">
        <v>20</v>
      </c>
      <c r="I71" s="198" t="s">
        <v>142</v>
      </c>
      <c r="J71" s="198" t="s">
        <v>153</v>
      </c>
      <c r="K71" s="202" t="s">
        <v>213</v>
      </c>
      <c r="L71" s="198">
        <v>1</v>
      </c>
      <c r="M71" s="204" t="s">
        <v>149</v>
      </c>
      <c r="N71" s="253"/>
      <c r="O71" s="253">
        <v>86720</v>
      </c>
      <c r="P71" s="253"/>
      <c r="Q71" s="129">
        <f t="shared" si="21"/>
        <v>-2500</v>
      </c>
      <c r="R71" s="129">
        <f t="shared" si="21"/>
        <v>-2500</v>
      </c>
      <c r="S71" s="129">
        <f t="shared" si="21"/>
        <v>-2500</v>
      </c>
      <c r="T71" s="129">
        <f t="shared" si="21"/>
        <v>0</v>
      </c>
      <c r="U71" s="129">
        <f t="shared" si="21"/>
        <v>0</v>
      </c>
      <c r="V71" s="129">
        <f t="shared" si="21"/>
        <v>0</v>
      </c>
      <c r="W71" s="129">
        <f t="shared" si="21"/>
        <v>0</v>
      </c>
      <c r="X71" s="129">
        <f t="shared" si="21"/>
        <v>0</v>
      </c>
      <c r="Y71" s="129" t="e">
        <f t="shared" si="21"/>
        <v>#REF!</v>
      </c>
      <c r="Z71" s="147" t="e">
        <f t="shared" si="19"/>
        <v>#REF!</v>
      </c>
      <c r="AA71" s="258"/>
    </row>
    <row r="72" spans="2:27" s="259" customFormat="1" ht="15" customHeight="1">
      <c r="B72" s="256">
        <v>3</v>
      </c>
      <c r="C72" s="257"/>
      <c r="D72" s="257"/>
      <c r="E72" s="195"/>
      <c r="F72" s="197"/>
      <c r="G72" s="249" t="str">
        <f t="shared" si="20"/>
        <v>M515DA (Ryzen 5 3500U)</v>
      </c>
      <c r="H72" s="147" t="s">
        <v>20</v>
      </c>
      <c r="I72" s="196" t="s">
        <v>142</v>
      </c>
      <c r="J72" s="196" t="s">
        <v>153</v>
      </c>
      <c r="K72" s="201" t="s">
        <v>214</v>
      </c>
      <c r="L72" s="198">
        <v>1</v>
      </c>
      <c r="M72" s="204" t="s">
        <v>144</v>
      </c>
      <c r="N72" s="253"/>
      <c r="O72" s="253">
        <v>11770</v>
      </c>
      <c r="P72" s="253"/>
      <c r="Q72" s="129">
        <f t="shared" si="21"/>
        <v>-2500</v>
      </c>
      <c r="R72" s="129">
        <f t="shared" si="21"/>
        <v>0</v>
      </c>
      <c r="S72" s="129">
        <f t="shared" si="21"/>
        <v>0</v>
      </c>
      <c r="T72" s="129">
        <f t="shared" si="21"/>
        <v>0</v>
      </c>
      <c r="U72" s="129">
        <f t="shared" si="21"/>
        <v>0</v>
      </c>
      <c r="V72" s="129">
        <f t="shared" si="21"/>
        <v>0</v>
      </c>
      <c r="W72" s="129">
        <f t="shared" si="21"/>
        <v>0</v>
      </c>
      <c r="X72" s="129">
        <f t="shared" si="21"/>
        <v>0</v>
      </c>
      <c r="Y72" s="129" t="e">
        <f t="shared" si="21"/>
        <v>#REF!</v>
      </c>
      <c r="Z72" s="147" t="e">
        <f t="shared" si="19"/>
        <v>#REF!</v>
      </c>
      <c r="AA72" s="258"/>
    </row>
    <row r="73" spans="2:27" s="259" customFormat="1" ht="15" customHeight="1">
      <c r="B73" s="256">
        <v>4</v>
      </c>
      <c r="C73" s="257"/>
      <c r="D73" s="257"/>
      <c r="E73" s="195"/>
      <c r="F73" s="197"/>
      <c r="G73" s="249" t="str">
        <f t="shared" si="20"/>
        <v>M515DA (Ryzen 5 3500U)</v>
      </c>
      <c r="H73" s="147" t="s">
        <v>20</v>
      </c>
      <c r="I73" s="196" t="s">
        <v>142</v>
      </c>
      <c r="J73" s="196" t="s">
        <v>153</v>
      </c>
      <c r="K73" s="201" t="s">
        <v>154</v>
      </c>
      <c r="L73" s="198">
        <v>1</v>
      </c>
      <c r="M73" s="204" t="s">
        <v>150</v>
      </c>
      <c r="N73" s="253"/>
      <c r="O73" s="253">
        <v>12554</v>
      </c>
      <c r="P73" s="253"/>
      <c r="Q73" s="129">
        <f t="shared" si="21"/>
        <v>-2500</v>
      </c>
      <c r="R73" s="129">
        <f t="shared" si="21"/>
        <v>0</v>
      </c>
      <c r="S73" s="129">
        <f t="shared" si="21"/>
        <v>0</v>
      </c>
      <c r="T73" s="129">
        <f t="shared" si="21"/>
        <v>0</v>
      </c>
      <c r="U73" s="129">
        <f t="shared" si="21"/>
        <v>0</v>
      </c>
      <c r="V73" s="129">
        <f t="shared" si="21"/>
        <v>0</v>
      </c>
      <c r="W73" s="129">
        <f t="shared" si="21"/>
        <v>0</v>
      </c>
      <c r="X73" s="129">
        <f t="shared" si="21"/>
        <v>0</v>
      </c>
      <c r="Y73" s="129" t="e">
        <f t="shared" si="21"/>
        <v>#REF!</v>
      </c>
      <c r="Z73" s="147" t="e">
        <f t="shared" si="19"/>
        <v>#REF!</v>
      </c>
      <c r="AA73" s="258"/>
    </row>
    <row r="74" spans="2:27" s="259" customFormat="1" ht="15" customHeight="1">
      <c r="B74" s="256">
        <v>5</v>
      </c>
      <c r="C74" s="257"/>
      <c r="D74" s="257"/>
      <c r="E74" s="195"/>
      <c r="F74" s="197"/>
      <c r="G74" s="249" t="str">
        <f t="shared" si="20"/>
        <v>M515DA (Ryzen 5 3500U)</v>
      </c>
      <c r="H74" s="147" t="s">
        <v>20</v>
      </c>
      <c r="I74" s="196" t="s">
        <v>142</v>
      </c>
      <c r="J74" s="196" t="s">
        <v>153</v>
      </c>
      <c r="K74" s="201" t="s">
        <v>215</v>
      </c>
      <c r="L74" s="198">
        <v>1</v>
      </c>
      <c r="M74" s="204" t="s">
        <v>147</v>
      </c>
      <c r="N74" s="253"/>
      <c r="O74" s="253">
        <v>4568</v>
      </c>
      <c r="P74" s="253"/>
      <c r="Q74" s="129">
        <f t="shared" si="21"/>
        <v>-2500</v>
      </c>
      <c r="R74" s="129">
        <f t="shared" si="21"/>
        <v>0</v>
      </c>
      <c r="S74" s="129">
        <f t="shared" si="21"/>
        <v>0</v>
      </c>
      <c r="T74" s="129">
        <f t="shared" si="21"/>
        <v>0</v>
      </c>
      <c r="U74" s="129">
        <f t="shared" si="21"/>
        <v>0</v>
      </c>
      <c r="V74" s="129">
        <f t="shared" si="21"/>
        <v>0</v>
      </c>
      <c r="W74" s="129">
        <f t="shared" si="21"/>
        <v>0</v>
      </c>
      <c r="X74" s="129">
        <f t="shared" si="21"/>
        <v>0</v>
      </c>
      <c r="Y74" s="129" t="e">
        <f t="shared" si="21"/>
        <v>#REF!</v>
      </c>
      <c r="Z74" s="147" t="e">
        <f t="shared" si="19"/>
        <v>#REF!</v>
      </c>
      <c r="AA74" s="258"/>
    </row>
    <row r="75" spans="2:27" s="259" customFormat="1" ht="15" customHeight="1">
      <c r="B75" s="256">
        <v>6</v>
      </c>
      <c r="C75" s="257"/>
      <c r="D75" s="257"/>
      <c r="E75" s="195"/>
      <c r="F75" s="197"/>
      <c r="G75" s="249" t="str">
        <f t="shared" si="20"/>
        <v>M515DA (Ryzen 5 3500U)</v>
      </c>
      <c r="H75" s="147" t="s">
        <v>20</v>
      </c>
      <c r="I75" s="196" t="s">
        <v>142</v>
      </c>
      <c r="J75" s="196" t="s">
        <v>153</v>
      </c>
      <c r="K75" s="202" t="s">
        <v>217</v>
      </c>
      <c r="L75" s="198">
        <v>1</v>
      </c>
      <c r="M75" s="204" t="s">
        <v>160</v>
      </c>
      <c r="N75" s="253"/>
      <c r="O75" s="253">
        <v>39900</v>
      </c>
      <c r="P75" s="253"/>
      <c r="Q75" s="129">
        <f t="shared" si="21"/>
        <v>-2500</v>
      </c>
      <c r="R75" s="129">
        <f t="shared" si="21"/>
        <v>-2500</v>
      </c>
      <c r="S75" s="129">
        <f t="shared" si="21"/>
        <v>0</v>
      </c>
      <c r="T75" s="129">
        <f t="shared" si="21"/>
        <v>0</v>
      </c>
      <c r="U75" s="129">
        <f t="shared" si="21"/>
        <v>0</v>
      </c>
      <c r="V75" s="129">
        <f t="shared" si="21"/>
        <v>0</v>
      </c>
      <c r="W75" s="129">
        <f t="shared" si="21"/>
        <v>0</v>
      </c>
      <c r="X75" s="129">
        <f t="shared" si="21"/>
        <v>0</v>
      </c>
      <c r="Y75" s="129" t="e">
        <f t="shared" si="21"/>
        <v>#REF!</v>
      </c>
      <c r="Z75" s="147" t="e">
        <f t="shared" si="19"/>
        <v>#REF!</v>
      </c>
      <c r="AA75" s="258"/>
    </row>
    <row r="76" spans="2:27" s="259" customFormat="1" ht="15" customHeight="1">
      <c r="B76" s="256">
        <v>7</v>
      </c>
      <c r="C76" s="257"/>
      <c r="D76" s="257"/>
      <c r="E76" s="195"/>
      <c r="F76" s="197"/>
      <c r="G76" s="249" t="str">
        <f t="shared" si="20"/>
        <v>M515DA (Ryzen 5 3500U)</v>
      </c>
      <c r="H76" s="147" t="s">
        <v>20</v>
      </c>
      <c r="I76" s="196" t="s">
        <v>142</v>
      </c>
      <c r="J76" s="196" t="s">
        <v>153</v>
      </c>
      <c r="K76" s="201" t="s">
        <v>216</v>
      </c>
      <c r="L76" s="198">
        <v>3</v>
      </c>
      <c r="M76" s="204" t="s">
        <v>161</v>
      </c>
      <c r="N76" s="253"/>
      <c r="O76" s="253">
        <v>81109</v>
      </c>
      <c r="P76" s="253"/>
      <c r="Q76" s="129">
        <f t="shared" si="21"/>
        <v>-7500</v>
      </c>
      <c r="R76" s="129">
        <f t="shared" si="21"/>
        <v>0</v>
      </c>
      <c r="S76" s="129">
        <f t="shared" si="21"/>
        <v>0</v>
      </c>
      <c r="T76" s="129">
        <f t="shared" si="21"/>
        <v>0</v>
      </c>
      <c r="U76" s="129">
        <f t="shared" si="21"/>
        <v>0</v>
      </c>
      <c r="V76" s="129">
        <f t="shared" si="21"/>
        <v>0</v>
      </c>
      <c r="W76" s="129">
        <f t="shared" si="21"/>
        <v>0</v>
      </c>
      <c r="X76" s="129">
        <f t="shared" si="21"/>
        <v>0</v>
      </c>
      <c r="Y76" s="129" t="e">
        <f t="shared" si="21"/>
        <v>#REF!</v>
      </c>
      <c r="Z76" s="147" t="e">
        <f t="shared" si="19"/>
        <v>#REF!</v>
      </c>
      <c r="AA76" s="258"/>
    </row>
    <row r="77" spans="2:27" ht="15" customHeight="1">
      <c r="B77" s="244" t="e">
        <f>SUM(Q77:Y77)</f>
        <v>#REF!</v>
      </c>
      <c r="C77" s="244" t="s">
        <v>228</v>
      </c>
      <c r="D77" s="244" t="s">
        <v>229</v>
      </c>
      <c r="E77" s="244" t="s">
        <v>22</v>
      </c>
      <c r="F77" s="244" t="e">
        <f>SUM(N77:Y77)</f>
        <v>#REF!</v>
      </c>
      <c r="G77" s="272" t="s">
        <v>231</v>
      </c>
      <c r="H77" s="244"/>
      <c r="I77" s="244"/>
      <c r="J77" s="244"/>
      <c r="K77" s="244"/>
      <c r="L77" s="244"/>
      <c r="M77" s="244"/>
      <c r="N77" s="244"/>
      <c r="O77" s="244"/>
      <c r="P77" s="244"/>
      <c r="Q77" s="244">
        <f>SUMIFS(MB!R:R,MB!$F:$F,$G:$G,MB!$D:$D,"FCST")</f>
        <v>0</v>
      </c>
      <c r="R77" s="244">
        <f>SUMIFS(MB!S:S,MB!$F:$F,$G:$G,MB!$D:$D,"FCST")</f>
        <v>0</v>
      </c>
      <c r="S77" s="244">
        <f>SUMIFS(MB!T:T,MB!$F:$F,$G:$G,MB!$D:$D,"FCST")</f>
        <v>0</v>
      </c>
      <c r="T77" s="244">
        <f>SUMIFS(MB!U:U,MB!$F:$F,$G:$G,MB!$D:$D,"FCST")</f>
        <v>0</v>
      </c>
      <c r="U77" s="244">
        <f>SUMIFS(MB!V:V,MB!$F:$F,$G:$G,MB!$D:$D,"FCST")</f>
        <v>0</v>
      </c>
      <c r="V77" s="244">
        <f>SUMIFS(MB!W:W,MB!$F:$F,$G:$G,MB!$D:$D,"FCST")</f>
        <v>0</v>
      </c>
      <c r="W77" s="244">
        <f>SUMIFS(MB!X:X,MB!$F:$F,$G:$G,MB!$D:$D,"FCST")</f>
        <v>0</v>
      </c>
      <c r="X77" s="244">
        <f>SUMIFS(MB!Y:Y,MB!$F:$F,$G:$G,MB!$D:$D,"FCST")</f>
        <v>0</v>
      </c>
      <c r="Y77" s="244" t="e">
        <f>SUMIFS(MB!#REF!,MB!$F:$F,$G:$G,MB!$D:$D,"FCST")</f>
        <v>#REF!</v>
      </c>
      <c r="Z77" s="244"/>
    </row>
    <row r="78" spans="2:27" ht="15" customHeight="1">
      <c r="B78" s="245">
        <v>1</v>
      </c>
      <c r="C78" s="246"/>
      <c r="D78" s="246"/>
      <c r="E78" s="247"/>
      <c r="F78" s="261"/>
      <c r="G78" s="249" t="str">
        <f>$G$77</f>
        <v>M515DA (Ryzen 7 3700U)</v>
      </c>
      <c r="H78" s="248" t="s">
        <v>103</v>
      </c>
      <c r="I78" s="248" t="s">
        <v>103</v>
      </c>
      <c r="J78" s="250" t="s">
        <v>153</v>
      </c>
      <c r="K78" s="255" t="s">
        <v>212</v>
      </c>
      <c r="L78" s="262">
        <v>1</v>
      </c>
      <c r="M78" s="263" t="s">
        <v>146</v>
      </c>
      <c r="N78" s="253"/>
      <c r="O78" s="253">
        <v>9136</v>
      </c>
      <c r="P78" s="253"/>
      <c r="Q78" s="254">
        <v>0</v>
      </c>
      <c r="R78" s="254">
        <v>0</v>
      </c>
      <c r="S78" s="254">
        <v>0</v>
      </c>
      <c r="T78" s="254">
        <v>0</v>
      </c>
      <c r="U78" s="254">
        <v>0</v>
      </c>
      <c r="V78" s="254">
        <v>0</v>
      </c>
      <c r="W78" s="254">
        <v>0</v>
      </c>
      <c r="X78" s="254">
        <v>0</v>
      </c>
      <c r="Y78" s="254">
        <v>0</v>
      </c>
      <c r="Z78" s="248">
        <f t="shared" ref="Z78:Z91" si="22">SUM(Q78:Y78)</f>
        <v>0</v>
      </c>
    </row>
    <row r="79" spans="2:27" ht="15" customHeight="1">
      <c r="B79" s="245">
        <v>2</v>
      </c>
      <c r="C79" s="246"/>
      <c r="D79" s="246"/>
      <c r="E79" s="247"/>
      <c r="F79" s="261"/>
      <c r="G79" s="249" t="str">
        <f t="shared" ref="G79:G91" si="23">$G$77</f>
        <v>M515DA (Ryzen 7 3700U)</v>
      </c>
      <c r="H79" s="248" t="s">
        <v>103</v>
      </c>
      <c r="I79" s="261" t="s">
        <v>103</v>
      </c>
      <c r="J79" s="262" t="s">
        <v>153</v>
      </c>
      <c r="K79" s="255" t="s">
        <v>213</v>
      </c>
      <c r="L79" s="262">
        <v>1</v>
      </c>
      <c r="M79" s="263" t="s">
        <v>149</v>
      </c>
      <c r="N79" s="253"/>
      <c r="O79" s="253">
        <v>86720</v>
      </c>
      <c r="P79" s="253"/>
      <c r="Q79" s="254">
        <v>400</v>
      </c>
      <c r="R79" s="254">
        <v>300</v>
      </c>
      <c r="S79" s="254">
        <v>0</v>
      </c>
      <c r="T79" s="254">
        <v>0</v>
      </c>
      <c r="U79" s="254">
        <v>0</v>
      </c>
      <c r="V79" s="254">
        <v>0</v>
      </c>
      <c r="W79" s="254">
        <v>0</v>
      </c>
      <c r="X79" s="254">
        <v>0</v>
      </c>
      <c r="Y79" s="254">
        <v>0</v>
      </c>
      <c r="Z79" s="248">
        <f t="shared" si="22"/>
        <v>700</v>
      </c>
    </row>
    <row r="80" spans="2:27" ht="15" customHeight="1">
      <c r="B80" s="245">
        <v>3</v>
      </c>
      <c r="C80" s="246"/>
      <c r="D80" s="246"/>
      <c r="E80" s="247"/>
      <c r="F80" s="261"/>
      <c r="G80" s="249" t="str">
        <f t="shared" si="23"/>
        <v>M515DA (Ryzen 7 3700U)</v>
      </c>
      <c r="H80" s="248" t="s">
        <v>103</v>
      </c>
      <c r="I80" s="248" t="s">
        <v>103</v>
      </c>
      <c r="J80" s="250" t="s">
        <v>153</v>
      </c>
      <c r="K80" s="251" t="s">
        <v>214</v>
      </c>
      <c r="L80" s="262">
        <v>1</v>
      </c>
      <c r="M80" s="263" t="s">
        <v>144</v>
      </c>
      <c r="N80" s="253"/>
      <c r="O80" s="253">
        <v>11770</v>
      </c>
      <c r="P80" s="253"/>
      <c r="Q80" s="254">
        <v>400</v>
      </c>
      <c r="R80" s="254">
        <v>0</v>
      </c>
      <c r="S80" s="254">
        <v>0</v>
      </c>
      <c r="T80" s="254">
        <v>0</v>
      </c>
      <c r="U80" s="254">
        <v>0</v>
      </c>
      <c r="V80" s="254">
        <v>0</v>
      </c>
      <c r="W80" s="254">
        <v>0</v>
      </c>
      <c r="X80" s="254">
        <v>0</v>
      </c>
      <c r="Y80" s="254">
        <v>0</v>
      </c>
      <c r="Z80" s="248">
        <f t="shared" si="22"/>
        <v>400</v>
      </c>
    </row>
    <row r="81" spans="1:26" ht="15" customHeight="1">
      <c r="B81" s="245">
        <v>4</v>
      </c>
      <c r="C81" s="246"/>
      <c r="D81" s="246"/>
      <c r="E81" s="247"/>
      <c r="F81" s="261"/>
      <c r="G81" s="249" t="str">
        <f t="shared" si="23"/>
        <v>M515DA (Ryzen 7 3700U)</v>
      </c>
      <c r="H81" s="248" t="s">
        <v>103</v>
      </c>
      <c r="I81" s="248" t="s">
        <v>103</v>
      </c>
      <c r="J81" s="250" t="s">
        <v>153</v>
      </c>
      <c r="K81" s="251" t="s">
        <v>154</v>
      </c>
      <c r="L81" s="262">
        <v>1</v>
      </c>
      <c r="M81" s="263" t="s">
        <v>150</v>
      </c>
      <c r="N81" s="253"/>
      <c r="O81" s="253">
        <v>12554</v>
      </c>
      <c r="P81" s="253"/>
      <c r="Q81" s="254">
        <v>400</v>
      </c>
      <c r="R81" s="254">
        <v>0</v>
      </c>
      <c r="S81" s="254">
        <v>0</v>
      </c>
      <c r="T81" s="254">
        <v>0</v>
      </c>
      <c r="U81" s="254">
        <v>0</v>
      </c>
      <c r="V81" s="254">
        <v>0</v>
      </c>
      <c r="W81" s="254">
        <v>0</v>
      </c>
      <c r="X81" s="254">
        <v>0</v>
      </c>
      <c r="Y81" s="254">
        <v>0</v>
      </c>
      <c r="Z81" s="248">
        <f t="shared" si="22"/>
        <v>400</v>
      </c>
    </row>
    <row r="82" spans="1:26" ht="15" customHeight="1">
      <c r="B82" s="245">
        <v>5</v>
      </c>
      <c r="C82" s="246"/>
      <c r="D82" s="246"/>
      <c r="E82" s="247"/>
      <c r="F82" s="261"/>
      <c r="G82" s="249" t="str">
        <f t="shared" si="23"/>
        <v>M515DA (Ryzen 7 3700U)</v>
      </c>
      <c r="H82" s="248" t="s">
        <v>103</v>
      </c>
      <c r="I82" s="248" t="s">
        <v>103</v>
      </c>
      <c r="J82" s="250" t="s">
        <v>153</v>
      </c>
      <c r="K82" s="251" t="s">
        <v>215</v>
      </c>
      <c r="L82" s="262">
        <v>1</v>
      </c>
      <c r="M82" s="263" t="s">
        <v>147</v>
      </c>
      <c r="N82" s="253"/>
      <c r="O82" s="253">
        <v>4568</v>
      </c>
      <c r="P82" s="253"/>
      <c r="Q82" s="254">
        <v>400</v>
      </c>
      <c r="R82" s="254">
        <v>0</v>
      </c>
      <c r="S82" s="254">
        <v>0</v>
      </c>
      <c r="T82" s="254">
        <v>0</v>
      </c>
      <c r="U82" s="254">
        <v>0</v>
      </c>
      <c r="V82" s="254">
        <v>0</v>
      </c>
      <c r="W82" s="254">
        <v>0</v>
      </c>
      <c r="X82" s="254">
        <v>0</v>
      </c>
      <c r="Y82" s="254">
        <v>0</v>
      </c>
      <c r="Z82" s="248">
        <f t="shared" si="22"/>
        <v>400</v>
      </c>
    </row>
    <row r="83" spans="1:26" ht="15" customHeight="1">
      <c r="B83" s="245">
        <v>6</v>
      </c>
      <c r="C83" s="246"/>
      <c r="D83" s="246"/>
      <c r="E83" s="247"/>
      <c r="F83" s="261"/>
      <c r="G83" s="249" t="str">
        <f t="shared" si="23"/>
        <v>M515DA (Ryzen 7 3700U)</v>
      </c>
      <c r="H83" s="248" t="s">
        <v>103</v>
      </c>
      <c r="I83" s="248" t="s">
        <v>103</v>
      </c>
      <c r="J83" s="250" t="s">
        <v>153</v>
      </c>
      <c r="K83" s="255" t="s">
        <v>217</v>
      </c>
      <c r="L83" s="262">
        <v>1</v>
      </c>
      <c r="M83" s="263" t="s">
        <v>160</v>
      </c>
      <c r="N83" s="253"/>
      <c r="O83" s="253">
        <v>39900</v>
      </c>
      <c r="P83" s="253"/>
      <c r="Q83" s="254">
        <v>400</v>
      </c>
      <c r="R83" s="254">
        <v>300</v>
      </c>
      <c r="S83" s="254">
        <v>0</v>
      </c>
      <c r="T83" s="254">
        <v>0</v>
      </c>
      <c r="U83" s="254">
        <v>0</v>
      </c>
      <c r="V83" s="254">
        <v>0</v>
      </c>
      <c r="W83" s="254">
        <v>0</v>
      </c>
      <c r="X83" s="254">
        <v>0</v>
      </c>
      <c r="Y83" s="254">
        <v>0</v>
      </c>
      <c r="Z83" s="248">
        <f t="shared" si="22"/>
        <v>700</v>
      </c>
    </row>
    <row r="84" spans="1:26" ht="15" customHeight="1">
      <c r="B84" s="245">
        <v>7</v>
      </c>
      <c r="C84" s="246"/>
      <c r="D84" s="246"/>
      <c r="E84" s="247"/>
      <c r="F84" s="261"/>
      <c r="G84" s="249" t="str">
        <f t="shared" si="23"/>
        <v>M515DA (Ryzen 7 3700U)</v>
      </c>
      <c r="H84" s="248" t="s">
        <v>103</v>
      </c>
      <c r="I84" s="248" t="s">
        <v>103</v>
      </c>
      <c r="J84" s="250" t="s">
        <v>153</v>
      </c>
      <c r="K84" s="251" t="s">
        <v>216</v>
      </c>
      <c r="L84" s="262">
        <v>3</v>
      </c>
      <c r="M84" s="263" t="s">
        <v>161</v>
      </c>
      <c r="N84" s="253"/>
      <c r="O84" s="253">
        <v>81109</v>
      </c>
      <c r="P84" s="253"/>
      <c r="Q84" s="254">
        <v>1200</v>
      </c>
      <c r="R84" s="254">
        <v>0</v>
      </c>
      <c r="S84" s="254">
        <v>0</v>
      </c>
      <c r="T84" s="254">
        <v>0</v>
      </c>
      <c r="U84" s="254">
        <v>0</v>
      </c>
      <c r="V84" s="254">
        <v>0</v>
      </c>
      <c r="W84" s="254">
        <v>0</v>
      </c>
      <c r="X84" s="254">
        <v>0</v>
      </c>
      <c r="Y84" s="254">
        <v>0</v>
      </c>
      <c r="Z84" s="248">
        <f t="shared" si="22"/>
        <v>1200</v>
      </c>
    </row>
    <row r="85" spans="1:26" ht="15" customHeight="1">
      <c r="B85" s="245">
        <v>1</v>
      </c>
      <c r="C85" s="152"/>
      <c r="D85" s="152"/>
      <c r="E85" s="195"/>
      <c r="F85" s="197"/>
      <c r="G85" s="249" t="str">
        <f t="shared" si="23"/>
        <v>M515DA (Ryzen 7 3700U)</v>
      </c>
      <c r="H85" s="147" t="s">
        <v>20</v>
      </c>
      <c r="I85" s="196" t="s">
        <v>142</v>
      </c>
      <c r="J85" s="196" t="s">
        <v>153</v>
      </c>
      <c r="K85" s="202" t="s">
        <v>212</v>
      </c>
      <c r="L85" s="198">
        <v>1</v>
      </c>
      <c r="M85" s="204" t="s">
        <v>146</v>
      </c>
      <c r="N85" s="253"/>
      <c r="O85" s="253">
        <v>9136</v>
      </c>
      <c r="P85" s="253"/>
      <c r="Q85" s="129">
        <f t="shared" ref="Q85:Y91" si="24">(Q$77*$L85)-Q78</f>
        <v>0</v>
      </c>
      <c r="R85" s="129">
        <f t="shared" si="24"/>
        <v>0</v>
      </c>
      <c r="S85" s="129">
        <f t="shared" si="24"/>
        <v>0</v>
      </c>
      <c r="T85" s="129">
        <f t="shared" si="24"/>
        <v>0</v>
      </c>
      <c r="U85" s="129">
        <f t="shared" si="24"/>
        <v>0</v>
      </c>
      <c r="V85" s="129">
        <f t="shared" si="24"/>
        <v>0</v>
      </c>
      <c r="W85" s="129">
        <f t="shared" si="24"/>
        <v>0</v>
      </c>
      <c r="X85" s="129">
        <f t="shared" si="24"/>
        <v>0</v>
      </c>
      <c r="Y85" s="129" t="e">
        <f t="shared" si="24"/>
        <v>#REF!</v>
      </c>
      <c r="Z85" s="147" t="e">
        <f t="shared" si="22"/>
        <v>#REF!</v>
      </c>
    </row>
    <row r="86" spans="1:26" s="230" customFormat="1" ht="15" customHeight="1">
      <c r="A86" s="144"/>
      <c r="B86" s="245">
        <v>2</v>
      </c>
      <c r="C86" s="152"/>
      <c r="D86" s="152"/>
      <c r="E86" s="195"/>
      <c r="F86" s="197"/>
      <c r="G86" s="249" t="str">
        <f t="shared" si="23"/>
        <v>M515DA (Ryzen 7 3700U)</v>
      </c>
      <c r="H86" s="147" t="s">
        <v>20</v>
      </c>
      <c r="I86" s="196" t="s">
        <v>142</v>
      </c>
      <c r="J86" s="196" t="s">
        <v>153</v>
      </c>
      <c r="K86" s="202" t="s">
        <v>213</v>
      </c>
      <c r="L86" s="198">
        <v>1</v>
      </c>
      <c r="M86" s="204" t="s">
        <v>149</v>
      </c>
      <c r="N86" s="253"/>
      <c r="O86" s="253">
        <v>86720</v>
      </c>
      <c r="P86" s="253"/>
      <c r="Q86" s="129">
        <f t="shared" si="24"/>
        <v>-400</v>
      </c>
      <c r="R86" s="129">
        <f t="shared" si="24"/>
        <v>-300</v>
      </c>
      <c r="S86" s="129">
        <f t="shared" si="24"/>
        <v>0</v>
      </c>
      <c r="T86" s="129">
        <f t="shared" si="24"/>
        <v>0</v>
      </c>
      <c r="U86" s="129">
        <f t="shared" si="24"/>
        <v>0</v>
      </c>
      <c r="V86" s="129">
        <f t="shared" si="24"/>
        <v>0</v>
      </c>
      <c r="W86" s="129">
        <f t="shared" si="24"/>
        <v>0</v>
      </c>
      <c r="X86" s="129">
        <f t="shared" si="24"/>
        <v>0</v>
      </c>
      <c r="Y86" s="129" t="e">
        <f t="shared" si="24"/>
        <v>#REF!</v>
      </c>
      <c r="Z86" s="147" t="e">
        <f t="shared" si="22"/>
        <v>#REF!</v>
      </c>
    </row>
    <row r="87" spans="1:26" s="230" customFormat="1" ht="15" customHeight="1">
      <c r="A87" s="144"/>
      <c r="B87" s="245">
        <v>3</v>
      </c>
      <c r="C87" s="152"/>
      <c r="D87" s="152"/>
      <c r="E87" s="195"/>
      <c r="F87" s="197"/>
      <c r="G87" s="249" t="str">
        <f t="shared" si="23"/>
        <v>M515DA (Ryzen 7 3700U)</v>
      </c>
      <c r="H87" s="147" t="s">
        <v>20</v>
      </c>
      <c r="I87" s="198" t="s">
        <v>142</v>
      </c>
      <c r="J87" s="198" t="s">
        <v>153</v>
      </c>
      <c r="K87" s="202" t="s">
        <v>214</v>
      </c>
      <c r="L87" s="198">
        <v>1</v>
      </c>
      <c r="M87" s="204" t="s">
        <v>144</v>
      </c>
      <c r="N87" s="253"/>
      <c r="O87" s="253">
        <v>11770</v>
      </c>
      <c r="P87" s="253"/>
      <c r="Q87" s="129">
        <f t="shared" si="24"/>
        <v>-400</v>
      </c>
      <c r="R87" s="129">
        <f t="shared" si="24"/>
        <v>0</v>
      </c>
      <c r="S87" s="129">
        <f t="shared" si="24"/>
        <v>0</v>
      </c>
      <c r="T87" s="129">
        <f t="shared" si="24"/>
        <v>0</v>
      </c>
      <c r="U87" s="129">
        <f t="shared" si="24"/>
        <v>0</v>
      </c>
      <c r="V87" s="129">
        <f t="shared" si="24"/>
        <v>0</v>
      </c>
      <c r="W87" s="129">
        <f t="shared" si="24"/>
        <v>0</v>
      </c>
      <c r="X87" s="129">
        <f t="shared" si="24"/>
        <v>0</v>
      </c>
      <c r="Y87" s="129" t="e">
        <f t="shared" si="24"/>
        <v>#REF!</v>
      </c>
      <c r="Z87" s="147" t="e">
        <f t="shared" si="22"/>
        <v>#REF!</v>
      </c>
    </row>
    <row r="88" spans="1:26" s="230" customFormat="1" ht="15" customHeight="1">
      <c r="A88" s="144"/>
      <c r="B88" s="245">
        <v>4</v>
      </c>
      <c r="C88" s="152"/>
      <c r="D88" s="152"/>
      <c r="E88" s="195"/>
      <c r="F88" s="197"/>
      <c r="G88" s="249" t="str">
        <f t="shared" si="23"/>
        <v>M515DA (Ryzen 7 3700U)</v>
      </c>
      <c r="H88" s="147" t="s">
        <v>20</v>
      </c>
      <c r="I88" s="196" t="s">
        <v>142</v>
      </c>
      <c r="J88" s="196" t="s">
        <v>153</v>
      </c>
      <c r="K88" s="201" t="s">
        <v>154</v>
      </c>
      <c r="L88" s="198">
        <v>1</v>
      </c>
      <c r="M88" s="204" t="s">
        <v>150</v>
      </c>
      <c r="N88" s="253"/>
      <c r="O88" s="253">
        <v>12554</v>
      </c>
      <c r="P88" s="253"/>
      <c r="Q88" s="129">
        <f t="shared" si="24"/>
        <v>-400</v>
      </c>
      <c r="R88" s="129">
        <f t="shared" si="24"/>
        <v>0</v>
      </c>
      <c r="S88" s="129">
        <f t="shared" si="24"/>
        <v>0</v>
      </c>
      <c r="T88" s="129">
        <f t="shared" si="24"/>
        <v>0</v>
      </c>
      <c r="U88" s="129">
        <f t="shared" si="24"/>
        <v>0</v>
      </c>
      <c r="V88" s="129">
        <f t="shared" si="24"/>
        <v>0</v>
      </c>
      <c r="W88" s="129">
        <f t="shared" si="24"/>
        <v>0</v>
      </c>
      <c r="X88" s="129">
        <f t="shared" si="24"/>
        <v>0</v>
      </c>
      <c r="Y88" s="129" t="e">
        <f t="shared" si="24"/>
        <v>#REF!</v>
      </c>
      <c r="Z88" s="147" t="e">
        <f t="shared" si="22"/>
        <v>#REF!</v>
      </c>
    </row>
    <row r="89" spans="1:26" s="230" customFormat="1" ht="15" customHeight="1">
      <c r="A89" s="144"/>
      <c r="B89" s="245">
        <v>5</v>
      </c>
      <c r="C89" s="152"/>
      <c r="D89" s="152"/>
      <c r="E89" s="195"/>
      <c r="F89" s="197"/>
      <c r="G89" s="249" t="str">
        <f t="shared" si="23"/>
        <v>M515DA (Ryzen 7 3700U)</v>
      </c>
      <c r="H89" s="147" t="s">
        <v>20</v>
      </c>
      <c r="I89" s="196" t="s">
        <v>142</v>
      </c>
      <c r="J89" s="196" t="s">
        <v>153</v>
      </c>
      <c r="K89" s="201" t="s">
        <v>215</v>
      </c>
      <c r="L89" s="198">
        <v>1</v>
      </c>
      <c r="M89" s="204" t="s">
        <v>147</v>
      </c>
      <c r="N89" s="253"/>
      <c r="O89" s="253">
        <v>4568</v>
      </c>
      <c r="P89" s="253"/>
      <c r="Q89" s="129">
        <f t="shared" si="24"/>
        <v>-400</v>
      </c>
      <c r="R89" s="129">
        <f t="shared" si="24"/>
        <v>0</v>
      </c>
      <c r="S89" s="129">
        <f t="shared" si="24"/>
        <v>0</v>
      </c>
      <c r="T89" s="129">
        <f t="shared" si="24"/>
        <v>0</v>
      </c>
      <c r="U89" s="129">
        <f t="shared" si="24"/>
        <v>0</v>
      </c>
      <c r="V89" s="129">
        <f t="shared" si="24"/>
        <v>0</v>
      </c>
      <c r="W89" s="129">
        <f t="shared" si="24"/>
        <v>0</v>
      </c>
      <c r="X89" s="129">
        <f t="shared" si="24"/>
        <v>0</v>
      </c>
      <c r="Y89" s="129" t="e">
        <f t="shared" si="24"/>
        <v>#REF!</v>
      </c>
      <c r="Z89" s="147" t="e">
        <f t="shared" si="22"/>
        <v>#REF!</v>
      </c>
    </row>
    <row r="90" spans="1:26" s="230" customFormat="1" ht="15" customHeight="1">
      <c r="A90" s="144"/>
      <c r="B90" s="245">
        <v>6</v>
      </c>
      <c r="C90" s="152"/>
      <c r="D90" s="152"/>
      <c r="E90" s="195"/>
      <c r="F90" s="197"/>
      <c r="G90" s="249" t="str">
        <f t="shared" si="23"/>
        <v>M515DA (Ryzen 7 3700U)</v>
      </c>
      <c r="H90" s="147" t="s">
        <v>20</v>
      </c>
      <c r="I90" s="196" t="s">
        <v>142</v>
      </c>
      <c r="J90" s="196" t="s">
        <v>153</v>
      </c>
      <c r="K90" s="201" t="s">
        <v>217</v>
      </c>
      <c r="L90" s="198">
        <v>1</v>
      </c>
      <c r="M90" s="204" t="s">
        <v>160</v>
      </c>
      <c r="N90" s="253"/>
      <c r="O90" s="253">
        <v>39900</v>
      </c>
      <c r="P90" s="253"/>
      <c r="Q90" s="129">
        <f t="shared" si="24"/>
        <v>-400</v>
      </c>
      <c r="R90" s="129">
        <f t="shared" si="24"/>
        <v>-300</v>
      </c>
      <c r="S90" s="129">
        <f t="shared" si="24"/>
        <v>0</v>
      </c>
      <c r="T90" s="129">
        <f t="shared" si="24"/>
        <v>0</v>
      </c>
      <c r="U90" s="129">
        <f t="shared" si="24"/>
        <v>0</v>
      </c>
      <c r="V90" s="129">
        <f t="shared" si="24"/>
        <v>0</v>
      </c>
      <c r="W90" s="129">
        <f t="shared" si="24"/>
        <v>0</v>
      </c>
      <c r="X90" s="129">
        <f t="shared" si="24"/>
        <v>0</v>
      </c>
      <c r="Y90" s="129" t="e">
        <f t="shared" si="24"/>
        <v>#REF!</v>
      </c>
      <c r="Z90" s="147" t="e">
        <f t="shared" si="22"/>
        <v>#REF!</v>
      </c>
    </row>
    <row r="91" spans="1:26" s="230" customFormat="1" ht="15" customHeight="1">
      <c r="A91" s="144"/>
      <c r="B91" s="245">
        <v>7</v>
      </c>
      <c r="C91" s="152"/>
      <c r="D91" s="152"/>
      <c r="E91" s="195"/>
      <c r="F91" s="197"/>
      <c r="G91" s="249" t="str">
        <f t="shared" si="23"/>
        <v>M515DA (Ryzen 7 3700U)</v>
      </c>
      <c r="H91" s="147" t="s">
        <v>20</v>
      </c>
      <c r="I91" s="196" t="s">
        <v>142</v>
      </c>
      <c r="J91" s="196" t="s">
        <v>153</v>
      </c>
      <c r="K91" s="202" t="s">
        <v>216</v>
      </c>
      <c r="L91" s="198">
        <v>3</v>
      </c>
      <c r="M91" s="204" t="s">
        <v>161</v>
      </c>
      <c r="N91" s="253"/>
      <c r="O91" s="253">
        <v>81109</v>
      </c>
      <c r="P91" s="253"/>
      <c r="Q91" s="129">
        <f t="shared" si="24"/>
        <v>-1200</v>
      </c>
      <c r="R91" s="129">
        <f t="shared" si="24"/>
        <v>0</v>
      </c>
      <c r="S91" s="129">
        <f t="shared" si="24"/>
        <v>0</v>
      </c>
      <c r="T91" s="129">
        <f t="shared" si="24"/>
        <v>0</v>
      </c>
      <c r="U91" s="129">
        <f t="shared" si="24"/>
        <v>0</v>
      </c>
      <c r="V91" s="129">
        <f t="shared" si="24"/>
        <v>0</v>
      </c>
      <c r="W91" s="129">
        <f t="shared" si="24"/>
        <v>0</v>
      </c>
      <c r="X91" s="129">
        <f t="shared" si="24"/>
        <v>0</v>
      </c>
      <c r="Y91" s="129" t="e">
        <f t="shared" si="24"/>
        <v>#REF!</v>
      </c>
      <c r="Z91" s="147" t="e">
        <f t="shared" si="22"/>
        <v>#REF!</v>
      </c>
    </row>
    <row r="92" spans="1:26" s="230" customFormat="1" ht="15" customHeight="1">
      <c r="A92" s="264"/>
      <c r="B92" s="244" t="e">
        <f>SUM(Q92:Y92)</f>
        <v>#REF!</v>
      </c>
      <c r="C92" s="244" t="s">
        <v>228</v>
      </c>
      <c r="D92" s="244" t="s">
        <v>229</v>
      </c>
      <c r="E92" s="244" t="s">
        <v>22</v>
      </c>
      <c r="F92" s="244" t="e">
        <f>SUM(N92:Y92)</f>
        <v>#REF!</v>
      </c>
      <c r="G92" s="244" t="s">
        <v>112</v>
      </c>
      <c r="H92" s="244"/>
      <c r="I92" s="244"/>
      <c r="J92" s="244"/>
      <c r="K92" s="244"/>
      <c r="L92" s="244"/>
      <c r="M92" s="244"/>
      <c r="N92" s="244"/>
      <c r="O92" s="244"/>
      <c r="P92" s="244"/>
      <c r="Q92" s="244">
        <f>SUMIFS(MB!R:R,MB!$F:$F,$G:$G,MB!$D:$D,"FCST")</f>
        <v>0</v>
      </c>
      <c r="R92" s="244">
        <f>SUMIFS(MB!S:S,MB!$F:$F,$G:$G,MB!$D:$D,"FCST")</f>
        <v>0</v>
      </c>
      <c r="S92" s="244">
        <f>SUMIFS(MB!T:T,MB!$F:$F,$G:$G,MB!$D:$D,"FCST")</f>
        <v>0</v>
      </c>
      <c r="T92" s="244">
        <f>SUMIFS(MB!U:U,MB!$F:$F,$G:$G,MB!$D:$D,"FCST")</f>
        <v>0</v>
      </c>
      <c r="U92" s="244">
        <f>SUMIFS(MB!V:V,MB!$F:$F,$G:$G,MB!$D:$D,"FCST")</f>
        <v>0</v>
      </c>
      <c r="V92" s="244">
        <f>SUMIFS(MB!W:W,MB!$F:$F,$G:$G,MB!$D:$D,"FCST")</f>
        <v>0</v>
      </c>
      <c r="W92" s="244">
        <f>SUMIFS(MB!X:X,MB!$F:$F,$G:$G,MB!$D:$D,"FCST")</f>
        <v>0</v>
      </c>
      <c r="X92" s="244">
        <f>SUMIFS(MB!Y:Y,MB!$F:$F,$G:$G,MB!$D:$D,"FCST")</f>
        <v>0</v>
      </c>
      <c r="Y92" s="244" t="e">
        <f>SUMIFS(MB!#REF!,MB!$F:$F,$G:$G,MB!$D:$D,"FCST")</f>
        <v>#REF!</v>
      </c>
      <c r="Z92" s="244"/>
    </row>
    <row r="93" spans="1:26" s="230" customFormat="1" ht="15" customHeight="1">
      <c r="A93" s="144"/>
      <c r="B93" s="245">
        <v>1</v>
      </c>
      <c r="C93" s="226"/>
      <c r="D93" s="226"/>
      <c r="E93" s="226"/>
      <c r="F93" s="265"/>
      <c r="G93" s="266" t="str">
        <f>$G$92</f>
        <v>UX425EA</v>
      </c>
      <c r="H93" s="248" t="s">
        <v>103</v>
      </c>
      <c r="I93" s="248" t="s">
        <v>103</v>
      </c>
      <c r="J93" s="250" t="s">
        <v>153</v>
      </c>
      <c r="K93" s="255" t="s">
        <v>212</v>
      </c>
      <c r="L93" s="262">
        <v>1</v>
      </c>
      <c r="M93" s="263" t="s">
        <v>146</v>
      </c>
      <c r="N93" s="253"/>
      <c r="O93" s="253">
        <v>9136</v>
      </c>
      <c r="P93" s="253"/>
      <c r="Q93" s="254">
        <v>0</v>
      </c>
      <c r="R93" s="254">
        <v>0</v>
      </c>
      <c r="S93" s="254">
        <v>0</v>
      </c>
      <c r="T93" s="254">
        <v>0</v>
      </c>
      <c r="U93" s="254">
        <v>0</v>
      </c>
      <c r="V93" s="254">
        <v>0</v>
      </c>
      <c r="W93" s="254">
        <v>0</v>
      </c>
      <c r="X93" s="254">
        <v>0</v>
      </c>
      <c r="Y93" s="254">
        <v>0</v>
      </c>
      <c r="Z93" s="248">
        <f t="shared" ref="Z93:Z106" si="25">SUM(Q93:Y93)</f>
        <v>0</v>
      </c>
    </row>
    <row r="94" spans="1:26" s="230" customFormat="1" ht="15" customHeight="1">
      <c r="A94" s="144"/>
      <c r="B94" s="245">
        <v>2</v>
      </c>
      <c r="C94" s="226"/>
      <c r="D94" s="226"/>
      <c r="E94" s="226"/>
      <c r="F94" s="265"/>
      <c r="G94" s="266" t="str">
        <f t="shared" ref="G94:G106" si="26">$G$92</f>
        <v>UX425EA</v>
      </c>
      <c r="H94" s="248" t="s">
        <v>103</v>
      </c>
      <c r="I94" s="248" t="s">
        <v>103</v>
      </c>
      <c r="J94" s="262" t="s">
        <v>153</v>
      </c>
      <c r="K94" s="255" t="s">
        <v>213</v>
      </c>
      <c r="L94" s="262">
        <v>1</v>
      </c>
      <c r="M94" s="260" t="s">
        <v>218</v>
      </c>
      <c r="N94" s="253"/>
      <c r="O94" s="253">
        <v>0</v>
      </c>
      <c r="P94" s="253"/>
      <c r="Q94" s="254">
        <v>200</v>
      </c>
      <c r="R94" s="254">
        <v>0</v>
      </c>
      <c r="S94" s="254">
        <v>300</v>
      </c>
      <c r="T94" s="254">
        <v>100</v>
      </c>
      <c r="U94" s="254">
        <v>200</v>
      </c>
      <c r="V94" s="254">
        <v>200</v>
      </c>
      <c r="W94" s="254">
        <v>0</v>
      </c>
      <c r="X94" s="254">
        <v>0</v>
      </c>
      <c r="Y94" s="254">
        <v>0</v>
      </c>
      <c r="Z94" s="248">
        <f t="shared" si="25"/>
        <v>1000</v>
      </c>
    </row>
    <row r="95" spans="1:26" s="230" customFormat="1" ht="15" customHeight="1">
      <c r="A95" s="144"/>
      <c r="B95" s="245">
        <v>3</v>
      </c>
      <c r="C95" s="226"/>
      <c r="D95" s="226"/>
      <c r="E95" s="226"/>
      <c r="F95" s="265"/>
      <c r="G95" s="266" t="str">
        <f t="shared" si="26"/>
        <v>UX425EA</v>
      </c>
      <c r="H95" s="248" t="s">
        <v>103</v>
      </c>
      <c r="I95" s="248" t="s">
        <v>103</v>
      </c>
      <c r="J95" s="250" t="s">
        <v>153</v>
      </c>
      <c r="K95" s="251" t="s">
        <v>214</v>
      </c>
      <c r="L95" s="262">
        <v>1</v>
      </c>
      <c r="M95" s="263" t="s">
        <v>144</v>
      </c>
      <c r="N95" s="253"/>
      <c r="O95" s="253">
        <v>11770</v>
      </c>
      <c r="P95" s="253"/>
      <c r="Q95" s="254">
        <v>200</v>
      </c>
      <c r="R95" s="254">
        <v>0</v>
      </c>
      <c r="S95" s="254">
        <v>0</v>
      </c>
      <c r="T95" s="254">
        <v>0</v>
      </c>
      <c r="U95" s="254">
        <v>0</v>
      </c>
      <c r="V95" s="254">
        <v>0</v>
      </c>
      <c r="W95" s="254">
        <v>0</v>
      </c>
      <c r="X95" s="254">
        <v>0</v>
      </c>
      <c r="Y95" s="254">
        <v>0</v>
      </c>
      <c r="Z95" s="248">
        <f t="shared" si="25"/>
        <v>200</v>
      </c>
    </row>
    <row r="96" spans="1:26" s="230" customFormat="1" ht="15" customHeight="1">
      <c r="A96" s="144"/>
      <c r="B96" s="245">
        <v>4</v>
      </c>
      <c r="C96" s="226"/>
      <c r="D96" s="226"/>
      <c r="E96" s="226"/>
      <c r="F96" s="265"/>
      <c r="G96" s="266" t="str">
        <f t="shared" si="26"/>
        <v>UX425EA</v>
      </c>
      <c r="H96" s="248" t="s">
        <v>103</v>
      </c>
      <c r="I96" s="248" t="s">
        <v>103</v>
      </c>
      <c r="J96" s="250" t="s">
        <v>153</v>
      </c>
      <c r="K96" s="251" t="s">
        <v>154</v>
      </c>
      <c r="L96" s="262">
        <v>1</v>
      </c>
      <c r="M96" s="263" t="s">
        <v>150</v>
      </c>
      <c r="N96" s="253"/>
      <c r="O96" s="253">
        <v>12554</v>
      </c>
      <c r="P96" s="253"/>
      <c r="Q96" s="254">
        <v>200</v>
      </c>
      <c r="R96" s="254">
        <v>0</v>
      </c>
      <c r="S96" s="254">
        <v>0</v>
      </c>
      <c r="T96" s="254">
        <v>0</v>
      </c>
      <c r="U96" s="254">
        <v>0</v>
      </c>
      <c r="V96" s="254">
        <v>0</v>
      </c>
      <c r="W96" s="254">
        <v>0</v>
      </c>
      <c r="X96" s="254">
        <v>0</v>
      </c>
      <c r="Y96" s="254">
        <v>0</v>
      </c>
      <c r="Z96" s="248">
        <f t="shared" si="25"/>
        <v>200</v>
      </c>
    </row>
    <row r="97" spans="1:26" s="230" customFormat="1" ht="15" customHeight="1">
      <c r="A97" s="144"/>
      <c r="B97" s="245">
        <v>5</v>
      </c>
      <c r="C97" s="226"/>
      <c r="D97" s="226"/>
      <c r="E97" s="226"/>
      <c r="F97" s="265"/>
      <c r="G97" s="266" t="str">
        <f t="shared" si="26"/>
        <v>UX425EA</v>
      </c>
      <c r="H97" s="248" t="s">
        <v>103</v>
      </c>
      <c r="I97" s="248" t="s">
        <v>103</v>
      </c>
      <c r="J97" s="250" t="s">
        <v>153</v>
      </c>
      <c r="K97" s="251" t="s">
        <v>215</v>
      </c>
      <c r="L97" s="262">
        <v>1</v>
      </c>
      <c r="M97" s="263" t="s">
        <v>147</v>
      </c>
      <c r="N97" s="253"/>
      <c r="O97" s="253">
        <v>4568</v>
      </c>
      <c r="P97" s="253"/>
      <c r="Q97" s="254">
        <v>18</v>
      </c>
      <c r="R97" s="254">
        <v>0</v>
      </c>
      <c r="S97" s="254">
        <v>0</v>
      </c>
      <c r="T97" s="254">
        <v>0</v>
      </c>
      <c r="U97" s="254">
        <v>0</v>
      </c>
      <c r="V97" s="254">
        <v>0</v>
      </c>
      <c r="W97" s="254">
        <v>0</v>
      </c>
      <c r="X97" s="254">
        <v>0</v>
      </c>
      <c r="Y97" s="254">
        <v>0</v>
      </c>
      <c r="Z97" s="248">
        <f t="shared" si="25"/>
        <v>18</v>
      </c>
    </row>
    <row r="98" spans="1:26" s="230" customFormat="1" ht="15" customHeight="1">
      <c r="A98" s="144"/>
      <c r="B98" s="245">
        <v>6</v>
      </c>
      <c r="C98" s="226"/>
      <c r="D98" s="226"/>
      <c r="E98" s="226"/>
      <c r="F98" s="265"/>
      <c r="G98" s="266" t="str">
        <f t="shared" si="26"/>
        <v>UX425EA</v>
      </c>
      <c r="H98" s="248" t="s">
        <v>103</v>
      </c>
      <c r="I98" s="248" t="s">
        <v>103</v>
      </c>
      <c r="J98" s="250" t="s">
        <v>153</v>
      </c>
      <c r="K98" s="255" t="s">
        <v>217</v>
      </c>
      <c r="L98" s="262">
        <v>1</v>
      </c>
      <c r="M98" s="260" t="s">
        <v>221</v>
      </c>
      <c r="N98" s="253"/>
      <c r="O98" s="253">
        <v>0</v>
      </c>
      <c r="P98" s="253"/>
      <c r="Q98" s="254">
        <v>200</v>
      </c>
      <c r="R98" s="254">
        <v>0</v>
      </c>
      <c r="S98" s="254">
        <v>300</v>
      </c>
      <c r="T98" s="254">
        <v>100</v>
      </c>
      <c r="U98" s="254">
        <v>200</v>
      </c>
      <c r="V98" s="254">
        <v>200</v>
      </c>
      <c r="W98" s="254">
        <v>0</v>
      </c>
      <c r="X98" s="254">
        <v>0</v>
      </c>
      <c r="Y98" s="254">
        <v>0</v>
      </c>
      <c r="Z98" s="248">
        <f t="shared" si="25"/>
        <v>1000</v>
      </c>
    </row>
    <row r="99" spans="1:26" s="230" customFormat="1" ht="15" customHeight="1">
      <c r="A99" s="144"/>
      <c r="B99" s="245">
        <v>7</v>
      </c>
      <c r="C99" s="226"/>
      <c r="D99" s="226"/>
      <c r="E99" s="226"/>
      <c r="F99" s="265"/>
      <c r="G99" s="266" t="str">
        <f t="shared" si="26"/>
        <v>UX425EA</v>
      </c>
      <c r="H99" s="248" t="s">
        <v>103</v>
      </c>
      <c r="I99" s="248" t="s">
        <v>103</v>
      </c>
      <c r="J99" s="250" t="s">
        <v>153</v>
      </c>
      <c r="K99" s="251" t="s">
        <v>216</v>
      </c>
      <c r="L99" s="262">
        <v>3</v>
      </c>
      <c r="M99" s="260" t="s">
        <v>219</v>
      </c>
      <c r="N99" s="253"/>
      <c r="O99" s="253">
        <v>0</v>
      </c>
      <c r="P99" s="253"/>
      <c r="Q99" s="254">
        <v>600</v>
      </c>
      <c r="R99" s="254">
        <v>0</v>
      </c>
      <c r="S99" s="254">
        <v>900</v>
      </c>
      <c r="T99" s="254">
        <v>300</v>
      </c>
      <c r="U99" s="254">
        <v>600</v>
      </c>
      <c r="V99" s="254">
        <v>600</v>
      </c>
      <c r="W99" s="254">
        <v>0</v>
      </c>
      <c r="X99" s="254">
        <v>0</v>
      </c>
      <c r="Y99" s="254">
        <v>0</v>
      </c>
      <c r="Z99" s="248">
        <f t="shared" si="25"/>
        <v>3000</v>
      </c>
    </row>
    <row r="100" spans="1:26" s="230" customFormat="1" ht="15" customHeight="1">
      <c r="A100" s="144"/>
      <c r="B100" s="245">
        <v>1</v>
      </c>
      <c r="C100" s="160"/>
      <c r="D100" s="160"/>
      <c r="E100" s="160"/>
      <c r="F100" s="267"/>
      <c r="G100" s="199" t="str">
        <f t="shared" si="26"/>
        <v>UX425EA</v>
      </c>
      <c r="H100" s="147" t="s">
        <v>20</v>
      </c>
      <c r="I100" s="196" t="s">
        <v>142</v>
      </c>
      <c r="J100" s="196" t="s">
        <v>153</v>
      </c>
      <c r="K100" s="202" t="s">
        <v>212</v>
      </c>
      <c r="L100" s="198">
        <v>1</v>
      </c>
      <c r="M100" s="204" t="s">
        <v>146</v>
      </c>
      <c r="N100" s="253"/>
      <c r="O100" s="253">
        <v>9136</v>
      </c>
      <c r="P100" s="253"/>
      <c r="Q100" s="129">
        <f t="shared" ref="Q100:Y106" si="27">(Q$92*$L100)-Q93</f>
        <v>0</v>
      </c>
      <c r="R100" s="129">
        <f t="shared" si="27"/>
        <v>0</v>
      </c>
      <c r="S100" s="129">
        <f t="shared" si="27"/>
        <v>0</v>
      </c>
      <c r="T100" s="129">
        <f t="shared" si="27"/>
        <v>0</v>
      </c>
      <c r="U100" s="129">
        <f t="shared" si="27"/>
        <v>0</v>
      </c>
      <c r="V100" s="129">
        <f t="shared" si="27"/>
        <v>0</v>
      </c>
      <c r="W100" s="129">
        <f t="shared" si="27"/>
        <v>0</v>
      </c>
      <c r="X100" s="129">
        <f t="shared" si="27"/>
        <v>0</v>
      </c>
      <c r="Y100" s="129" t="e">
        <f t="shared" si="27"/>
        <v>#REF!</v>
      </c>
      <c r="Z100" s="147" t="e">
        <f t="shared" si="25"/>
        <v>#REF!</v>
      </c>
    </row>
    <row r="101" spans="1:26" s="230" customFormat="1" ht="15" customHeight="1">
      <c r="A101" s="144"/>
      <c r="B101" s="245">
        <v>2</v>
      </c>
      <c r="C101" s="160"/>
      <c r="D101" s="160"/>
      <c r="E101" s="160"/>
      <c r="F101" s="267"/>
      <c r="G101" s="199" t="str">
        <f t="shared" si="26"/>
        <v>UX425EA</v>
      </c>
      <c r="H101" s="147" t="s">
        <v>20</v>
      </c>
      <c r="I101" s="196" t="s">
        <v>142</v>
      </c>
      <c r="J101" s="196" t="s">
        <v>153</v>
      </c>
      <c r="K101" s="202" t="s">
        <v>213</v>
      </c>
      <c r="L101" s="198">
        <v>1</v>
      </c>
      <c r="M101" s="204" t="s">
        <v>218</v>
      </c>
      <c r="N101" s="253"/>
      <c r="O101" s="253">
        <v>0</v>
      </c>
      <c r="P101" s="253"/>
      <c r="Q101" s="129">
        <f t="shared" si="27"/>
        <v>-200</v>
      </c>
      <c r="R101" s="129">
        <f t="shared" si="27"/>
        <v>0</v>
      </c>
      <c r="S101" s="129">
        <f t="shared" si="27"/>
        <v>-300</v>
      </c>
      <c r="T101" s="129">
        <f t="shared" si="27"/>
        <v>-100</v>
      </c>
      <c r="U101" s="129">
        <f t="shared" si="27"/>
        <v>-200</v>
      </c>
      <c r="V101" s="129">
        <f t="shared" si="27"/>
        <v>-200</v>
      </c>
      <c r="W101" s="129">
        <f t="shared" si="27"/>
        <v>0</v>
      </c>
      <c r="X101" s="129">
        <v>0</v>
      </c>
      <c r="Y101" s="129" t="e">
        <f t="shared" si="27"/>
        <v>#REF!</v>
      </c>
      <c r="Z101" s="147" t="e">
        <f t="shared" si="25"/>
        <v>#REF!</v>
      </c>
    </row>
    <row r="102" spans="1:26" s="230" customFormat="1" ht="15" customHeight="1">
      <c r="A102" s="144"/>
      <c r="B102" s="245">
        <v>3</v>
      </c>
      <c r="C102" s="160"/>
      <c r="D102" s="160"/>
      <c r="E102" s="160"/>
      <c r="F102" s="267"/>
      <c r="G102" s="199" t="str">
        <f t="shared" si="26"/>
        <v>UX425EA</v>
      </c>
      <c r="H102" s="147" t="s">
        <v>20</v>
      </c>
      <c r="I102" s="196" t="s">
        <v>142</v>
      </c>
      <c r="J102" s="198" t="s">
        <v>153</v>
      </c>
      <c r="K102" s="202" t="s">
        <v>214</v>
      </c>
      <c r="L102" s="198">
        <v>1</v>
      </c>
      <c r="M102" s="204" t="s">
        <v>144</v>
      </c>
      <c r="N102" s="253"/>
      <c r="O102" s="253">
        <v>11770</v>
      </c>
      <c r="P102" s="253"/>
      <c r="Q102" s="129">
        <f t="shared" si="27"/>
        <v>-200</v>
      </c>
      <c r="R102" s="129">
        <f t="shared" si="27"/>
        <v>0</v>
      </c>
      <c r="S102" s="129">
        <f t="shared" si="27"/>
        <v>0</v>
      </c>
      <c r="T102" s="129">
        <f t="shared" si="27"/>
        <v>0</v>
      </c>
      <c r="U102" s="129">
        <f t="shared" si="27"/>
        <v>0</v>
      </c>
      <c r="V102" s="129">
        <f t="shared" si="27"/>
        <v>0</v>
      </c>
      <c r="W102" s="129">
        <f t="shared" si="27"/>
        <v>0</v>
      </c>
      <c r="X102" s="129">
        <f t="shared" si="27"/>
        <v>0</v>
      </c>
      <c r="Y102" s="129" t="e">
        <f t="shared" si="27"/>
        <v>#REF!</v>
      </c>
      <c r="Z102" s="147" t="e">
        <f t="shared" si="25"/>
        <v>#REF!</v>
      </c>
    </row>
    <row r="103" spans="1:26" s="230" customFormat="1" ht="15" customHeight="1">
      <c r="A103" s="144"/>
      <c r="B103" s="245">
        <v>4</v>
      </c>
      <c r="C103" s="160"/>
      <c r="D103" s="160"/>
      <c r="E103" s="160"/>
      <c r="F103" s="267"/>
      <c r="G103" s="199" t="str">
        <f t="shared" si="26"/>
        <v>UX425EA</v>
      </c>
      <c r="H103" s="147" t="s">
        <v>20</v>
      </c>
      <c r="I103" s="196" t="s">
        <v>142</v>
      </c>
      <c r="J103" s="196" t="s">
        <v>153</v>
      </c>
      <c r="K103" s="201" t="s">
        <v>154</v>
      </c>
      <c r="L103" s="198">
        <v>1</v>
      </c>
      <c r="M103" s="204" t="s">
        <v>150</v>
      </c>
      <c r="N103" s="253"/>
      <c r="O103" s="253">
        <v>12554</v>
      </c>
      <c r="P103" s="253"/>
      <c r="Q103" s="129">
        <f t="shared" si="27"/>
        <v>-200</v>
      </c>
      <c r="R103" s="129">
        <f t="shared" si="27"/>
        <v>0</v>
      </c>
      <c r="S103" s="129">
        <f t="shared" si="27"/>
        <v>0</v>
      </c>
      <c r="T103" s="129">
        <f t="shared" si="27"/>
        <v>0</v>
      </c>
      <c r="U103" s="129">
        <f t="shared" si="27"/>
        <v>0</v>
      </c>
      <c r="V103" s="129">
        <f t="shared" si="27"/>
        <v>0</v>
      </c>
      <c r="W103" s="129">
        <f t="shared" si="27"/>
        <v>0</v>
      </c>
      <c r="X103" s="129">
        <f t="shared" si="27"/>
        <v>0</v>
      </c>
      <c r="Y103" s="129" t="e">
        <f t="shared" si="27"/>
        <v>#REF!</v>
      </c>
      <c r="Z103" s="147" t="e">
        <f t="shared" si="25"/>
        <v>#REF!</v>
      </c>
    </row>
    <row r="104" spans="1:26" s="230" customFormat="1" ht="15" customHeight="1">
      <c r="A104" s="144"/>
      <c r="B104" s="245">
        <v>5</v>
      </c>
      <c r="C104" s="160"/>
      <c r="D104" s="160"/>
      <c r="E104" s="160"/>
      <c r="F104" s="267"/>
      <c r="G104" s="199" t="str">
        <f t="shared" si="26"/>
        <v>UX425EA</v>
      </c>
      <c r="H104" s="147" t="s">
        <v>20</v>
      </c>
      <c r="I104" s="196" t="s">
        <v>142</v>
      </c>
      <c r="J104" s="196" t="s">
        <v>153</v>
      </c>
      <c r="K104" s="201" t="s">
        <v>215</v>
      </c>
      <c r="L104" s="198">
        <v>1</v>
      </c>
      <c r="M104" s="204" t="s">
        <v>147</v>
      </c>
      <c r="N104" s="253"/>
      <c r="O104" s="253">
        <v>4568</v>
      </c>
      <c r="P104" s="253"/>
      <c r="Q104" s="129">
        <f t="shared" si="27"/>
        <v>-18</v>
      </c>
      <c r="R104" s="129">
        <f t="shared" si="27"/>
        <v>0</v>
      </c>
      <c r="S104" s="129">
        <f t="shared" si="27"/>
        <v>0</v>
      </c>
      <c r="T104" s="129">
        <f t="shared" si="27"/>
        <v>0</v>
      </c>
      <c r="U104" s="129">
        <f t="shared" si="27"/>
        <v>0</v>
      </c>
      <c r="V104" s="129">
        <f t="shared" si="27"/>
        <v>0</v>
      </c>
      <c r="W104" s="129">
        <f t="shared" si="27"/>
        <v>0</v>
      </c>
      <c r="X104" s="129">
        <f t="shared" si="27"/>
        <v>0</v>
      </c>
      <c r="Y104" s="129" t="e">
        <f t="shared" si="27"/>
        <v>#REF!</v>
      </c>
      <c r="Z104" s="147" t="e">
        <f t="shared" si="25"/>
        <v>#REF!</v>
      </c>
    </row>
    <row r="105" spans="1:26" s="230" customFormat="1" ht="15" customHeight="1">
      <c r="A105" s="144"/>
      <c r="B105" s="245">
        <v>6</v>
      </c>
      <c r="C105" s="160"/>
      <c r="D105" s="160"/>
      <c r="E105" s="160"/>
      <c r="F105" s="267"/>
      <c r="G105" s="266" t="str">
        <f t="shared" si="26"/>
        <v>UX425EA</v>
      </c>
      <c r="H105" s="147" t="s">
        <v>20</v>
      </c>
      <c r="I105" s="196" t="s">
        <v>142</v>
      </c>
      <c r="J105" s="196" t="s">
        <v>153</v>
      </c>
      <c r="K105" s="201" t="s">
        <v>217</v>
      </c>
      <c r="L105" s="198">
        <v>1</v>
      </c>
      <c r="M105" s="260" t="s">
        <v>221</v>
      </c>
      <c r="N105" s="253"/>
      <c r="O105" s="253">
        <v>0</v>
      </c>
      <c r="P105" s="253"/>
      <c r="Q105" s="129">
        <f t="shared" si="27"/>
        <v>-200</v>
      </c>
      <c r="R105" s="129">
        <f t="shared" si="27"/>
        <v>0</v>
      </c>
      <c r="S105" s="129">
        <f t="shared" si="27"/>
        <v>-300</v>
      </c>
      <c r="T105" s="129">
        <f t="shared" si="27"/>
        <v>-100</v>
      </c>
      <c r="U105" s="129">
        <f t="shared" si="27"/>
        <v>-200</v>
      </c>
      <c r="V105" s="129">
        <f t="shared" si="27"/>
        <v>-200</v>
      </c>
      <c r="W105" s="129">
        <f t="shared" si="27"/>
        <v>0</v>
      </c>
      <c r="X105" s="129">
        <f t="shared" si="27"/>
        <v>0</v>
      </c>
      <c r="Y105" s="129" t="e">
        <f t="shared" si="27"/>
        <v>#REF!</v>
      </c>
      <c r="Z105" s="147" t="e">
        <f t="shared" si="25"/>
        <v>#REF!</v>
      </c>
    </row>
    <row r="106" spans="1:26" s="230" customFormat="1" ht="15" customHeight="1">
      <c r="A106" s="144"/>
      <c r="B106" s="245">
        <v>7</v>
      </c>
      <c r="C106" s="160"/>
      <c r="D106" s="160"/>
      <c r="E106" s="160"/>
      <c r="F106" s="267"/>
      <c r="G106" s="266" t="str">
        <f t="shared" si="26"/>
        <v>UX425EA</v>
      </c>
      <c r="H106" s="147" t="s">
        <v>20</v>
      </c>
      <c r="I106" s="196" t="s">
        <v>142</v>
      </c>
      <c r="J106" s="196" t="s">
        <v>153</v>
      </c>
      <c r="K106" s="201" t="s">
        <v>216</v>
      </c>
      <c r="L106" s="198">
        <v>3</v>
      </c>
      <c r="M106" s="260" t="s">
        <v>219</v>
      </c>
      <c r="N106" s="253"/>
      <c r="O106" s="253">
        <v>0</v>
      </c>
      <c r="P106" s="253"/>
      <c r="Q106" s="129">
        <f t="shared" si="27"/>
        <v>-600</v>
      </c>
      <c r="R106" s="129">
        <f t="shared" si="27"/>
        <v>0</v>
      </c>
      <c r="S106" s="129">
        <f t="shared" si="27"/>
        <v>-900</v>
      </c>
      <c r="T106" s="129">
        <f t="shared" si="27"/>
        <v>-300</v>
      </c>
      <c r="U106" s="129">
        <f t="shared" si="27"/>
        <v>-600</v>
      </c>
      <c r="V106" s="129">
        <f t="shared" si="27"/>
        <v>-600</v>
      </c>
      <c r="W106" s="129">
        <f t="shared" si="27"/>
        <v>0</v>
      </c>
      <c r="X106" s="129">
        <f t="shared" si="27"/>
        <v>0</v>
      </c>
      <c r="Y106" s="129" t="e">
        <f t="shared" si="27"/>
        <v>#REF!</v>
      </c>
      <c r="Z106" s="147" t="e">
        <f t="shared" si="25"/>
        <v>#REF!</v>
      </c>
    </row>
    <row r="107" spans="1:26" s="230" customFormat="1" ht="15" customHeight="1">
      <c r="A107" s="149"/>
      <c r="B107" s="244" t="e">
        <f>SUM(Q107:Y107)</f>
        <v>#REF!</v>
      </c>
      <c r="C107" s="244" t="s">
        <v>228</v>
      </c>
      <c r="D107" s="244" t="s">
        <v>229</v>
      </c>
      <c r="E107" s="244" t="s">
        <v>22</v>
      </c>
      <c r="F107" s="244" t="e">
        <f>SUM(N107:Y107)</f>
        <v>#REF!</v>
      </c>
      <c r="G107" s="244" t="s">
        <v>113</v>
      </c>
      <c r="H107" s="244"/>
      <c r="I107" s="244"/>
      <c r="J107" s="244"/>
      <c r="K107" s="244"/>
      <c r="L107" s="244"/>
      <c r="M107" s="244"/>
      <c r="N107" s="244"/>
      <c r="O107" s="244"/>
      <c r="P107" s="244"/>
      <c r="Q107" s="244">
        <f>SUMIFS(MB!R:R,MB!$F:$F,$G:$G,MB!$D:$D,"FCST")</f>
        <v>0</v>
      </c>
      <c r="R107" s="244">
        <f>SUMIFS(MB!S:S,MB!$F:$F,$G:$G,MB!$D:$D,"FCST")</f>
        <v>0</v>
      </c>
      <c r="S107" s="244">
        <f>SUMIFS(MB!T:T,MB!$F:$F,$G:$G,MB!$D:$D,"FCST")</f>
        <v>0</v>
      </c>
      <c r="T107" s="244">
        <f>SUMIFS(MB!U:U,MB!$F:$F,$G:$G,MB!$D:$D,"FCST")</f>
        <v>0</v>
      </c>
      <c r="U107" s="244">
        <f>SUMIFS(MB!V:V,MB!$F:$F,$G:$G,MB!$D:$D,"FCST")</f>
        <v>0</v>
      </c>
      <c r="V107" s="244">
        <f>SUMIFS(MB!W:W,MB!$F:$F,$G:$G,MB!$D:$D,"FCST")</f>
        <v>0</v>
      </c>
      <c r="W107" s="244">
        <f>SUMIFS(MB!X:X,MB!$F:$F,$G:$G,MB!$D:$D,"FCST")</f>
        <v>0</v>
      </c>
      <c r="X107" s="244">
        <f>SUMIFS(MB!Y:Y,MB!$F:$F,$G:$G,MB!$D:$D,"FCST")</f>
        <v>0</v>
      </c>
      <c r="Y107" s="244" t="e">
        <f>SUMIFS(MB!#REF!,MB!$F:$F,$G:$G,MB!$D:$D,"FCST")</f>
        <v>#REF!</v>
      </c>
      <c r="Z107" s="244"/>
    </row>
    <row r="108" spans="1:26" s="230" customFormat="1" ht="15" customHeight="1">
      <c r="A108" s="144"/>
      <c r="B108" s="245">
        <v>1</v>
      </c>
      <c r="C108" s="226"/>
      <c r="D108" s="226"/>
      <c r="E108" s="226"/>
      <c r="F108" s="265"/>
      <c r="G108" s="266" t="str">
        <f>$G$107</f>
        <v>UX435EA</v>
      </c>
      <c r="H108" s="248" t="s">
        <v>103</v>
      </c>
      <c r="I108" s="250" t="s">
        <v>103</v>
      </c>
      <c r="J108" s="250" t="s">
        <v>153</v>
      </c>
      <c r="K108" s="251" t="s">
        <v>212</v>
      </c>
      <c r="L108" s="262">
        <v>1</v>
      </c>
      <c r="M108" s="263" t="s">
        <v>146</v>
      </c>
      <c r="N108" s="253"/>
      <c r="O108" s="253">
        <v>9136</v>
      </c>
      <c r="P108" s="253"/>
      <c r="Q108" s="254">
        <v>0</v>
      </c>
      <c r="R108" s="254">
        <v>0</v>
      </c>
      <c r="S108" s="254">
        <v>0</v>
      </c>
      <c r="T108" s="254">
        <v>0</v>
      </c>
      <c r="U108" s="254">
        <v>0</v>
      </c>
      <c r="V108" s="254">
        <v>0</v>
      </c>
      <c r="W108" s="254">
        <v>0</v>
      </c>
      <c r="X108" s="254">
        <v>0</v>
      </c>
      <c r="Y108" s="254">
        <v>0</v>
      </c>
      <c r="Z108" s="248">
        <f t="shared" ref="Z108:Z121" si="28">SUM(Q108:Y108)</f>
        <v>0</v>
      </c>
    </row>
    <row r="109" spans="1:26" s="230" customFormat="1" ht="15" customHeight="1">
      <c r="A109" s="144"/>
      <c r="B109" s="245">
        <v>2</v>
      </c>
      <c r="C109" s="226"/>
      <c r="D109" s="226"/>
      <c r="E109" s="226"/>
      <c r="F109" s="265"/>
      <c r="G109" s="266" t="str">
        <f t="shared" ref="G109:G121" si="29">$G$107</f>
        <v>UX435EA</v>
      </c>
      <c r="H109" s="248" t="s">
        <v>103</v>
      </c>
      <c r="I109" s="250" t="s">
        <v>103</v>
      </c>
      <c r="J109" s="262" t="s">
        <v>153</v>
      </c>
      <c r="K109" s="251" t="s">
        <v>213</v>
      </c>
      <c r="L109" s="262">
        <v>1</v>
      </c>
      <c r="M109" s="260" t="s">
        <v>218</v>
      </c>
      <c r="N109" s="253"/>
      <c r="O109" s="253">
        <v>0</v>
      </c>
      <c r="P109" s="253"/>
      <c r="Q109" s="254">
        <v>200</v>
      </c>
      <c r="R109" s="254">
        <v>300</v>
      </c>
      <c r="S109" s="254">
        <v>300</v>
      </c>
      <c r="T109" s="254">
        <v>200</v>
      </c>
      <c r="U109" s="254">
        <v>200</v>
      </c>
      <c r="V109" s="254">
        <v>200</v>
      </c>
      <c r="W109" s="254">
        <v>200</v>
      </c>
      <c r="X109" s="254">
        <v>200</v>
      </c>
      <c r="Y109" s="254">
        <v>0</v>
      </c>
      <c r="Z109" s="248">
        <f t="shared" si="28"/>
        <v>1800</v>
      </c>
    </row>
    <row r="110" spans="1:26" s="230" customFormat="1" ht="15" customHeight="1">
      <c r="A110" s="144"/>
      <c r="B110" s="245">
        <v>3</v>
      </c>
      <c r="C110" s="226"/>
      <c r="D110" s="226"/>
      <c r="E110" s="226"/>
      <c r="F110" s="265"/>
      <c r="G110" s="266" t="str">
        <f t="shared" si="29"/>
        <v>UX435EA</v>
      </c>
      <c r="H110" s="248" t="s">
        <v>103</v>
      </c>
      <c r="I110" s="250" t="s">
        <v>103</v>
      </c>
      <c r="J110" s="250" t="s">
        <v>153</v>
      </c>
      <c r="K110" s="251" t="s">
        <v>214</v>
      </c>
      <c r="L110" s="262">
        <v>1</v>
      </c>
      <c r="M110" s="263" t="s">
        <v>144</v>
      </c>
      <c r="N110" s="253"/>
      <c r="O110" s="253">
        <v>11770</v>
      </c>
      <c r="P110" s="253"/>
      <c r="Q110" s="254">
        <v>200</v>
      </c>
      <c r="R110" s="254">
        <v>0</v>
      </c>
      <c r="S110" s="254">
        <v>0</v>
      </c>
      <c r="T110" s="254">
        <v>0</v>
      </c>
      <c r="U110" s="254">
        <v>0</v>
      </c>
      <c r="V110" s="254">
        <v>0</v>
      </c>
      <c r="W110" s="254">
        <v>0</v>
      </c>
      <c r="X110" s="254">
        <v>0</v>
      </c>
      <c r="Y110" s="254">
        <v>0</v>
      </c>
      <c r="Z110" s="248">
        <f t="shared" si="28"/>
        <v>200</v>
      </c>
    </row>
    <row r="111" spans="1:26" s="230" customFormat="1" ht="15" customHeight="1">
      <c r="A111" s="144"/>
      <c r="B111" s="245">
        <v>4</v>
      </c>
      <c r="C111" s="226"/>
      <c r="D111" s="226"/>
      <c r="E111" s="226"/>
      <c r="F111" s="265"/>
      <c r="G111" s="266" t="str">
        <f t="shared" si="29"/>
        <v>UX435EA</v>
      </c>
      <c r="H111" s="248" t="s">
        <v>103</v>
      </c>
      <c r="I111" s="250" t="s">
        <v>103</v>
      </c>
      <c r="J111" s="250" t="s">
        <v>153</v>
      </c>
      <c r="K111" s="251" t="s">
        <v>154</v>
      </c>
      <c r="L111" s="262">
        <v>1</v>
      </c>
      <c r="M111" s="263" t="s">
        <v>150</v>
      </c>
      <c r="N111" s="253"/>
      <c r="O111" s="253">
        <v>12554</v>
      </c>
      <c r="P111" s="253"/>
      <c r="Q111" s="254">
        <v>200</v>
      </c>
      <c r="R111" s="254">
        <v>0</v>
      </c>
      <c r="S111" s="254">
        <v>0</v>
      </c>
      <c r="T111" s="254">
        <v>0</v>
      </c>
      <c r="U111" s="254">
        <v>0</v>
      </c>
      <c r="V111" s="254">
        <v>0</v>
      </c>
      <c r="W111" s="254">
        <v>0</v>
      </c>
      <c r="X111" s="254">
        <v>0</v>
      </c>
      <c r="Y111" s="254">
        <v>0</v>
      </c>
      <c r="Z111" s="248">
        <f t="shared" si="28"/>
        <v>200</v>
      </c>
    </row>
    <row r="112" spans="1:26" s="230" customFormat="1" ht="15" customHeight="1">
      <c r="A112" s="144"/>
      <c r="B112" s="245">
        <v>5</v>
      </c>
      <c r="C112" s="226"/>
      <c r="D112" s="226"/>
      <c r="E112" s="226"/>
      <c r="F112" s="265"/>
      <c r="G112" s="266" t="str">
        <f t="shared" si="29"/>
        <v>UX435EA</v>
      </c>
      <c r="H112" s="248" t="s">
        <v>103</v>
      </c>
      <c r="I112" s="250" t="s">
        <v>103</v>
      </c>
      <c r="J112" s="250" t="s">
        <v>153</v>
      </c>
      <c r="K112" s="251" t="s">
        <v>215</v>
      </c>
      <c r="L112" s="262">
        <v>1</v>
      </c>
      <c r="M112" s="263" t="s">
        <v>147</v>
      </c>
      <c r="N112" s="253"/>
      <c r="O112" s="253">
        <v>4568</v>
      </c>
      <c r="P112" s="253"/>
      <c r="Q112" s="254">
        <v>0</v>
      </c>
      <c r="R112" s="254">
        <v>0</v>
      </c>
      <c r="S112" s="254">
        <v>0</v>
      </c>
      <c r="T112" s="254">
        <v>0</v>
      </c>
      <c r="U112" s="254">
        <v>0</v>
      </c>
      <c r="V112" s="254">
        <v>0</v>
      </c>
      <c r="W112" s="254">
        <v>0</v>
      </c>
      <c r="X112" s="254">
        <v>0</v>
      </c>
      <c r="Y112" s="254">
        <v>0</v>
      </c>
      <c r="Z112" s="248">
        <f t="shared" si="28"/>
        <v>0</v>
      </c>
    </row>
    <row r="113" spans="1:27" s="230" customFormat="1" ht="15" customHeight="1">
      <c r="A113" s="144"/>
      <c r="B113" s="245">
        <v>6</v>
      </c>
      <c r="C113" s="226"/>
      <c r="D113" s="226"/>
      <c r="E113" s="226"/>
      <c r="F113" s="265"/>
      <c r="G113" s="266" t="str">
        <f t="shared" si="29"/>
        <v>UX435EA</v>
      </c>
      <c r="H113" s="248" t="s">
        <v>103</v>
      </c>
      <c r="I113" s="250" t="s">
        <v>103</v>
      </c>
      <c r="J113" s="250" t="s">
        <v>153</v>
      </c>
      <c r="K113" s="251" t="s">
        <v>217</v>
      </c>
      <c r="L113" s="262">
        <v>1</v>
      </c>
      <c r="M113" s="260" t="s">
        <v>222</v>
      </c>
      <c r="N113" s="253"/>
      <c r="O113" s="253">
        <v>0</v>
      </c>
      <c r="P113" s="253"/>
      <c r="Q113" s="254">
        <v>200</v>
      </c>
      <c r="R113" s="254">
        <v>300</v>
      </c>
      <c r="S113" s="254">
        <v>300</v>
      </c>
      <c r="T113" s="254">
        <v>200</v>
      </c>
      <c r="U113" s="254">
        <v>200</v>
      </c>
      <c r="V113" s="254">
        <v>200</v>
      </c>
      <c r="W113" s="254">
        <v>200</v>
      </c>
      <c r="X113" s="254">
        <v>200</v>
      </c>
      <c r="Y113" s="254">
        <v>0</v>
      </c>
      <c r="Z113" s="248">
        <f t="shared" si="28"/>
        <v>1800</v>
      </c>
    </row>
    <row r="114" spans="1:27" s="230" customFormat="1" ht="15" customHeight="1">
      <c r="A114" s="144"/>
      <c r="B114" s="245">
        <v>7</v>
      </c>
      <c r="C114" s="226"/>
      <c r="D114" s="226"/>
      <c r="E114" s="226"/>
      <c r="F114" s="265"/>
      <c r="G114" s="266" t="str">
        <f t="shared" si="29"/>
        <v>UX435EA</v>
      </c>
      <c r="H114" s="248" t="s">
        <v>103</v>
      </c>
      <c r="I114" s="250" t="s">
        <v>103</v>
      </c>
      <c r="J114" s="250" t="s">
        <v>153</v>
      </c>
      <c r="K114" s="251" t="s">
        <v>216</v>
      </c>
      <c r="L114" s="262">
        <v>3</v>
      </c>
      <c r="M114" s="260" t="s">
        <v>219</v>
      </c>
      <c r="N114" s="253"/>
      <c r="O114" s="253">
        <v>0</v>
      </c>
      <c r="P114" s="253"/>
      <c r="Q114" s="254">
        <v>600</v>
      </c>
      <c r="R114" s="254">
        <v>900</v>
      </c>
      <c r="S114" s="254">
        <v>900</v>
      </c>
      <c r="T114" s="254">
        <v>600</v>
      </c>
      <c r="U114" s="254">
        <v>600</v>
      </c>
      <c r="V114" s="254">
        <v>600</v>
      </c>
      <c r="W114" s="254">
        <v>600</v>
      </c>
      <c r="X114" s="254">
        <v>600</v>
      </c>
      <c r="Y114" s="254">
        <v>0</v>
      </c>
      <c r="Z114" s="248">
        <f t="shared" si="28"/>
        <v>5400</v>
      </c>
    </row>
    <row r="115" spans="1:27" s="230" customFormat="1" ht="15" customHeight="1">
      <c r="A115" s="144"/>
      <c r="B115" s="245">
        <v>1</v>
      </c>
      <c r="C115" s="160"/>
      <c r="D115" s="160"/>
      <c r="E115" s="160"/>
      <c r="F115" s="267"/>
      <c r="G115" s="199" t="str">
        <f t="shared" si="29"/>
        <v>UX435EA</v>
      </c>
      <c r="H115" s="147" t="s">
        <v>20</v>
      </c>
      <c r="I115" s="196" t="s">
        <v>142</v>
      </c>
      <c r="J115" s="196" t="s">
        <v>153</v>
      </c>
      <c r="K115" s="201" t="s">
        <v>212</v>
      </c>
      <c r="L115" s="198">
        <v>1</v>
      </c>
      <c r="M115" s="204" t="s">
        <v>146</v>
      </c>
      <c r="N115" s="253"/>
      <c r="O115" s="253">
        <v>9136</v>
      </c>
      <c r="P115" s="253"/>
      <c r="Q115" s="129">
        <f t="shared" ref="Q115:Y121" si="30">(Q$107*$L115)-Q108</f>
        <v>0</v>
      </c>
      <c r="R115" s="129">
        <f t="shared" si="30"/>
        <v>0</v>
      </c>
      <c r="S115" s="129">
        <f t="shared" si="30"/>
        <v>0</v>
      </c>
      <c r="T115" s="129">
        <f t="shared" si="30"/>
        <v>0</v>
      </c>
      <c r="U115" s="129">
        <f t="shared" si="30"/>
        <v>0</v>
      </c>
      <c r="V115" s="129">
        <f t="shared" si="30"/>
        <v>0</v>
      </c>
      <c r="W115" s="129">
        <f t="shared" si="30"/>
        <v>0</v>
      </c>
      <c r="X115" s="129">
        <f t="shared" si="30"/>
        <v>0</v>
      </c>
      <c r="Y115" s="129" t="e">
        <f t="shared" si="30"/>
        <v>#REF!</v>
      </c>
      <c r="Z115" s="147" t="e">
        <f t="shared" si="28"/>
        <v>#REF!</v>
      </c>
    </row>
    <row r="116" spans="1:27" s="230" customFormat="1" ht="15" customHeight="1">
      <c r="A116" s="144"/>
      <c r="B116" s="245">
        <v>2</v>
      </c>
      <c r="C116" s="160"/>
      <c r="D116" s="160"/>
      <c r="E116" s="160"/>
      <c r="F116" s="267"/>
      <c r="G116" s="199" t="str">
        <f t="shared" si="29"/>
        <v>UX435EA</v>
      </c>
      <c r="H116" s="147" t="s">
        <v>20</v>
      </c>
      <c r="I116" s="196" t="s">
        <v>142</v>
      </c>
      <c r="J116" s="196" t="s">
        <v>153</v>
      </c>
      <c r="K116" s="201" t="s">
        <v>213</v>
      </c>
      <c r="L116" s="198">
        <v>1</v>
      </c>
      <c r="M116" s="204" t="s">
        <v>218</v>
      </c>
      <c r="N116" s="253"/>
      <c r="O116" s="253">
        <v>0</v>
      </c>
      <c r="P116" s="253"/>
      <c r="Q116" s="129">
        <f t="shared" si="30"/>
        <v>-200</v>
      </c>
      <c r="R116" s="129">
        <f t="shared" si="30"/>
        <v>-300</v>
      </c>
      <c r="S116" s="129">
        <f t="shared" si="30"/>
        <v>-300</v>
      </c>
      <c r="T116" s="129">
        <f t="shared" si="30"/>
        <v>-200</v>
      </c>
      <c r="U116" s="129">
        <f t="shared" si="30"/>
        <v>-200</v>
      </c>
      <c r="V116" s="129">
        <f t="shared" si="30"/>
        <v>-200</v>
      </c>
      <c r="W116" s="129">
        <f t="shared" si="30"/>
        <v>-200</v>
      </c>
      <c r="X116" s="129">
        <f t="shared" si="30"/>
        <v>-200</v>
      </c>
      <c r="Y116" s="129" t="e">
        <f t="shared" si="30"/>
        <v>#REF!</v>
      </c>
      <c r="Z116" s="147" t="e">
        <f t="shared" si="28"/>
        <v>#REF!</v>
      </c>
    </row>
    <row r="117" spans="1:27" s="230" customFormat="1" ht="15" customHeight="1">
      <c r="A117" s="144"/>
      <c r="B117" s="245">
        <v>3</v>
      </c>
      <c r="C117" s="160"/>
      <c r="D117" s="160"/>
      <c r="E117" s="160"/>
      <c r="F117" s="267"/>
      <c r="G117" s="199" t="str">
        <f t="shared" si="29"/>
        <v>UX435EA</v>
      </c>
      <c r="H117" s="147" t="s">
        <v>20</v>
      </c>
      <c r="I117" s="198" t="s">
        <v>142</v>
      </c>
      <c r="J117" s="198" t="s">
        <v>153</v>
      </c>
      <c r="K117" s="201" t="s">
        <v>214</v>
      </c>
      <c r="L117" s="198">
        <v>1</v>
      </c>
      <c r="M117" s="204" t="s">
        <v>144</v>
      </c>
      <c r="N117" s="253"/>
      <c r="O117" s="253">
        <v>11770</v>
      </c>
      <c r="P117" s="253"/>
      <c r="Q117" s="129">
        <f t="shared" si="30"/>
        <v>-200</v>
      </c>
      <c r="R117" s="129">
        <f t="shared" si="30"/>
        <v>0</v>
      </c>
      <c r="S117" s="129">
        <f t="shared" si="30"/>
        <v>0</v>
      </c>
      <c r="T117" s="129">
        <f t="shared" si="30"/>
        <v>0</v>
      </c>
      <c r="U117" s="129">
        <f t="shared" si="30"/>
        <v>0</v>
      </c>
      <c r="V117" s="129">
        <f t="shared" si="30"/>
        <v>0</v>
      </c>
      <c r="W117" s="129">
        <f t="shared" si="30"/>
        <v>0</v>
      </c>
      <c r="X117" s="129">
        <f t="shared" si="30"/>
        <v>0</v>
      </c>
      <c r="Y117" s="129" t="e">
        <f t="shared" si="30"/>
        <v>#REF!</v>
      </c>
      <c r="Z117" s="147" t="e">
        <f t="shared" si="28"/>
        <v>#REF!</v>
      </c>
    </row>
    <row r="118" spans="1:27" ht="15" customHeight="1">
      <c r="B118" s="245">
        <v>4</v>
      </c>
      <c r="C118" s="160"/>
      <c r="D118" s="160"/>
      <c r="E118" s="160"/>
      <c r="F118" s="267"/>
      <c r="G118" s="199" t="str">
        <f t="shared" si="29"/>
        <v>UX435EA</v>
      </c>
      <c r="H118" s="147" t="s">
        <v>20</v>
      </c>
      <c r="I118" s="196" t="s">
        <v>142</v>
      </c>
      <c r="J118" s="196" t="s">
        <v>153</v>
      </c>
      <c r="K118" s="201" t="s">
        <v>154</v>
      </c>
      <c r="L118" s="198">
        <v>1</v>
      </c>
      <c r="M118" s="204" t="s">
        <v>150</v>
      </c>
      <c r="N118" s="253"/>
      <c r="O118" s="253">
        <v>12554</v>
      </c>
      <c r="P118" s="253"/>
      <c r="Q118" s="129">
        <f t="shared" si="30"/>
        <v>-200</v>
      </c>
      <c r="R118" s="129">
        <f t="shared" si="30"/>
        <v>0</v>
      </c>
      <c r="S118" s="129">
        <f t="shared" si="30"/>
        <v>0</v>
      </c>
      <c r="T118" s="129">
        <f t="shared" si="30"/>
        <v>0</v>
      </c>
      <c r="U118" s="129">
        <f t="shared" si="30"/>
        <v>0</v>
      </c>
      <c r="V118" s="129">
        <f t="shared" si="30"/>
        <v>0</v>
      </c>
      <c r="W118" s="129">
        <f t="shared" si="30"/>
        <v>0</v>
      </c>
      <c r="X118" s="129">
        <f t="shared" si="30"/>
        <v>0</v>
      </c>
      <c r="Y118" s="129" t="e">
        <f t="shared" si="30"/>
        <v>#REF!</v>
      </c>
      <c r="Z118" s="147" t="e">
        <f t="shared" si="28"/>
        <v>#REF!</v>
      </c>
    </row>
    <row r="119" spans="1:27" ht="15" customHeight="1">
      <c r="B119" s="245">
        <v>5</v>
      </c>
      <c r="C119" s="160"/>
      <c r="D119" s="160"/>
      <c r="E119" s="160"/>
      <c r="F119" s="267"/>
      <c r="G119" s="199" t="str">
        <f t="shared" si="29"/>
        <v>UX435EA</v>
      </c>
      <c r="H119" s="147" t="s">
        <v>20</v>
      </c>
      <c r="I119" s="196" t="s">
        <v>142</v>
      </c>
      <c r="J119" s="196" t="s">
        <v>153</v>
      </c>
      <c r="K119" s="201" t="s">
        <v>215</v>
      </c>
      <c r="L119" s="198">
        <v>1</v>
      </c>
      <c r="M119" s="204" t="s">
        <v>147</v>
      </c>
      <c r="N119" s="253"/>
      <c r="O119" s="253">
        <v>4568</v>
      </c>
      <c r="P119" s="253"/>
      <c r="Q119" s="129">
        <f t="shared" si="30"/>
        <v>0</v>
      </c>
      <c r="R119" s="129">
        <f t="shared" si="30"/>
        <v>0</v>
      </c>
      <c r="S119" s="129">
        <f t="shared" si="30"/>
        <v>0</v>
      </c>
      <c r="T119" s="129">
        <f t="shared" si="30"/>
        <v>0</v>
      </c>
      <c r="U119" s="129">
        <f t="shared" si="30"/>
        <v>0</v>
      </c>
      <c r="V119" s="129">
        <f t="shared" si="30"/>
        <v>0</v>
      </c>
      <c r="W119" s="129">
        <f t="shared" si="30"/>
        <v>0</v>
      </c>
      <c r="X119" s="129">
        <f t="shared" si="30"/>
        <v>0</v>
      </c>
      <c r="Y119" s="129" t="e">
        <f t="shared" si="30"/>
        <v>#REF!</v>
      </c>
      <c r="Z119" s="147" t="e">
        <f t="shared" si="28"/>
        <v>#REF!</v>
      </c>
    </row>
    <row r="120" spans="1:27" ht="15" customHeight="1">
      <c r="B120" s="245">
        <v>6</v>
      </c>
      <c r="C120" s="160"/>
      <c r="D120" s="160"/>
      <c r="E120" s="160"/>
      <c r="F120" s="267"/>
      <c r="G120" s="199" t="str">
        <f t="shared" si="29"/>
        <v>UX435EA</v>
      </c>
      <c r="H120" s="147" t="s">
        <v>20</v>
      </c>
      <c r="I120" s="196" t="s">
        <v>142</v>
      </c>
      <c r="J120" s="196" t="s">
        <v>153</v>
      </c>
      <c r="K120" s="201" t="s">
        <v>217</v>
      </c>
      <c r="L120" s="198">
        <v>1</v>
      </c>
      <c r="M120" s="204" t="s">
        <v>222</v>
      </c>
      <c r="N120" s="253"/>
      <c r="O120" s="253">
        <v>0</v>
      </c>
      <c r="P120" s="253"/>
      <c r="Q120" s="129">
        <f t="shared" si="30"/>
        <v>-200</v>
      </c>
      <c r="R120" s="129">
        <f t="shared" si="30"/>
        <v>-300</v>
      </c>
      <c r="S120" s="129">
        <f t="shared" si="30"/>
        <v>-300</v>
      </c>
      <c r="T120" s="129">
        <f t="shared" si="30"/>
        <v>-200</v>
      </c>
      <c r="U120" s="129">
        <f t="shared" si="30"/>
        <v>-200</v>
      </c>
      <c r="V120" s="129">
        <f t="shared" si="30"/>
        <v>-200</v>
      </c>
      <c r="W120" s="129">
        <f t="shared" si="30"/>
        <v>-200</v>
      </c>
      <c r="X120" s="129">
        <f t="shared" si="30"/>
        <v>-200</v>
      </c>
      <c r="Y120" s="129" t="e">
        <f t="shared" si="30"/>
        <v>#REF!</v>
      </c>
      <c r="Z120" s="147" t="e">
        <f t="shared" si="28"/>
        <v>#REF!</v>
      </c>
    </row>
    <row r="121" spans="1:27" ht="15" customHeight="1">
      <c r="B121" s="245">
        <v>7</v>
      </c>
      <c r="C121" s="160"/>
      <c r="D121" s="160"/>
      <c r="E121" s="160"/>
      <c r="F121" s="267"/>
      <c r="G121" s="266" t="str">
        <f t="shared" si="29"/>
        <v>UX435EA</v>
      </c>
      <c r="H121" s="147" t="s">
        <v>20</v>
      </c>
      <c r="I121" s="196" t="s">
        <v>142</v>
      </c>
      <c r="J121" s="196" t="s">
        <v>153</v>
      </c>
      <c r="K121" s="202" t="s">
        <v>216</v>
      </c>
      <c r="L121" s="198">
        <v>3</v>
      </c>
      <c r="M121" s="260" t="s">
        <v>219</v>
      </c>
      <c r="N121" s="253"/>
      <c r="O121" s="253">
        <v>0</v>
      </c>
      <c r="P121" s="253"/>
      <c r="Q121" s="129">
        <f t="shared" si="30"/>
        <v>-600</v>
      </c>
      <c r="R121" s="129">
        <f t="shared" si="30"/>
        <v>-900</v>
      </c>
      <c r="S121" s="129">
        <f t="shared" si="30"/>
        <v>-900</v>
      </c>
      <c r="T121" s="129">
        <f t="shared" si="30"/>
        <v>-600</v>
      </c>
      <c r="U121" s="129">
        <f t="shared" si="30"/>
        <v>-600</v>
      </c>
      <c r="V121" s="129">
        <f t="shared" si="30"/>
        <v>-600</v>
      </c>
      <c r="W121" s="129">
        <f t="shared" si="30"/>
        <v>-600</v>
      </c>
      <c r="X121" s="129">
        <f t="shared" si="30"/>
        <v>-600</v>
      </c>
      <c r="Y121" s="129" t="e">
        <f t="shared" si="30"/>
        <v>#REF!</v>
      </c>
      <c r="Z121" s="147" t="e">
        <f t="shared" si="28"/>
        <v>#REF!</v>
      </c>
    </row>
    <row r="122" spans="1:27">
      <c r="B122" s="244" t="e">
        <f>SUM(Q122:Y122)</f>
        <v>#REF!</v>
      </c>
      <c r="C122" s="244" t="s">
        <v>100</v>
      </c>
      <c r="D122" s="244" t="s">
        <v>229</v>
      </c>
      <c r="E122" s="244" t="s">
        <v>22</v>
      </c>
      <c r="F122" s="244" t="e">
        <f>SUM(N122:Y122)</f>
        <v>#REF!</v>
      </c>
      <c r="G122" s="244" t="s">
        <v>120</v>
      </c>
      <c r="H122" s="244"/>
      <c r="I122" s="244"/>
      <c r="J122" s="244"/>
      <c r="K122" s="244"/>
      <c r="L122" s="244"/>
      <c r="M122" s="244"/>
      <c r="N122" s="244"/>
      <c r="O122" s="244"/>
      <c r="P122" s="244"/>
      <c r="Q122" s="244">
        <f>SUMIFS(MB!R:R,MB!$F:$F,$G:$G,MB!$D:$D,"FCST")</f>
        <v>0</v>
      </c>
      <c r="R122" s="244">
        <f>SUMIFS(MB!S:S,MB!$F:$F,$G:$G,MB!$D:$D,"FCST")</f>
        <v>0</v>
      </c>
      <c r="S122" s="244">
        <f>SUMIFS(MB!T:T,MB!$F:$F,$G:$G,MB!$D:$D,"FCST")</f>
        <v>0</v>
      </c>
      <c r="T122" s="244">
        <f>SUMIFS(MB!U:U,MB!$F:$F,$G:$G,MB!$D:$D,"FCST")</f>
        <v>0</v>
      </c>
      <c r="U122" s="244">
        <f>SUMIFS(MB!V:V,MB!$F:$F,$G:$G,MB!$D:$D,"FCST")</f>
        <v>0</v>
      </c>
      <c r="V122" s="244">
        <f>SUMIFS(MB!W:W,MB!$F:$F,$G:$G,MB!$D:$D,"FCST")</f>
        <v>0</v>
      </c>
      <c r="W122" s="244">
        <f>SUMIFS(MB!X:X,MB!$F:$F,$G:$G,MB!$D:$D,"FCST")</f>
        <v>0</v>
      </c>
      <c r="X122" s="244">
        <f>SUMIFS(MB!Y:Y,MB!$F:$F,$G:$G,MB!$D:$D,"FCST")</f>
        <v>0</v>
      </c>
      <c r="Y122" s="244" t="e">
        <f>SUMIFS(MB!#REF!,MB!$F:$F,$G:$G,MB!$D:$D,"FCST")</f>
        <v>#REF!</v>
      </c>
      <c r="Z122" s="244"/>
    </row>
    <row r="123" spans="1:27" ht="15.6">
      <c r="B123" s="245">
        <v>1</v>
      </c>
      <c r="C123" s="246"/>
      <c r="D123" s="246"/>
      <c r="E123" s="247"/>
      <c r="F123" s="261"/>
      <c r="G123" s="266" t="str">
        <f>$G$122</f>
        <v>X513EP</v>
      </c>
      <c r="H123" s="248" t="s">
        <v>103</v>
      </c>
      <c r="I123" s="248" t="s">
        <v>103</v>
      </c>
      <c r="J123" s="250" t="s">
        <v>153</v>
      </c>
      <c r="K123" s="255" t="s">
        <v>212</v>
      </c>
      <c r="L123" s="262">
        <v>1</v>
      </c>
      <c r="M123" s="263" t="s">
        <v>146</v>
      </c>
      <c r="N123" s="253"/>
      <c r="O123" s="253">
        <v>9136</v>
      </c>
      <c r="P123" s="253"/>
      <c r="Q123" s="254">
        <v>0</v>
      </c>
      <c r="R123" s="254">
        <v>0</v>
      </c>
      <c r="S123" s="254">
        <v>0</v>
      </c>
      <c r="T123" s="254">
        <v>0</v>
      </c>
      <c r="U123" s="254">
        <v>0</v>
      </c>
      <c r="V123" s="254">
        <v>0</v>
      </c>
      <c r="W123" s="254">
        <v>0</v>
      </c>
      <c r="X123" s="254">
        <v>0</v>
      </c>
      <c r="Y123" s="254">
        <v>0</v>
      </c>
      <c r="Z123" s="248">
        <f t="shared" ref="Z123:Z136" si="31">SUM(Q123:Y123)</f>
        <v>0</v>
      </c>
    </row>
    <row r="124" spans="1:27" ht="15.6">
      <c r="B124" s="245">
        <v>2</v>
      </c>
      <c r="C124" s="246"/>
      <c r="D124" s="246"/>
      <c r="E124" s="247"/>
      <c r="F124" s="261"/>
      <c r="G124" s="266" t="str">
        <f t="shared" ref="G124:G136" si="32">$G$122</f>
        <v>X513EP</v>
      </c>
      <c r="H124" s="248" t="s">
        <v>103</v>
      </c>
      <c r="I124" s="248" t="s">
        <v>103</v>
      </c>
      <c r="J124" s="250" t="s">
        <v>153</v>
      </c>
      <c r="K124" s="251" t="s">
        <v>213</v>
      </c>
      <c r="L124" s="262">
        <v>1</v>
      </c>
      <c r="M124" s="263" t="s">
        <v>149</v>
      </c>
      <c r="N124" s="253"/>
      <c r="O124" s="253">
        <v>86720</v>
      </c>
      <c r="P124" s="253"/>
      <c r="Q124" s="254">
        <v>1000</v>
      </c>
      <c r="R124" s="254">
        <v>1200</v>
      </c>
      <c r="S124" s="254">
        <v>1300</v>
      </c>
      <c r="T124" s="254">
        <v>0</v>
      </c>
      <c r="U124" s="254">
        <v>0</v>
      </c>
      <c r="V124" s="254">
        <v>0</v>
      </c>
      <c r="W124" s="254">
        <v>0</v>
      </c>
      <c r="X124" s="254">
        <v>0</v>
      </c>
      <c r="Y124" s="254">
        <v>0</v>
      </c>
      <c r="Z124" s="248">
        <f t="shared" si="31"/>
        <v>3500</v>
      </c>
    </row>
    <row r="125" spans="1:27" ht="15.6">
      <c r="B125" s="245">
        <v>3</v>
      </c>
      <c r="C125" s="246"/>
      <c r="D125" s="246"/>
      <c r="E125" s="247"/>
      <c r="F125" s="261"/>
      <c r="G125" s="266" t="str">
        <f t="shared" si="32"/>
        <v>X513EP</v>
      </c>
      <c r="H125" s="248" t="s">
        <v>103</v>
      </c>
      <c r="I125" s="248" t="s">
        <v>103</v>
      </c>
      <c r="J125" s="250" t="s">
        <v>153</v>
      </c>
      <c r="K125" s="255" t="s">
        <v>214</v>
      </c>
      <c r="L125" s="262">
        <v>1</v>
      </c>
      <c r="M125" s="263" t="s">
        <v>144</v>
      </c>
      <c r="N125" s="253"/>
      <c r="O125" s="253">
        <v>11770</v>
      </c>
      <c r="P125" s="253"/>
      <c r="Q125" s="254">
        <v>1000</v>
      </c>
      <c r="R125" s="254">
        <v>0</v>
      </c>
      <c r="S125" s="254">
        <v>0</v>
      </c>
      <c r="T125" s="254">
        <v>0</v>
      </c>
      <c r="U125" s="254">
        <v>0</v>
      </c>
      <c r="V125" s="254">
        <v>0</v>
      </c>
      <c r="W125" s="254">
        <v>0</v>
      </c>
      <c r="X125" s="254">
        <v>0</v>
      </c>
      <c r="Y125" s="254">
        <v>0</v>
      </c>
      <c r="Z125" s="248">
        <f t="shared" si="31"/>
        <v>1000</v>
      </c>
    </row>
    <row r="126" spans="1:27" ht="15.6">
      <c r="B126" s="245">
        <v>4</v>
      </c>
      <c r="C126" s="246"/>
      <c r="D126" s="246"/>
      <c r="E126" s="247"/>
      <c r="F126" s="261"/>
      <c r="G126" s="266" t="str">
        <f t="shared" si="32"/>
        <v>X513EP</v>
      </c>
      <c r="H126" s="248" t="s">
        <v>103</v>
      </c>
      <c r="I126" s="248" t="s">
        <v>103</v>
      </c>
      <c r="J126" s="250" t="s">
        <v>153</v>
      </c>
      <c r="K126" s="255" t="s">
        <v>154</v>
      </c>
      <c r="L126" s="262">
        <v>1</v>
      </c>
      <c r="M126" s="263" t="s">
        <v>150</v>
      </c>
      <c r="N126" s="253"/>
      <c r="O126" s="253">
        <v>12554</v>
      </c>
      <c r="P126" s="253"/>
      <c r="Q126" s="254">
        <v>1000</v>
      </c>
      <c r="R126" s="254">
        <v>0</v>
      </c>
      <c r="S126" s="254">
        <v>0</v>
      </c>
      <c r="T126" s="254">
        <v>0</v>
      </c>
      <c r="U126" s="254">
        <v>0</v>
      </c>
      <c r="V126" s="254">
        <v>0</v>
      </c>
      <c r="W126" s="254">
        <v>0</v>
      </c>
      <c r="X126" s="254">
        <v>0</v>
      </c>
      <c r="Y126" s="254">
        <v>0</v>
      </c>
      <c r="Z126" s="248">
        <f t="shared" si="31"/>
        <v>1000</v>
      </c>
    </row>
    <row r="127" spans="1:27" s="264" customFormat="1" ht="15" customHeight="1">
      <c r="A127" s="144"/>
      <c r="B127" s="245">
        <v>5</v>
      </c>
      <c r="C127" s="246"/>
      <c r="D127" s="246"/>
      <c r="E127" s="247"/>
      <c r="F127" s="248"/>
      <c r="G127" s="266" t="str">
        <f t="shared" si="32"/>
        <v>X513EP</v>
      </c>
      <c r="H127" s="248" t="s">
        <v>103</v>
      </c>
      <c r="I127" s="248" t="s">
        <v>103</v>
      </c>
      <c r="J127" s="250" t="s">
        <v>153</v>
      </c>
      <c r="K127" s="255" t="s">
        <v>215</v>
      </c>
      <c r="L127" s="262">
        <v>1</v>
      </c>
      <c r="M127" s="263" t="s">
        <v>147</v>
      </c>
      <c r="N127" s="253"/>
      <c r="O127" s="253">
        <v>4568</v>
      </c>
      <c r="P127" s="253"/>
      <c r="Q127" s="254">
        <v>0</v>
      </c>
      <c r="R127" s="254">
        <v>0</v>
      </c>
      <c r="S127" s="254">
        <v>0</v>
      </c>
      <c r="T127" s="254">
        <v>0</v>
      </c>
      <c r="U127" s="254">
        <v>0</v>
      </c>
      <c r="V127" s="254">
        <v>0</v>
      </c>
      <c r="W127" s="254">
        <v>0</v>
      </c>
      <c r="X127" s="254">
        <v>0</v>
      </c>
      <c r="Y127" s="254">
        <v>0</v>
      </c>
      <c r="Z127" s="248">
        <f t="shared" si="31"/>
        <v>0</v>
      </c>
      <c r="AA127" s="230"/>
    </row>
    <row r="128" spans="1:27" ht="15.6">
      <c r="B128" s="245">
        <v>6</v>
      </c>
      <c r="C128" s="246"/>
      <c r="D128" s="246"/>
      <c r="E128" s="247"/>
      <c r="F128" s="248"/>
      <c r="G128" s="266" t="str">
        <f t="shared" si="32"/>
        <v>X513EP</v>
      </c>
      <c r="H128" s="248" t="s">
        <v>103</v>
      </c>
      <c r="I128" s="248" t="s">
        <v>103</v>
      </c>
      <c r="J128" s="250" t="s">
        <v>153</v>
      </c>
      <c r="K128" s="251" t="s">
        <v>217</v>
      </c>
      <c r="L128" s="262">
        <v>1</v>
      </c>
      <c r="M128" s="263" t="s">
        <v>163</v>
      </c>
      <c r="N128" s="253"/>
      <c r="O128" s="253">
        <v>286</v>
      </c>
      <c r="P128" s="253"/>
      <c r="Q128" s="254">
        <v>286</v>
      </c>
      <c r="R128" s="254">
        <v>0</v>
      </c>
      <c r="S128" s="254">
        <v>0</v>
      </c>
      <c r="T128" s="254">
        <v>0</v>
      </c>
      <c r="U128" s="254">
        <v>0</v>
      </c>
      <c r="V128" s="254">
        <v>0</v>
      </c>
      <c r="W128" s="254">
        <v>0</v>
      </c>
      <c r="X128" s="254">
        <v>0</v>
      </c>
      <c r="Y128" s="254">
        <v>0</v>
      </c>
      <c r="Z128" s="248">
        <f t="shared" si="31"/>
        <v>286</v>
      </c>
    </row>
    <row r="129" spans="1:27" ht="15.6">
      <c r="B129" s="245">
        <v>7</v>
      </c>
      <c r="C129" s="246"/>
      <c r="D129" s="246"/>
      <c r="E129" s="247"/>
      <c r="F129" s="248"/>
      <c r="G129" s="266" t="str">
        <f t="shared" si="32"/>
        <v>X513EP</v>
      </c>
      <c r="H129" s="248" t="s">
        <v>103</v>
      </c>
      <c r="I129" s="248" t="s">
        <v>103</v>
      </c>
      <c r="J129" s="250" t="s">
        <v>153</v>
      </c>
      <c r="K129" s="251" t="s">
        <v>216</v>
      </c>
      <c r="L129" s="262">
        <v>3</v>
      </c>
      <c r="M129" s="263" t="s">
        <v>143</v>
      </c>
      <c r="N129" s="253"/>
      <c r="O129" s="253">
        <v>25000</v>
      </c>
      <c r="P129" s="253"/>
      <c r="Q129" s="254">
        <v>3000</v>
      </c>
      <c r="R129" s="254">
        <v>3600</v>
      </c>
      <c r="S129" s="254">
        <v>3900</v>
      </c>
      <c r="T129" s="254">
        <v>0</v>
      </c>
      <c r="U129" s="254">
        <v>0</v>
      </c>
      <c r="V129" s="254">
        <v>0</v>
      </c>
      <c r="W129" s="254">
        <v>0</v>
      </c>
      <c r="X129" s="254">
        <v>0</v>
      </c>
      <c r="Y129" s="254">
        <v>0</v>
      </c>
      <c r="Z129" s="248">
        <f t="shared" si="31"/>
        <v>10500</v>
      </c>
    </row>
    <row r="130" spans="1:27" ht="15.6">
      <c r="B130" s="245">
        <v>1</v>
      </c>
      <c r="C130" s="152"/>
      <c r="D130" s="152"/>
      <c r="E130" s="195"/>
      <c r="F130" s="147"/>
      <c r="G130" s="266" t="str">
        <f t="shared" si="32"/>
        <v>X513EP</v>
      </c>
      <c r="H130" s="147" t="s">
        <v>20</v>
      </c>
      <c r="I130" s="196" t="s">
        <v>142</v>
      </c>
      <c r="J130" s="196" t="s">
        <v>153</v>
      </c>
      <c r="K130" s="201" t="s">
        <v>212</v>
      </c>
      <c r="L130" s="198">
        <v>1</v>
      </c>
      <c r="M130" s="204" t="s">
        <v>146</v>
      </c>
      <c r="N130" s="253"/>
      <c r="O130" s="253">
        <v>9136</v>
      </c>
      <c r="P130" s="253"/>
      <c r="Q130" s="129">
        <f t="shared" ref="Q130:Y136" si="33">(Q$122*$L130)-Q123</f>
        <v>0</v>
      </c>
      <c r="R130" s="129">
        <f t="shared" si="33"/>
        <v>0</v>
      </c>
      <c r="S130" s="129">
        <f t="shared" si="33"/>
        <v>0</v>
      </c>
      <c r="T130" s="129">
        <f t="shared" si="33"/>
        <v>0</v>
      </c>
      <c r="U130" s="129">
        <f t="shared" si="33"/>
        <v>0</v>
      </c>
      <c r="V130" s="129">
        <f t="shared" si="33"/>
        <v>0</v>
      </c>
      <c r="W130" s="129">
        <f t="shared" si="33"/>
        <v>0</v>
      </c>
      <c r="X130" s="129">
        <f t="shared" si="33"/>
        <v>0</v>
      </c>
      <c r="Y130" s="129" t="e">
        <f t="shared" si="33"/>
        <v>#REF!</v>
      </c>
      <c r="Z130" s="147" t="e">
        <f t="shared" si="31"/>
        <v>#REF!</v>
      </c>
    </row>
    <row r="131" spans="1:27" ht="15.6">
      <c r="B131" s="245">
        <v>2</v>
      </c>
      <c r="C131" s="152"/>
      <c r="D131" s="152"/>
      <c r="E131" s="195"/>
      <c r="F131" s="147"/>
      <c r="G131" s="266" t="str">
        <f t="shared" si="32"/>
        <v>X513EP</v>
      </c>
      <c r="H131" s="147" t="s">
        <v>20</v>
      </c>
      <c r="I131" s="196" t="s">
        <v>142</v>
      </c>
      <c r="J131" s="196" t="s">
        <v>153</v>
      </c>
      <c r="K131" s="202" t="s">
        <v>213</v>
      </c>
      <c r="L131" s="198">
        <v>1</v>
      </c>
      <c r="M131" s="204" t="s">
        <v>149</v>
      </c>
      <c r="N131" s="253"/>
      <c r="O131" s="253">
        <v>86720</v>
      </c>
      <c r="P131" s="253"/>
      <c r="Q131" s="129">
        <f t="shared" si="33"/>
        <v>-1000</v>
      </c>
      <c r="R131" s="129">
        <f t="shared" si="33"/>
        <v>-1200</v>
      </c>
      <c r="S131" s="129">
        <f t="shared" si="33"/>
        <v>-1300</v>
      </c>
      <c r="T131" s="129">
        <f t="shared" si="33"/>
        <v>0</v>
      </c>
      <c r="U131" s="129">
        <f t="shared" si="33"/>
        <v>0</v>
      </c>
      <c r="V131" s="129">
        <f t="shared" si="33"/>
        <v>0</v>
      </c>
      <c r="W131" s="129">
        <f t="shared" si="33"/>
        <v>0</v>
      </c>
      <c r="X131" s="129">
        <f t="shared" si="33"/>
        <v>0</v>
      </c>
      <c r="Y131" s="129" t="e">
        <f t="shared" si="33"/>
        <v>#REF!</v>
      </c>
      <c r="Z131" s="147" t="e">
        <f t="shared" si="31"/>
        <v>#REF!</v>
      </c>
    </row>
    <row r="132" spans="1:27" ht="15.6">
      <c r="B132" s="245">
        <v>3</v>
      </c>
      <c r="C132" s="152"/>
      <c r="D132" s="152"/>
      <c r="E132" s="195"/>
      <c r="F132" s="147"/>
      <c r="G132" s="266" t="str">
        <f t="shared" si="32"/>
        <v>X513EP</v>
      </c>
      <c r="H132" s="147" t="s">
        <v>20</v>
      </c>
      <c r="I132" s="196" t="s">
        <v>142</v>
      </c>
      <c r="J132" s="196" t="s">
        <v>153</v>
      </c>
      <c r="K132" s="201" t="s">
        <v>214</v>
      </c>
      <c r="L132" s="198">
        <v>1</v>
      </c>
      <c r="M132" s="204" t="s">
        <v>144</v>
      </c>
      <c r="N132" s="253"/>
      <c r="O132" s="253">
        <v>11770</v>
      </c>
      <c r="P132" s="253"/>
      <c r="Q132" s="129">
        <f t="shared" si="33"/>
        <v>-1000</v>
      </c>
      <c r="R132" s="129">
        <f t="shared" si="33"/>
        <v>0</v>
      </c>
      <c r="S132" s="129">
        <f t="shared" si="33"/>
        <v>0</v>
      </c>
      <c r="T132" s="129">
        <f t="shared" si="33"/>
        <v>0</v>
      </c>
      <c r="U132" s="129">
        <f t="shared" si="33"/>
        <v>0</v>
      </c>
      <c r="V132" s="129">
        <f t="shared" si="33"/>
        <v>0</v>
      </c>
      <c r="W132" s="129">
        <f t="shared" si="33"/>
        <v>0</v>
      </c>
      <c r="X132" s="129">
        <f t="shared" si="33"/>
        <v>0</v>
      </c>
      <c r="Y132" s="129" t="e">
        <f t="shared" si="33"/>
        <v>#REF!</v>
      </c>
      <c r="Z132" s="147" t="e">
        <f t="shared" si="31"/>
        <v>#REF!</v>
      </c>
    </row>
    <row r="133" spans="1:27" ht="15.6">
      <c r="B133" s="245">
        <v>4</v>
      </c>
      <c r="C133" s="152"/>
      <c r="D133" s="152"/>
      <c r="E133" s="195"/>
      <c r="F133" s="147"/>
      <c r="G133" s="266" t="str">
        <f t="shared" si="32"/>
        <v>X513EP</v>
      </c>
      <c r="H133" s="147" t="s">
        <v>20</v>
      </c>
      <c r="I133" s="196" t="s">
        <v>142</v>
      </c>
      <c r="J133" s="196" t="s">
        <v>153</v>
      </c>
      <c r="K133" s="202" t="s">
        <v>154</v>
      </c>
      <c r="L133" s="198">
        <v>1</v>
      </c>
      <c r="M133" s="204" t="s">
        <v>150</v>
      </c>
      <c r="N133" s="253"/>
      <c r="O133" s="253">
        <v>12554</v>
      </c>
      <c r="P133" s="253"/>
      <c r="Q133" s="129">
        <f t="shared" si="33"/>
        <v>-1000</v>
      </c>
      <c r="R133" s="129">
        <f t="shared" si="33"/>
        <v>0</v>
      </c>
      <c r="S133" s="129">
        <f t="shared" si="33"/>
        <v>0</v>
      </c>
      <c r="T133" s="129">
        <f t="shared" si="33"/>
        <v>0</v>
      </c>
      <c r="U133" s="129">
        <f t="shared" si="33"/>
        <v>0</v>
      </c>
      <c r="V133" s="129">
        <f t="shared" si="33"/>
        <v>0</v>
      </c>
      <c r="W133" s="129">
        <f t="shared" si="33"/>
        <v>0</v>
      </c>
      <c r="X133" s="129">
        <f t="shared" si="33"/>
        <v>0</v>
      </c>
      <c r="Y133" s="129" t="e">
        <f t="shared" si="33"/>
        <v>#REF!</v>
      </c>
      <c r="Z133" s="147" t="e">
        <f t="shared" si="31"/>
        <v>#REF!</v>
      </c>
    </row>
    <row r="134" spans="1:27" ht="15.6">
      <c r="B134" s="245">
        <v>5</v>
      </c>
      <c r="C134" s="152"/>
      <c r="D134" s="152"/>
      <c r="E134" s="195"/>
      <c r="F134" s="147"/>
      <c r="G134" s="266" t="str">
        <f t="shared" si="32"/>
        <v>X513EP</v>
      </c>
      <c r="H134" s="147" t="s">
        <v>20</v>
      </c>
      <c r="I134" s="196" t="s">
        <v>142</v>
      </c>
      <c r="J134" s="196" t="s">
        <v>153</v>
      </c>
      <c r="K134" s="202" t="s">
        <v>215</v>
      </c>
      <c r="L134" s="198">
        <v>1</v>
      </c>
      <c r="M134" s="204" t="s">
        <v>147</v>
      </c>
      <c r="N134" s="253"/>
      <c r="O134" s="253">
        <v>4568</v>
      </c>
      <c r="P134" s="253"/>
      <c r="Q134" s="129">
        <f t="shared" si="33"/>
        <v>0</v>
      </c>
      <c r="R134" s="129">
        <f t="shared" si="33"/>
        <v>0</v>
      </c>
      <c r="S134" s="129">
        <f t="shared" si="33"/>
        <v>0</v>
      </c>
      <c r="T134" s="129">
        <f t="shared" si="33"/>
        <v>0</v>
      </c>
      <c r="U134" s="129">
        <f t="shared" si="33"/>
        <v>0</v>
      </c>
      <c r="V134" s="129">
        <f t="shared" si="33"/>
        <v>0</v>
      </c>
      <c r="W134" s="129">
        <f t="shared" si="33"/>
        <v>0</v>
      </c>
      <c r="X134" s="129">
        <f t="shared" si="33"/>
        <v>0</v>
      </c>
      <c r="Y134" s="129" t="e">
        <f t="shared" si="33"/>
        <v>#REF!</v>
      </c>
      <c r="Z134" s="147" t="e">
        <f t="shared" si="31"/>
        <v>#REF!</v>
      </c>
    </row>
    <row r="135" spans="1:27" s="149" customFormat="1" ht="15" customHeight="1">
      <c r="A135" s="144"/>
      <c r="B135" s="245">
        <v>6</v>
      </c>
      <c r="C135" s="152"/>
      <c r="D135" s="152"/>
      <c r="E135" s="195"/>
      <c r="F135" s="197"/>
      <c r="G135" s="266" t="str">
        <f t="shared" si="32"/>
        <v>X513EP</v>
      </c>
      <c r="H135" s="147" t="s">
        <v>20</v>
      </c>
      <c r="I135" s="196" t="s">
        <v>142</v>
      </c>
      <c r="J135" s="198" t="s">
        <v>153</v>
      </c>
      <c r="K135" s="202" t="s">
        <v>217</v>
      </c>
      <c r="L135" s="198">
        <v>1</v>
      </c>
      <c r="M135" s="204" t="s">
        <v>163</v>
      </c>
      <c r="N135" s="253"/>
      <c r="O135" s="253">
        <v>286</v>
      </c>
      <c r="P135" s="253"/>
      <c r="Q135" s="129">
        <f t="shared" si="33"/>
        <v>-286</v>
      </c>
      <c r="R135" s="129">
        <f t="shared" si="33"/>
        <v>0</v>
      </c>
      <c r="S135" s="129">
        <f t="shared" si="33"/>
        <v>0</v>
      </c>
      <c r="T135" s="129">
        <f t="shared" si="33"/>
        <v>0</v>
      </c>
      <c r="U135" s="129">
        <f t="shared" si="33"/>
        <v>0</v>
      </c>
      <c r="V135" s="129">
        <f t="shared" si="33"/>
        <v>0</v>
      </c>
      <c r="W135" s="129">
        <f t="shared" si="33"/>
        <v>0</v>
      </c>
      <c r="X135" s="129">
        <f t="shared" si="33"/>
        <v>0</v>
      </c>
      <c r="Y135" s="129" t="e">
        <f t="shared" si="33"/>
        <v>#REF!</v>
      </c>
      <c r="Z135" s="147" t="e">
        <f t="shared" si="31"/>
        <v>#REF!</v>
      </c>
      <c r="AA135" s="230"/>
    </row>
    <row r="136" spans="1:27" ht="15.6">
      <c r="B136" s="245">
        <v>7</v>
      </c>
      <c r="C136" s="152"/>
      <c r="D136" s="152"/>
      <c r="E136" s="195"/>
      <c r="F136" s="147"/>
      <c r="G136" s="266" t="str">
        <f t="shared" si="32"/>
        <v>X513EP</v>
      </c>
      <c r="H136" s="147" t="s">
        <v>20</v>
      </c>
      <c r="I136" s="196" t="s">
        <v>142</v>
      </c>
      <c r="J136" s="196" t="s">
        <v>153</v>
      </c>
      <c r="K136" s="201" t="s">
        <v>216</v>
      </c>
      <c r="L136" s="198">
        <v>3</v>
      </c>
      <c r="M136" s="204" t="s">
        <v>143</v>
      </c>
      <c r="N136" s="253"/>
      <c r="O136" s="253">
        <v>25000</v>
      </c>
      <c r="P136" s="253"/>
      <c r="Q136" s="129">
        <f t="shared" si="33"/>
        <v>-3000</v>
      </c>
      <c r="R136" s="129">
        <f t="shared" si="33"/>
        <v>-3600</v>
      </c>
      <c r="S136" s="129">
        <f t="shared" si="33"/>
        <v>-3900</v>
      </c>
      <c r="T136" s="129">
        <f t="shared" si="33"/>
        <v>0</v>
      </c>
      <c r="U136" s="129">
        <f t="shared" si="33"/>
        <v>0</v>
      </c>
      <c r="V136" s="129">
        <f t="shared" si="33"/>
        <v>0</v>
      </c>
      <c r="W136" s="129">
        <f t="shared" si="33"/>
        <v>0</v>
      </c>
      <c r="X136" s="129">
        <f t="shared" si="33"/>
        <v>0</v>
      </c>
      <c r="Y136" s="129" t="e">
        <f t="shared" si="33"/>
        <v>#REF!</v>
      </c>
      <c r="Z136" s="147" t="e">
        <f t="shared" si="31"/>
        <v>#REF!</v>
      </c>
    </row>
    <row r="137" spans="1:27">
      <c r="B137" s="244" t="e">
        <f>SUM(Q137:Y137)</f>
        <v>#REF!</v>
      </c>
      <c r="C137" s="244" t="s">
        <v>100</v>
      </c>
      <c r="D137" s="244" t="s">
        <v>229</v>
      </c>
      <c r="E137" s="244" t="s">
        <v>22</v>
      </c>
      <c r="F137" s="244" t="e">
        <f>SUM(N137:Y137)</f>
        <v>#REF!</v>
      </c>
      <c r="G137" s="244" t="s">
        <v>107</v>
      </c>
      <c r="H137" s="244"/>
      <c r="I137" s="244"/>
      <c r="J137" s="244"/>
      <c r="K137" s="244"/>
      <c r="L137" s="244"/>
      <c r="M137" s="244"/>
      <c r="N137" s="244"/>
      <c r="O137" s="244"/>
      <c r="P137" s="244"/>
      <c r="Q137" s="244">
        <f>SUMIFS(MB!R:R,MB!$F:$F,$G:$G,MB!$D:$D,"FCST")</f>
        <v>0</v>
      </c>
      <c r="R137" s="244">
        <f>SUMIFS(MB!S:S,MB!$F:$F,$G:$G,MB!$D:$D,"FCST")</f>
        <v>0</v>
      </c>
      <c r="S137" s="244">
        <f>SUMIFS(MB!T:T,MB!$F:$F,$G:$G,MB!$D:$D,"FCST")</f>
        <v>0</v>
      </c>
      <c r="T137" s="244">
        <f>SUMIFS(MB!U:U,MB!$F:$F,$G:$G,MB!$D:$D,"FCST")</f>
        <v>0</v>
      </c>
      <c r="U137" s="244">
        <f>SUMIFS(MB!V:V,MB!$F:$F,$G:$G,MB!$D:$D,"FCST")</f>
        <v>0</v>
      </c>
      <c r="V137" s="244">
        <f>SUMIFS(MB!W:W,MB!$F:$F,$G:$G,MB!$D:$D,"FCST")</f>
        <v>0</v>
      </c>
      <c r="W137" s="244">
        <f>SUMIFS(MB!X:X,MB!$F:$F,$G:$G,MB!$D:$D,"FCST")</f>
        <v>0</v>
      </c>
      <c r="X137" s="244">
        <f>SUMIFS(MB!Y:Y,MB!$F:$F,$G:$G,MB!$D:$D,"FCST")</f>
        <v>0</v>
      </c>
      <c r="Y137" s="244" t="e">
        <f>SUMIFS(MB!#REF!,MB!$F:$F,$G:$G,MB!$D:$D,"FCST")</f>
        <v>#REF!</v>
      </c>
      <c r="Z137" s="244"/>
    </row>
    <row r="138" spans="1:27" ht="15.6">
      <c r="B138" s="245">
        <v>1</v>
      </c>
      <c r="C138" s="246"/>
      <c r="D138" s="246"/>
      <c r="E138" s="247"/>
      <c r="F138" s="248"/>
      <c r="G138" s="266" t="str">
        <f>$G$137</f>
        <v>X515JA</v>
      </c>
      <c r="H138" s="248" t="s">
        <v>103</v>
      </c>
      <c r="I138" s="248" t="s">
        <v>103</v>
      </c>
      <c r="J138" s="250" t="s">
        <v>153</v>
      </c>
      <c r="K138" s="251" t="s">
        <v>212</v>
      </c>
      <c r="L138" s="262">
        <v>1</v>
      </c>
      <c r="M138" s="263" t="s">
        <v>146</v>
      </c>
      <c r="N138" s="253"/>
      <c r="O138" s="253">
        <v>9136</v>
      </c>
      <c r="P138" s="253"/>
      <c r="Q138" s="254">
        <v>1000</v>
      </c>
      <c r="R138" s="254">
        <v>0</v>
      </c>
      <c r="S138" s="254">
        <v>0</v>
      </c>
      <c r="T138" s="254">
        <v>0</v>
      </c>
      <c r="U138" s="254">
        <v>0</v>
      </c>
      <c r="V138" s="254">
        <v>0</v>
      </c>
      <c r="W138" s="254">
        <v>0</v>
      </c>
      <c r="X138" s="254">
        <v>0</v>
      </c>
      <c r="Y138" s="254">
        <v>0</v>
      </c>
      <c r="Z138" s="248">
        <f t="shared" ref="Z138:Z151" si="34">SUM(Q138:Y138)</f>
        <v>1000</v>
      </c>
    </row>
    <row r="139" spans="1:27" ht="15.6">
      <c r="B139" s="245">
        <v>2</v>
      </c>
      <c r="C139" s="246"/>
      <c r="D139" s="246"/>
      <c r="E139" s="247"/>
      <c r="F139" s="248"/>
      <c r="G139" s="266" t="str">
        <f t="shared" ref="G139:G151" si="35">$G$137</f>
        <v>X515JA</v>
      </c>
      <c r="H139" s="248" t="s">
        <v>103</v>
      </c>
      <c r="I139" s="248" t="s">
        <v>103</v>
      </c>
      <c r="J139" s="250" t="s">
        <v>153</v>
      </c>
      <c r="K139" s="255" t="s">
        <v>213</v>
      </c>
      <c r="L139" s="262">
        <v>1</v>
      </c>
      <c r="M139" s="263" t="s">
        <v>149</v>
      </c>
      <c r="N139" s="253"/>
      <c r="O139" s="253">
        <v>86720</v>
      </c>
      <c r="P139" s="253"/>
      <c r="Q139" s="254">
        <v>1000</v>
      </c>
      <c r="R139" s="254">
        <v>500</v>
      </c>
      <c r="S139" s="254">
        <v>800</v>
      </c>
      <c r="T139" s="254">
        <v>0</v>
      </c>
      <c r="U139" s="254">
        <v>0</v>
      </c>
      <c r="V139" s="254">
        <v>0</v>
      </c>
      <c r="W139" s="254">
        <v>0</v>
      </c>
      <c r="X139" s="254">
        <v>0</v>
      </c>
      <c r="Y139" s="254">
        <v>0</v>
      </c>
      <c r="Z139" s="248">
        <f t="shared" si="34"/>
        <v>2300</v>
      </c>
    </row>
    <row r="140" spans="1:27" ht="15.6">
      <c r="B140" s="245">
        <v>3</v>
      </c>
      <c r="C140" s="246"/>
      <c r="D140" s="246"/>
      <c r="E140" s="247"/>
      <c r="F140" s="248"/>
      <c r="G140" s="266" t="str">
        <f t="shared" si="35"/>
        <v>X515JA</v>
      </c>
      <c r="H140" s="248" t="s">
        <v>103</v>
      </c>
      <c r="I140" s="248" t="s">
        <v>103</v>
      </c>
      <c r="J140" s="250" t="s">
        <v>153</v>
      </c>
      <c r="K140" s="255" t="s">
        <v>214</v>
      </c>
      <c r="L140" s="262">
        <v>1</v>
      </c>
      <c r="M140" s="263" t="s">
        <v>144</v>
      </c>
      <c r="N140" s="253"/>
      <c r="O140" s="253">
        <v>11770</v>
      </c>
      <c r="P140" s="253"/>
      <c r="Q140" s="254">
        <v>1000</v>
      </c>
      <c r="R140" s="254">
        <v>0</v>
      </c>
      <c r="S140" s="254">
        <v>0</v>
      </c>
      <c r="T140" s="254">
        <v>0</v>
      </c>
      <c r="U140" s="254">
        <v>0</v>
      </c>
      <c r="V140" s="254">
        <v>0</v>
      </c>
      <c r="W140" s="254">
        <v>0</v>
      </c>
      <c r="X140" s="254">
        <v>0</v>
      </c>
      <c r="Y140" s="254">
        <v>0</v>
      </c>
      <c r="Z140" s="248">
        <f t="shared" si="34"/>
        <v>1000</v>
      </c>
    </row>
    <row r="141" spans="1:27" ht="15" customHeight="1">
      <c r="B141" s="245">
        <v>4</v>
      </c>
      <c r="C141" s="246"/>
      <c r="D141" s="246"/>
      <c r="E141" s="247"/>
      <c r="F141" s="248"/>
      <c r="G141" s="266" t="str">
        <f t="shared" si="35"/>
        <v>X515JA</v>
      </c>
      <c r="H141" s="248" t="s">
        <v>103</v>
      </c>
      <c r="I141" s="248" t="s">
        <v>103</v>
      </c>
      <c r="J141" s="250" t="s">
        <v>153</v>
      </c>
      <c r="K141" s="251" t="s">
        <v>154</v>
      </c>
      <c r="L141" s="250">
        <v>1</v>
      </c>
      <c r="M141" s="252" t="s">
        <v>150</v>
      </c>
      <c r="N141" s="253"/>
      <c r="O141" s="253">
        <v>12554</v>
      </c>
      <c r="P141" s="253"/>
      <c r="Q141" s="254">
        <v>1000</v>
      </c>
      <c r="R141" s="254">
        <v>0</v>
      </c>
      <c r="S141" s="254">
        <v>0</v>
      </c>
      <c r="T141" s="254">
        <v>0</v>
      </c>
      <c r="U141" s="254">
        <v>0</v>
      </c>
      <c r="V141" s="254">
        <v>0</v>
      </c>
      <c r="W141" s="254">
        <v>0</v>
      </c>
      <c r="X141" s="254">
        <v>0</v>
      </c>
      <c r="Y141" s="254">
        <v>0</v>
      </c>
      <c r="Z141" s="248">
        <f t="shared" si="34"/>
        <v>1000</v>
      </c>
    </row>
    <row r="142" spans="1:27" ht="15" customHeight="1">
      <c r="B142" s="245">
        <v>5</v>
      </c>
      <c r="C142" s="246"/>
      <c r="D142" s="246"/>
      <c r="E142" s="247"/>
      <c r="F142" s="248"/>
      <c r="G142" s="266" t="str">
        <f t="shared" si="35"/>
        <v>X515JA</v>
      </c>
      <c r="H142" s="248" t="s">
        <v>103</v>
      </c>
      <c r="I142" s="248" t="s">
        <v>103</v>
      </c>
      <c r="J142" s="250" t="s">
        <v>153</v>
      </c>
      <c r="K142" s="251" t="s">
        <v>215</v>
      </c>
      <c r="L142" s="250">
        <v>1</v>
      </c>
      <c r="M142" s="252" t="s">
        <v>147</v>
      </c>
      <c r="N142" s="253"/>
      <c r="O142" s="253">
        <v>4568</v>
      </c>
      <c r="P142" s="253"/>
      <c r="Q142" s="254">
        <v>0</v>
      </c>
      <c r="R142" s="254">
        <v>0</v>
      </c>
      <c r="S142" s="254">
        <v>0</v>
      </c>
      <c r="T142" s="254">
        <v>0</v>
      </c>
      <c r="U142" s="254">
        <v>0</v>
      </c>
      <c r="V142" s="254">
        <v>0</v>
      </c>
      <c r="W142" s="254">
        <v>0</v>
      </c>
      <c r="X142" s="254">
        <v>0</v>
      </c>
      <c r="Y142" s="254">
        <v>0</v>
      </c>
      <c r="Z142" s="248">
        <f t="shared" si="34"/>
        <v>0</v>
      </c>
    </row>
    <row r="143" spans="1:27" ht="15" customHeight="1">
      <c r="B143" s="245">
        <v>6</v>
      </c>
      <c r="C143" s="246"/>
      <c r="D143" s="246"/>
      <c r="E143" s="247"/>
      <c r="F143" s="248"/>
      <c r="G143" s="266" t="str">
        <f t="shared" si="35"/>
        <v>X515JA</v>
      </c>
      <c r="H143" s="248" t="s">
        <v>103</v>
      </c>
      <c r="I143" s="248" t="s">
        <v>103</v>
      </c>
      <c r="J143" s="250" t="s">
        <v>153</v>
      </c>
      <c r="K143" s="251" t="s">
        <v>217</v>
      </c>
      <c r="L143" s="250">
        <v>1</v>
      </c>
      <c r="M143" s="252" t="s">
        <v>162</v>
      </c>
      <c r="N143" s="253"/>
      <c r="O143" s="253">
        <v>13198</v>
      </c>
      <c r="P143" s="253"/>
      <c r="Q143" s="254">
        <v>1000</v>
      </c>
      <c r="R143" s="254">
        <v>500</v>
      </c>
      <c r="S143" s="254">
        <v>800</v>
      </c>
      <c r="T143" s="254">
        <v>2500</v>
      </c>
      <c r="U143" s="254">
        <v>698</v>
      </c>
      <c r="V143" s="254">
        <v>0</v>
      </c>
      <c r="W143" s="254">
        <v>0</v>
      </c>
      <c r="X143" s="254">
        <v>0</v>
      </c>
      <c r="Y143" s="254">
        <v>0</v>
      </c>
      <c r="Z143" s="248">
        <f t="shared" si="34"/>
        <v>5498</v>
      </c>
    </row>
    <row r="144" spans="1:27" ht="15" customHeight="1">
      <c r="B144" s="245">
        <v>7</v>
      </c>
      <c r="C144" s="246"/>
      <c r="D144" s="246"/>
      <c r="E144" s="247"/>
      <c r="F144" s="248"/>
      <c r="G144" s="266" t="str">
        <f t="shared" si="35"/>
        <v>X515JA</v>
      </c>
      <c r="H144" s="248" t="s">
        <v>103</v>
      </c>
      <c r="I144" s="248" t="s">
        <v>103</v>
      </c>
      <c r="J144" s="250" t="s">
        <v>153</v>
      </c>
      <c r="K144" s="251" t="s">
        <v>216</v>
      </c>
      <c r="L144" s="250">
        <v>3</v>
      </c>
      <c r="M144" s="252" t="s">
        <v>151</v>
      </c>
      <c r="N144" s="253"/>
      <c r="O144" s="253">
        <v>29097</v>
      </c>
      <c r="P144" s="253"/>
      <c r="Q144" s="254">
        <v>3000</v>
      </c>
      <c r="R144" s="254">
        <v>1500</v>
      </c>
      <c r="S144" s="254">
        <v>2400</v>
      </c>
      <c r="T144" s="254">
        <v>7500</v>
      </c>
      <c r="U144" s="254">
        <v>0</v>
      </c>
      <c r="V144" s="254">
        <v>0</v>
      </c>
      <c r="W144" s="254">
        <v>0</v>
      </c>
      <c r="X144" s="254">
        <v>0</v>
      </c>
      <c r="Y144" s="254">
        <v>0</v>
      </c>
      <c r="Z144" s="248">
        <f t="shared" si="34"/>
        <v>14400</v>
      </c>
    </row>
    <row r="145" spans="1:26" ht="15" customHeight="1">
      <c r="B145" s="245">
        <v>1</v>
      </c>
      <c r="C145" s="152"/>
      <c r="D145" s="152"/>
      <c r="E145" s="195"/>
      <c r="F145" s="147"/>
      <c r="G145" s="266" t="str">
        <f t="shared" si="35"/>
        <v>X515JA</v>
      </c>
      <c r="H145" s="147" t="s">
        <v>20</v>
      </c>
      <c r="I145" s="196" t="s">
        <v>142</v>
      </c>
      <c r="J145" s="196" t="s">
        <v>153</v>
      </c>
      <c r="K145" s="201" t="s">
        <v>212</v>
      </c>
      <c r="L145" s="196">
        <v>1</v>
      </c>
      <c r="M145" s="203" t="s">
        <v>146</v>
      </c>
      <c r="N145" s="253"/>
      <c r="O145" s="253">
        <v>9136</v>
      </c>
      <c r="P145" s="253"/>
      <c r="Q145" s="129">
        <f t="shared" ref="Q145:Y151" si="36">(Q$137*$L145)-Q138</f>
        <v>-1000</v>
      </c>
      <c r="R145" s="129">
        <f t="shared" si="36"/>
        <v>0</v>
      </c>
      <c r="S145" s="129">
        <f t="shared" si="36"/>
        <v>0</v>
      </c>
      <c r="T145" s="129">
        <f t="shared" si="36"/>
        <v>0</v>
      </c>
      <c r="U145" s="129">
        <f t="shared" si="36"/>
        <v>0</v>
      </c>
      <c r="V145" s="129">
        <f t="shared" si="36"/>
        <v>0</v>
      </c>
      <c r="W145" s="129">
        <f t="shared" si="36"/>
        <v>0</v>
      </c>
      <c r="X145" s="129">
        <f t="shared" si="36"/>
        <v>0</v>
      </c>
      <c r="Y145" s="129" t="e">
        <f t="shared" si="36"/>
        <v>#REF!</v>
      </c>
      <c r="Z145" s="147" t="e">
        <f t="shared" si="34"/>
        <v>#REF!</v>
      </c>
    </row>
    <row r="146" spans="1:26" ht="15" customHeight="1">
      <c r="B146" s="245">
        <v>2</v>
      </c>
      <c r="C146" s="152"/>
      <c r="D146" s="152"/>
      <c r="E146" s="195"/>
      <c r="F146" s="147"/>
      <c r="G146" s="266" t="str">
        <f t="shared" si="35"/>
        <v>X515JA</v>
      </c>
      <c r="H146" s="147" t="s">
        <v>20</v>
      </c>
      <c r="I146" s="196" t="s">
        <v>142</v>
      </c>
      <c r="J146" s="196" t="s">
        <v>153</v>
      </c>
      <c r="K146" s="202" t="s">
        <v>213</v>
      </c>
      <c r="L146" s="196">
        <v>1</v>
      </c>
      <c r="M146" s="203" t="s">
        <v>149</v>
      </c>
      <c r="N146" s="253"/>
      <c r="O146" s="253">
        <v>86720</v>
      </c>
      <c r="P146" s="253"/>
      <c r="Q146" s="129">
        <f t="shared" si="36"/>
        <v>-1000</v>
      </c>
      <c r="R146" s="129">
        <f t="shared" si="36"/>
        <v>-500</v>
      </c>
      <c r="S146" s="129">
        <f t="shared" si="36"/>
        <v>-800</v>
      </c>
      <c r="T146" s="129">
        <f t="shared" si="36"/>
        <v>0</v>
      </c>
      <c r="U146" s="129">
        <f t="shared" si="36"/>
        <v>0</v>
      </c>
      <c r="V146" s="129">
        <f t="shared" si="36"/>
        <v>0</v>
      </c>
      <c r="W146" s="129">
        <f t="shared" si="36"/>
        <v>0</v>
      </c>
      <c r="X146" s="129">
        <f t="shared" si="36"/>
        <v>0</v>
      </c>
      <c r="Y146" s="129" t="e">
        <f t="shared" si="36"/>
        <v>#REF!</v>
      </c>
      <c r="Z146" s="147" t="e">
        <f t="shared" si="34"/>
        <v>#REF!</v>
      </c>
    </row>
    <row r="147" spans="1:26" ht="15" customHeight="1">
      <c r="B147" s="245">
        <v>3</v>
      </c>
      <c r="C147" s="152"/>
      <c r="D147" s="152"/>
      <c r="E147" s="195"/>
      <c r="F147" s="147"/>
      <c r="G147" s="266" t="str">
        <f t="shared" si="35"/>
        <v>X515JA</v>
      </c>
      <c r="H147" s="147" t="s">
        <v>20</v>
      </c>
      <c r="I147" s="196" t="s">
        <v>142</v>
      </c>
      <c r="J147" s="196" t="s">
        <v>153</v>
      </c>
      <c r="K147" s="202" t="s">
        <v>214</v>
      </c>
      <c r="L147" s="196">
        <v>1</v>
      </c>
      <c r="M147" s="203" t="s">
        <v>144</v>
      </c>
      <c r="N147" s="253"/>
      <c r="O147" s="253">
        <v>11770</v>
      </c>
      <c r="P147" s="253"/>
      <c r="Q147" s="129">
        <f t="shared" si="36"/>
        <v>-1000</v>
      </c>
      <c r="R147" s="129">
        <f t="shared" si="36"/>
        <v>0</v>
      </c>
      <c r="S147" s="129">
        <f t="shared" si="36"/>
        <v>0</v>
      </c>
      <c r="T147" s="129">
        <f t="shared" si="36"/>
        <v>0</v>
      </c>
      <c r="U147" s="129">
        <f t="shared" si="36"/>
        <v>0</v>
      </c>
      <c r="V147" s="129">
        <f t="shared" si="36"/>
        <v>0</v>
      </c>
      <c r="W147" s="129">
        <f t="shared" si="36"/>
        <v>0</v>
      </c>
      <c r="X147" s="129">
        <f t="shared" si="36"/>
        <v>0</v>
      </c>
      <c r="Y147" s="129" t="e">
        <f t="shared" si="36"/>
        <v>#REF!</v>
      </c>
      <c r="Z147" s="147" t="e">
        <f t="shared" si="34"/>
        <v>#REF!</v>
      </c>
    </row>
    <row r="148" spans="1:26" ht="15" customHeight="1">
      <c r="B148" s="245">
        <v>4</v>
      </c>
      <c r="C148" s="152"/>
      <c r="D148" s="152"/>
      <c r="E148" s="195"/>
      <c r="F148" s="147"/>
      <c r="G148" s="266" t="str">
        <f t="shared" si="35"/>
        <v>X515JA</v>
      </c>
      <c r="H148" s="147" t="s">
        <v>20</v>
      </c>
      <c r="I148" s="196" t="s">
        <v>142</v>
      </c>
      <c r="J148" s="196" t="s">
        <v>153</v>
      </c>
      <c r="K148" s="201" t="s">
        <v>154</v>
      </c>
      <c r="L148" s="196">
        <v>1</v>
      </c>
      <c r="M148" s="203" t="s">
        <v>150</v>
      </c>
      <c r="N148" s="253"/>
      <c r="O148" s="253">
        <v>12554</v>
      </c>
      <c r="P148" s="253"/>
      <c r="Q148" s="129">
        <f t="shared" si="36"/>
        <v>-1000</v>
      </c>
      <c r="R148" s="129">
        <f t="shared" si="36"/>
        <v>0</v>
      </c>
      <c r="S148" s="129">
        <f t="shared" si="36"/>
        <v>0</v>
      </c>
      <c r="T148" s="129">
        <f t="shared" si="36"/>
        <v>0</v>
      </c>
      <c r="U148" s="129">
        <f t="shared" si="36"/>
        <v>0</v>
      </c>
      <c r="V148" s="129">
        <f t="shared" si="36"/>
        <v>0</v>
      </c>
      <c r="W148" s="129">
        <f t="shared" si="36"/>
        <v>0</v>
      </c>
      <c r="X148" s="129">
        <f t="shared" si="36"/>
        <v>0</v>
      </c>
      <c r="Y148" s="129" t="e">
        <f t="shared" si="36"/>
        <v>#REF!</v>
      </c>
      <c r="Z148" s="147" t="e">
        <f t="shared" si="34"/>
        <v>#REF!</v>
      </c>
    </row>
    <row r="149" spans="1:26" ht="15" customHeight="1">
      <c r="B149" s="245">
        <v>5</v>
      </c>
      <c r="C149" s="152"/>
      <c r="D149" s="152"/>
      <c r="E149" s="195"/>
      <c r="F149" s="147"/>
      <c r="G149" s="266" t="str">
        <f t="shared" si="35"/>
        <v>X515JA</v>
      </c>
      <c r="H149" s="147" t="s">
        <v>20</v>
      </c>
      <c r="I149" s="196" t="s">
        <v>142</v>
      </c>
      <c r="J149" s="196" t="s">
        <v>153</v>
      </c>
      <c r="K149" s="201" t="s">
        <v>215</v>
      </c>
      <c r="L149" s="196">
        <v>1</v>
      </c>
      <c r="M149" s="203" t="s">
        <v>147</v>
      </c>
      <c r="N149" s="253"/>
      <c r="O149" s="253">
        <v>4568</v>
      </c>
      <c r="P149" s="253"/>
      <c r="Q149" s="129">
        <f t="shared" si="36"/>
        <v>0</v>
      </c>
      <c r="R149" s="129">
        <f t="shared" si="36"/>
        <v>0</v>
      </c>
      <c r="S149" s="129">
        <f t="shared" si="36"/>
        <v>0</v>
      </c>
      <c r="T149" s="129">
        <f t="shared" si="36"/>
        <v>0</v>
      </c>
      <c r="U149" s="129">
        <f t="shared" si="36"/>
        <v>0</v>
      </c>
      <c r="V149" s="129">
        <f t="shared" si="36"/>
        <v>0</v>
      </c>
      <c r="W149" s="129">
        <f t="shared" si="36"/>
        <v>0</v>
      </c>
      <c r="X149" s="129">
        <f t="shared" si="36"/>
        <v>0</v>
      </c>
      <c r="Y149" s="129" t="e">
        <f t="shared" si="36"/>
        <v>#REF!</v>
      </c>
      <c r="Z149" s="147" t="e">
        <f t="shared" si="34"/>
        <v>#REF!</v>
      </c>
    </row>
    <row r="150" spans="1:26" s="230" customFormat="1" ht="15" customHeight="1">
      <c r="A150" s="144"/>
      <c r="B150" s="245">
        <v>6</v>
      </c>
      <c r="C150" s="152"/>
      <c r="D150" s="152"/>
      <c r="E150" s="195"/>
      <c r="F150" s="147"/>
      <c r="G150" s="266" t="str">
        <f t="shared" si="35"/>
        <v>X515JA</v>
      </c>
      <c r="H150" s="147" t="s">
        <v>20</v>
      </c>
      <c r="I150" s="196" t="s">
        <v>142</v>
      </c>
      <c r="J150" s="196" t="s">
        <v>153</v>
      </c>
      <c r="K150" s="201" t="s">
        <v>217</v>
      </c>
      <c r="L150" s="196">
        <v>1</v>
      </c>
      <c r="M150" s="203" t="s">
        <v>162</v>
      </c>
      <c r="N150" s="253"/>
      <c r="O150" s="253">
        <v>13198</v>
      </c>
      <c r="P150" s="253"/>
      <c r="Q150" s="129">
        <f t="shared" si="36"/>
        <v>-1000</v>
      </c>
      <c r="R150" s="129">
        <f t="shared" si="36"/>
        <v>-500</v>
      </c>
      <c r="S150" s="129">
        <f t="shared" si="36"/>
        <v>-800</v>
      </c>
      <c r="T150" s="129">
        <f t="shared" si="36"/>
        <v>-2500</v>
      </c>
      <c r="U150" s="129">
        <f t="shared" si="36"/>
        <v>-698</v>
      </c>
      <c r="V150" s="129">
        <f t="shared" si="36"/>
        <v>0</v>
      </c>
      <c r="W150" s="129">
        <f t="shared" si="36"/>
        <v>0</v>
      </c>
      <c r="X150" s="129">
        <f t="shared" si="36"/>
        <v>0</v>
      </c>
      <c r="Y150" s="129" t="e">
        <f t="shared" si="36"/>
        <v>#REF!</v>
      </c>
      <c r="Z150" s="147" t="e">
        <f t="shared" si="34"/>
        <v>#REF!</v>
      </c>
    </row>
    <row r="151" spans="1:26" s="230" customFormat="1" ht="15" customHeight="1">
      <c r="A151" s="144"/>
      <c r="B151" s="245">
        <v>7</v>
      </c>
      <c r="C151" s="152"/>
      <c r="D151" s="152"/>
      <c r="E151" s="195"/>
      <c r="F151" s="147"/>
      <c r="G151" s="266" t="str">
        <f t="shared" si="35"/>
        <v>X515JA</v>
      </c>
      <c r="H151" s="147" t="s">
        <v>20</v>
      </c>
      <c r="I151" s="196" t="s">
        <v>142</v>
      </c>
      <c r="J151" s="196" t="s">
        <v>153</v>
      </c>
      <c r="K151" s="201" t="s">
        <v>216</v>
      </c>
      <c r="L151" s="196">
        <v>3</v>
      </c>
      <c r="M151" s="203" t="s">
        <v>151</v>
      </c>
      <c r="N151" s="253"/>
      <c r="O151" s="253">
        <v>29097</v>
      </c>
      <c r="P151" s="253"/>
      <c r="Q151" s="129">
        <f t="shared" si="36"/>
        <v>-3000</v>
      </c>
      <c r="R151" s="129">
        <f t="shared" si="36"/>
        <v>-1500</v>
      </c>
      <c r="S151" s="129">
        <f t="shared" si="36"/>
        <v>-2400</v>
      </c>
      <c r="T151" s="129">
        <f t="shared" si="36"/>
        <v>-7500</v>
      </c>
      <c r="U151" s="129">
        <f t="shared" si="36"/>
        <v>0</v>
      </c>
      <c r="V151" s="129">
        <f t="shared" si="36"/>
        <v>0</v>
      </c>
      <c r="W151" s="129">
        <f t="shared" si="36"/>
        <v>0</v>
      </c>
      <c r="X151" s="129">
        <f t="shared" si="36"/>
        <v>0</v>
      </c>
      <c r="Y151" s="129" t="e">
        <f t="shared" si="36"/>
        <v>#REF!</v>
      </c>
      <c r="Z151" s="147" t="e">
        <f t="shared" si="34"/>
        <v>#REF!</v>
      </c>
    </row>
    <row r="152" spans="1:26" s="230" customFormat="1" ht="15" customHeight="1">
      <c r="A152" s="144"/>
      <c r="B152" s="244" t="e">
        <f>SUM(Q152:Y152)</f>
        <v>#REF!</v>
      </c>
      <c r="C152" s="244" t="s">
        <v>100</v>
      </c>
      <c r="D152" s="244" t="s">
        <v>229</v>
      </c>
      <c r="E152" s="244" t="s">
        <v>22</v>
      </c>
      <c r="F152" s="244" t="e">
        <f>SUM(N152:Y152)</f>
        <v>#REF!</v>
      </c>
      <c r="G152" s="244" t="s">
        <v>110</v>
      </c>
      <c r="H152" s="244"/>
      <c r="I152" s="244"/>
      <c r="J152" s="244"/>
      <c r="K152" s="244"/>
      <c r="L152" s="244"/>
      <c r="M152" s="244"/>
      <c r="N152" s="244"/>
      <c r="O152" s="244"/>
      <c r="P152" s="244"/>
      <c r="Q152" s="244">
        <f>SUMIFS(MB!R:R,MB!$F:$F,$G:$G,MB!$D:$D,"FCST")</f>
        <v>0</v>
      </c>
      <c r="R152" s="244">
        <f>SUMIFS(MB!S:S,MB!$F:$F,$G:$G,MB!$D:$D,"FCST")</f>
        <v>0</v>
      </c>
      <c r="S152" s="244">
        <f>SUMIFS(MB!T:T,MB!$F:$F,$G:$G,MB!$D:$D,"FCST")</f>
        <v>0</v>
      </c>
      <c r="T152" s="244">
        <f>SUMIFS(MB!U:U,MB!$F:$F,$G:$G,MB!$D:$D,"FCST")</f>
        <v>0</v>
      </c>
      <c r="U152" s="244">
        <f>SUMIFS(MB!V:V,MB!$F:$F,$G:$G,MB!$D:$D,"FCST")</f>
        <v>0</v>
      </c>
      <c r="V152" s="244">
        <f>SUMIFS(MB!W:W,MB!$F:$F,$G:$G,MB!$D:$D,"FCST")</f>
        <v>0</v>
      </c>
      <c r="W152" s="244">
        <f>SUMIFS(MB!X:X,MB!$F:$F,$G:$G,MB!$D:$D,"FCST")</f>
        <v>0</v>
      </c>
      <c r="X152" s="244">
        <f>SUMIFS(MB!Y:Y,MB!$F:$F,$G:$G,MB!$D:$D,"FCST")</f>
        <v>0</v>
      </c>
      <c r="Y152" s="244" t="e">
        <f>SUMIFS(MB!#REF!,MB!$F:$F,$G:$G,MB!$D:$D,"FCST")</f>
        <v>#REF!</v>
      </c>
      <c r="Z152" s="244"/>
    </row>
    <row r="153" spans="1:26" s="230" customFormat="1" ht="15" customHeight="1">
      <c r="A153" s="144"/>
      <c r="B153" s="245">
        <v>1</v>
      </c>
      <c r="C153" s="246"/>
      <c r="D153" s="246"/>
      <c r="E153" s="247"/>
      <c r="F153" s="248"/>
      <c r="G153" s="249" t="str">
        <f>$G$152</f>
        <v>X515JF</v>
      </c>
      <c r="H153" s="248" t="s">
        <v>103</v>
      </c>
      <c r="I153" s="248" t="s">
        <v>103</v>
      </c>
      <c r="J153" s="250" t="s">
        <v>153</v>
      </c>
      <c r="K153" s="255" t="s">
        <v>212</v>
      </c>
      <c r="L153" s="250">
        <v>1</v>
      </c>
      <c r="M153" s="252" t="s">
        <v>146</v>
      </c>
      <c r="N153" s="253"/>
      <c r="O153" s="253">
        <v>9136</v>
      </c>
      <c r="P153" s="253"/>
      <c r="Q153" s="254">
        <v>1000</v>
      </c>
      <c r="R153" s="254">
        <v>0</v>
      </c>
      <c r="S153" s="254">
        <v>0</v>
      </c>
      <c r="T153" s="254">
        <v>0</v>
      </c>
      <c r="U153" s="254">
        <v>0</v>
      </c>
      <c r="V153" s="254">
        <v>0</v>
      </c>
      <c r="W153" s="254">
        <v>0</v>
      </c>
      <c r="X153" s="254">
        <v>0</v>
      </c>
      <c r="Y153" s="254">
        <v>0</v>
      </c>
      <c r="Z153" s="248">
        <f t="shared" ref="Z153:Z166" si="37">SUM(Q153:Y153)</f>
        <v>1000</v>
      </c>
    </row>
    <row r="154" spans="1:26" s="230" customFormat="1" ht="15" customHeight="1">
      <c r="A154" s="144"/>
      <c r="B154" s="245">
        <v>2</v>
      </c>
      <c r="C154" s="246"/>
      <c r="D154" s="246"/>
      <c r="E154" s="247"/>
      <c r="F154" s="248"/>
      <c r="G154" s="249" t="str">
        <f t="shared" ref="G154:G166" si="38">$G$152</f>
        <v>X515JF</v>
      </c>
      <c r="H154" s="248" t="s">
        <v>103</v>
      </c>
      <c r="I154" s="248" t="s">
        <v>103</v>
      </c>
      <c r="J154" s="250" t="s">
        <v>153</v>
      </c>
      <c r="K154" s="255" t="s">
        <v>213</v>
      </c>
      <c r="L154" s="250">
        <v>1</v>
      </c>
      <c r="M154" s="252" t="s">
        <v>149</v>
      </c>
      <c r="N154" s="253"/>
      <c r="O154" s="253">
        <v>86720</v>
      </c>
      <c r="P154" s="253"/>
      <c r="Q154" s="254">
        <v>1000</v>
      </c>
      <c r="R154" s="254">
        <v>1500</v>
      </c>
      <c r="S154" s="254">
        <v>1500</v>
      </c>
      <c r="T154" s="254">
        <v>0</v>
      </c>
      <c r="U154" s="254">
        <v>0</v>
      </c>
      <c r="V154" s="254">
        <v>0</v>
      </c>
      <c r="W154" s="254">
        <v>0</v>
      </c>
      <c r="X154" s="254">
        <v>0</v>
      </c>
      <c r="Y154" s="254">
        <v>0</v>
      </c>
      <c r="Z154" s="248">
        <f t="shared" si="37"/>
        <v>4000</v>
      </c>
    </row>
    <row r="155" spans="1:26" s="230" customFormat="1" ht="15" customHeight="1">
      <c r="A155" s="144"/>
      <c r="B155" s="245">
        <v>3</v>
      </c>
      <c r="C155" s="246"/>
      <c r="D155" s="246"/>
      <c r="E155" s="247"/>
      <c r="F155" s="248"/>
      <c r="G155" s="249" t="str">
        <f t="shared" si="38"/>
        <v>X515JF</v>
      </c>
      <c r="H155" s="248" t="s">
        <v>103</v>
      </c>
      <c r="I155" s="248" t="s">
        <v>103</v>
      </c>
      <c r="J155" s="250" t="s">
        <v>153</v>
      </c>
      <c r="K155" s="251" t="s">
        <v>214</v>
      </c>
      <c r="L155" s="250">
        <v>1</v>
      </c>
      <c r="M155" s="252" t="s">
        <v>144</v>
      </c>
      <c r="N155" s="253"/>
      <c r="O155" s="253">
        <v>11770</v>
      </c>
      <c r="P155" s="253"/>
      <c r="Q155" s="254">
        <v>1000</v>
      </c>
      <c r="R155" s="254">
        <v>0</v>
      </c>
      <c r="S155" s="254">
        <v>0</v>
      </c>
      <c r="T155" s="254">
        <v>0</v>
      </c>
      <c r="U155" s="254">
        <v>0</v>
      </c>
      <c r="V155" s="254">
        <v>0</v>
      </c>
      <c r="W155" s="254">
        <v>0</v>
      </c>
      <c r="X155" s="254">
        <v>0</v>
      </c>
      <c r="Y155" s="254">
        <v>0</v>
      </c>
      <c r="Z155" s="248">
        <f t="shared" si="37"/>
        <v>1000</v>
      </c>
    </row>
    <row r="156" spans="1:26" s="230" customFormat="1" ht="15" customHeight="1">
      <c r="A156" s="144"/>
      <c r="B156" s="245">
        <v>4</v>
      </c>
      <c r="C156" s="246"/>
      <c r="D156" s="246"/>
      <c r="E156" s="247"/>
      <c r="F156" s="248"/>
      <c r="G156" s="249" t="str">
        <f t="shared" si="38"/>
        <v>X515JF</v>
      </c>
      <c r="H156" s="248" t="s">
        <v>103</v>
      </c>
      <c r="I156" s="248" t="s">
        <v>103</v>
      </c>
      <c r="J156" s="250" t="s">
        <v>153</v>
      </c>
      <c r="K156" s="251" t="s">
        <v>154</v>
      </c>
      <c r="L156" s="250">
        <v>1</v>
      </c>
      <c r="M156" s="252" t="s">
        <v>150</v>
      </c>
      <c r="N156" s="253"/>
      <c r="O156" s="253">
        <v>12554</v>
      </c>
      <c r="P156" s="253"/>
      <c r="Q156" s="254">
        <v>1000</v>
      </c>
      <c r="R156" s="254">
        <v>0</v>
      </c>
      <c r="S156" s="254">
        <v>0</v>
      </c>
      <c r="T156" s="254">
        <v>0</v>
      </c>
      <c r="U156" s="254">
        <v>0</v>
      </c>
      <c r="V156" s="254">
        <v>0</v>
      </c>
      <c r="W156" s="254">
        <v>0</v>
      </c>
      <c r="X156" s="254">
        <v>0</v>
      </c>
      <c r="Y156" s="254">
        <v>0</v>
      </c>
      <c r="Z156" s="248">
        <f t="shared" si="37"/>
        <v>1000</v>
      </c>
    </row>
    <row r="157" spans="1:26" s="230" customFormat="1" ht="15" customHeight="1">
      <c r="A157" s="144"/>
      <c r="B157" s="245">
        <v>5</v>
      </c>
      <c r="C157" s="246"/>
      <c r="D157" s="246"/>
      <c r="E157" s="247"/>
      <c r="F157" s="248"/>
      <c r="G157" s="249" t="str">
        <f t="shared" si="38"/>
        <v>X515JF</v>
      </c>
      <c r="H157" s="248" t="s">
        <v>103</v>
      </c>
      <c r="I157" s="248" t="s">
        <v>103</v>
      </c>
      <c r="J157" s="250" t="s">
        <v>153</v>
      </c>
      <c r="K157" s="251" t="s">
        <v>215</v>
      </c>
      <c r="L157" s="250">
        <v>1</v>
      </c>
      <c r="M157" s="252" t="s">
        <v>147</v>
      </c>
      <c r="N157" s="253"/>
      <c r="O157" s="253">
        <v>4568</v>
      </c>
      <c r="P157" s="253"/>
      <c r="Q157" s="254">
        <v>0</v>
      </c>
      <c r="R157" s="254">
        <v>0</v>
      </c>
      <c r="S157" s="254">
        <v>0</v>
      </c>
      <c r="T157" s="254">
        <v>0</v>
      </c>
      <c r="U157" s="254">
        <v>0</v>
      </c>
      <c r="V157" s="254">
        <v>0</v>
      </c>
      <c r="W157" s="254">
        <v>0</v>
      </c>
      <c r="X157" s="254">
        <v>0</v>
      </c>
      <c r="Y157" s="254">
        <v>0</v>
      </c>
      <c r="Z157" s="248">
        <f t="shared" si="37"/>
        <v>0</v>
      </c>
    </row>
    <row r="158" spans="1:26" s="230" customFormat="1" ht="15" customHeight="1">
      <c r="A158" s="144"/>
      <c r="B158" s="245">
        <v>6</v>
      </c>
      <c r="C158" s="246"/>
      <c r="D158" s="246"/>
      <c r="E158" s="247"/>
      <c r="F158" s="248"/>
      <c r="G158" s="249" t="str">
        <f t="shared" si="38"/>
        <v>X515JF</v>
      </c>
      <c r="H158" s="248" t="s">
        <v>103</v>
      </c>
      <c r="I158" s="248" t="s">
        <v>103</v>
      </c>
      <c r="J158" s="250" t="s">
        <v>153</v>
      </c>
      <c r="K158" s="251" t="s">
        <v>217</v>
      </c>
      <c r="L158" s="250">
        <v>1</v>
      </c>
      <c r="M158" s="252" t="s">
        <v>162</v>
      </c>
      <c r="N158" s="253"/>
      <c r="O158" s="253">
        <v>13198</v>
      </c>
      <c r="P158" s="253"/>
      <c r="Q158" s="254">
        <v>1000</v>
      </c>
      <c r="R158" s="254">
        <v>1500</v>
      </c>
      <c r="S158" s="254">
        <v>1500</v>
      </c>
      <c r="T158" s="254">
        <v>3700</v>
      </c>
      <c r="U158" s="254">
        <v>0</v>
      </c>
      <c r="V158" s="254">
        <v>0</v>
      </c>
      <c r="W158" s="254">
        <v>0</v>
      </c>
      <c r="X158" s="254">
        <v>0</v>
      </c>
      <c r="Y158" s="254">
        <v>0</v>
      </c>
      <c r="Z158" s="248">
        <f t="shared" si="37"/>
        <v>7700</v>
      </c>
    </row>
    <row r="159" spans="1:26" s="230" customFormat="1" ht="15" customHeight="1">
      <c r="A159" s="144"/>
      <c r="B159" s="245">
        <v>7</v>
      </c>
      <c r="C159" s="246"/>
      <c r="D159" s="246"/>
      <c r="E159" s="247"/>
      <c r="F159" s="248"/>
      <c r="G159" s="249" t="str">
        <f t="shared" si="38"/>
        <v>X515JF</v>
      </c>
      <c r="H159" s="248" t="s">
        <v>103</v>
      </c>
      <c r="I159" s="248" t="s">
        <v>103</v>
      </c>
      <c r="J159" s="250" t="s">
        <v>153</v>
      </c>
      <c r="K159" s="251" t="s">
        <v>216</v>
      </c>
      <c r="L159" s="250">
        <v>3</v>
      </c>
      <c r="M159" s="252" t="s">
        <v>151</v>
      </c>
      <c r="N159" s="253"/>
      <c r="O159" s="253">
        <v>29097</v>
      </c>
      <c r="P159" s="253"/>
      <c r="Q159" s="254">
        <v>3000</v>
      </c>
      <c r="R159" s="254">
        <v>4500</v>
      </c>
      <c r="S159" s="254">
        <v>4500</v>
      </c>
      <c r="T159" s="254">
        <v>2697</v>
      </c>
      <c r="U159" s="254">
        <v>0</v>
      </c>
      <c r="V159" s="254">
        <v>0</v>
      </c>
      <c r="W159" s="254">
        <v>0</v>
      </c>
      <c r="X159" s="254">
        <v>0</v>
      </c>
      <c r="Y159" s="254">
        <v>0</v>
      </c>
      <c r="Z159" s="248">
        <f t="shared" si="37"/>
        <v>14697</v>
      </c>
    </row>
    <row r="160" spans="1:26" s="230" customFormat="1" ht="15" customHeight="1">
      <c r="A160" s="144"/>
      <c r="B160" s="245">
        <v>1</v>
      </c>
      <c r="C160" s="152"/>
      <c r="D160" s="152"/>
      <c r="E160" s="195"/>
      <c r="F160" s="147"/>
      <c r="G160" s="249" t="str">
        <f t="shared" si="38"/>
        <v>X515JF</v>
      </c>
      <c r="H160" s="147" t="s">
        <v>20</v>
      </c>
      <c r="I160" s="196" t="s">
        <v>142</v>
      </c>
      <c r="J160" s="196" t="s">
        <v>153</v>
      </c>
      <c r="K160" s="202" t="s">
        <v>212</v>
      </c>
      <c r="L160" s="196">
        <v>1</v>
      </c>
      <c r="M160" s="203" t="s">
        <v>146</v>
      </c>
      <c r="N160" s="253"/>
      <c r="O160" s="253">
        <v>9136</v>
      </c>
      <c r="P160" s="253"/>
      <c r="Q160" s="129">
        <f t="shared" ref="Q160:Y166" si="39">(Q$152*$L160)-Q153</f>
        <v>-1000</v>
      </c>
      <c r="R160" s="129">
        <f t="shared" si="39"/>
        <v>0</v>
      </c>
      <c r="S160" s="129">
        <f t="shared" si="39"/>
        <v>0</v>
      </c>
      <c r="T160" s="129">
        <f t="shared" si="39"/>
        <v>0</v>
      </c>
      <c r="U160" s="129">
        <f t="shared" si="39"/>
        <v>0</v>
      </c>
      <c r="V160" s="129">
        <f t="shared" si="39"/>
        <v>0</v>
      </c>
      <c r="W160" s="129">
        <f t="shared" si="39"/>
        <v>0</v>
      </c>
      <c r="X160" s="129">
        <f t="shared" si="39"/>
        <v>0</v>
      </c>
      <c r="Y160" s="129" t="e">
        <f t="shared" si="39"/>
        <v>#REF!</v>
      </c>
      <c r="Z160" s="147" t="e">
        <f t="shared" si="37"/>
        <v>#REF!</v>
      </c>
    </row>
    <row r="161" spans="1:26" s="230" customFormat="1" ht="15" customHeight="1">
      <c r="A161" s="144"/>
      <c r="B161" s="245">
        <v>2</v>
      </c>
      <c r="C161" s="152"/>
      <c r="D161" s="152"/>
      <c r="E161" s="195"/>
      <c r="F161" s="147"/>
      <c r="G161" s="249" t="str">
        <f t="shared" si="38"/>
        <v>X515JF</v>
      </c>
      <c r="H161" s="147" t="s">
        <v>20</v>
      </c>
      <c r="I161" s="196" t="s">
        <v>142</v>
      </c>
      <c r="J161" s="196" t="s">
        <v>153</v>
      </c>
      <c r="K161" s="202" t="s">
        <v>213</v>
      </c>
      <c r="L161" s="196">
        <v>1</v>
      </c>
      <c r="M161" s="203" t="s">
        <v>149</v>
      </c>
      <c r="N161" s="253"/>
      <c r="O161" s="253">
        <v>86720</v>
      </c>
      <c r="P161" s="253"/>
      <c r="Q161" s="129">
        <f t="shared" si="39"/>
        <v>-1000</v>
      </c>
      <c r="R161" s="129">
        <f t="shared" si="39"/>
        <v>-1500</v>
      </c>
      <c r="S161" s="129">
        <f t="shared" si="39"/>
        <v>-1500</v>
      </c>
      <c r="T161" s="129">
        <f t="shared" si="39"/>
        <v>0</v>
      </c>
      <c r="U161" s="129">
        <f t="shared" si="39"/>
        <v>0</v>
      </c>
      <c r="V161" s="129">
        <f t="shared" si="39"/>
        <v>0</v>
      </c>
      <c r="W161" s="129">
        <f t="shared" si="39"/>
        <v>0</v>
      </c>
      <c r="X161" s="129">
        <f t="shared" si="39"/>
        <v>0</v>
      </c>
      <c r="Y161" s="129" t="e">
        <f t="shared" si="39"/>
        <v>#REF!</v>
      </c>
      <c r="Z161" s="147" t="e">
        <f t="shared" si="37"/>
        <v>#REF!</v>
      </c>
    </row>
    <row r="162" spans="1:26" s="230" customFormat="1" ht="15" customHeight="1">
      <c r="A162" s="144"/>
      <c r="B162" s="245">
        <v>3</v>
      </c>
      <c r="C162" s="152"/>
      <c r="D162" s="152"/>
      <c r="E162" s="195"/>
      <c r="F162" s="197"/>
      <c r="G162" s="249" t="str">
        <f t="shared" si="38"/>
        <v>X515JF</v>
      </c>
      <c r="H162" s="147" t="s">
        <v>20</v>
      </c>
      <c r="I162" s="196" t="s">
        <v>142</v>
      </c>
      <c r="J162" s="196" t="s">
        <v>153</v>
      </c>
      <c r="K162" s="201" t="s">
        <v>214</v>
      </c>
      <c r="L162" s="198">
        <v>1</v>
      </c>
      <c r="M162" s="204" t="s">
        <v>144</v>
      </c>
      <c r="N162" s="253"/>
      <c r="O162" s="253">
        <v>11770</v>
      </c>
      <c r="P162" s="253"/>
      <c r="Q162" s="129">
        <f t="shared" si="39"/>
        <v>-1000</v>
      </c>
      <c r="R162" s="129">
        <f t="shared" si="39"/>
        <v>0</v>
      </c>
      <c r="S162" s="129">
        <f t="shared" si="39"/>
        <v>0</v>
      </c>
      <c r="T162" s="129">
        <f t="shared" si="39"/>
        <v>0</v>
      </c>
      <c r="U162" s="129">
        <f t="shared" si="39"/>
        <v>0</v>
      </c>
      <c r="V162" s="129">
        <f t="shared" si="39"/>
        <v>0</v>
      </c>
      <c r="W162" s="129">
        <f t="shared" si="39"/>
        <v>0</v>
      </c>
      <c r="X162" s="129">
        <f t="shared" si="39"/>
        <v>0</v>
      </c>
      <c r="Y162" s="129" t="e">
        <f t="shared" si="39"/>
        <v>#REF!</v>
      </c>
      <c r="Z162" s="147" t="e">
        <f t="shared" si="37"/>
        <v>#REF!</v>
      </c>
    </row>
    <row r="163" spans="1:26" s="230" customFormat="1" ht="15" customHeight="1">
      <c r="A163" s="144"/>
      <c r="B163" s="245">
        <v>4</v>
      </c>
      <c r="C163" s="152"/>
      <c r="D163" s="152"/>
      <c r="E163" s="195"/>
      <c r="F163" s="197"/>
      <c r="G163" s="249" t="str">
        <f t="shared" si="38"/>
        <v>X515JF</v>
      </c>
      <c r="H163" s="147" t="s">
        <v>20</v>
      </c>
      <c r="I163" s="196" t="s">
        <v>142</v>
      </c>
      <c r="J163" s="196" t="s">
        <v>153</v>
      </c>
      <c r="K163" s="201" t="s">
        <v>154</v>
      </c>
      <c r="L163" s="198">
        <v>1</v>
      </c>
      <c r="M163" s="204" t="s">
        <v>150</v>
      </c>
      <c r="N163" s="253"/>
      <c r="O163" s="253">
        <v>12554</v>
      </c>
      <c r="P163" s="253"/>
      <c r="Q163" s="129">
        <f t="shared" si="39"/>
        <v>-1000</v>
      </c>
      <c r="R163" s="129">
        <f t="shared" si="39"/>
        <v>0</v>
      </c>
      <c r="S163" s="129">
        <f t="shared" si="39"/>
        <v>0</v>
      </c>
      <c r="T163" s="129">
        <f t="shared" si="39"/>
        <v>0</v>
      </c>
      <c r="U163" s="129">
        <f t="shared" si="39"/>
        <v>0</v>
      </c>
      <c r="V163" s="129">
        <f t="shared" si="39"/>
        <v>0</v>
      </c>
      <c r="W163" s="129">
        <f t="shared" si="39"/>
        <v>0</v>
      </c>
      <c r="X163" s="129">
        <f t="shared" si="39"/>
        <v>0</v>
      </c>
      <c r="Y163" s="129" t="e">
        <f t="shared" si="39"/>
        <v>#REF!</v>
      </c>
      <c r="Z163" s="147" t="e">
        <f t="shared" si="37"/>
        <v>#REF!</v>
      </c>
    </row>
    <row r="164" spans="1:26" s="230" customFormat="1" ht="15" customHeight="1">
      <c r="A164" s="144"/>
      <c r="B164" s="245">
        <v>5</v>
      </c>
      <c r="C164" s="152"/>
      <c r="D164" s="152"/>
      <c r="E164" s="195"/>
      <c r="F164" s="197"/>
      <c r="G164" s="249" t="str">
        <f t="shared" si="38"/>
        <v>X515JF</v>
      </c>
      <c r="H164" s="147" t="s">
        <v>20</v>
      </c>
      <c r="I164" s="196" t="s">
        <v>142</v>
      </c>
      <c r="J164" s="196" t="s">
        <v>153</v>
      </c>
      <c r="K164" s="201" t="s">
        <v>215</v>
      </c>
      <c r="L164" s="198">
        <v>1</v>
      </c>
      <c r="M164" s="204" t="s">
        <v>147</v>
      </c>
      <c r="N164" s="253"/>
      <c r="O164" s="253">
        <v>4568</v>
      </c>
      <c r="P164" s="253"/>
      <c r="Q164" s="129">
        <f t="shared" si="39"/>
        <v>0</v>
      </c>
      <c r="R164" s="129">
        <f t="shared" si="39"/>
        <v>0</v>
      </c>
      <c r="S164" s="129">
        <f t="shared" si="39"/>
        <v>0</v>
      </c>
      <c r="T164" s="129">
        <f t="shared" si="39"/>
        <v>0</v>
      </c>
      <c r="U164" s="129">
        <f t="shared" si="39"/>
        <v>0</v>
      </c>
      <c r="V164" s="129">
        <f t="shared" si="39"/>
        <v>0</v>
      </c>
      <c r="W164" s="129">
        <f t="shared" si="39"/>
        <v>0</v>
      </c>
      <c r="X164" s="129">
        <f t="shared" si="39"/>
        <v>0</v>
      </c>
      <c r="Y164" s="129" t="e">
        <f t="shared" si="39"/>
        <v>#REF!</v>
      </c>
      <c r="Z164" s="147" t="e">
        <f t="shared" si="37"/>
        <v>#REF!</v>
      </c>
    </row>
    <row r="165" spans="1:26" s="230" customFormat="1" ht="15" customHeight="1">
      <c r="A165" s="144"/>
      <c r="B165" s="245">
        <v>6</v>
      </c>
      <c r="C165" s="152"/>
      <c r="D165" s="152"/>
      <c r="E165" s="195"/>
      <c r="F165" s="197"/>
      <c r="G165" s="249" t="str">
        <f t="shared" si="38"/>
        <v>X515JF</v>
      </c>
      <c r="H165" s="147" t="s">
        <v>20</v>
      </c>
      <c r="I165" s="196" t="s">
        <v>142</v>
      </c>
      <c r="J165" s="196" t="s">
        <v>153</v>
      </c>
      <c r="K165" s="202" t="s">
        <v>217</v>
      </c>
      <c r="L165" s="198">
        <v>1</v>
      </c>
      <c r="M165" s="204" t="s">
        <v>162</v>
      </c>
      <c r="N165" s="253"/>
      <c r="O165" s="253">
        <v>13198</v>
      </c>
      <c r="P165" s="253"/>
      <c r="Q165" s="129">
        <f t="shared" si="39"/>
        <v>-1000</v>
      </c>
      <c r="R165" s="129">
        <f t="shared" si="39"/>
        <v>-1500</v>
      </c>
      <c r="S165" s="129">
        <f t="shared" si="39"/>
        <v>-1500</v>
      </c>
      <c r="T165" s="129">
        <f t="shared" si="39"/>
        <v>-3700</v>
      </c>
      <c r="U165" s="129">
        <f t="shared" si="39"/>
        <v>0</v>
      </c>
      <c r="V165" s="129">
        <f t="shared" si="39"/>
        <v>0</v>
      </c>
      <c r="W165" s="129">
        <f t="shared" si="39"/>
        <v>0</v>
      </c>
      <c r="X165" s="129">
        <f t="shared" si="39"/>
        <v>0</v>
      </c>
      <c r="Y165" s="129" t="e">
        <f t="shared" si="39"/>
        <v>#REF!</v>
      </c>
      <c r="Z165" s="147" t="e">
        <f t="shared" si="37"/>
        <v>#REF!</v>
      </c>
    </row>
    <row r="166" spans="1:26" s="230" customFormat="1" ht="15" customHeight="1">
      <c r="A166" s="144"/>
      <c r="B166" s="245">
        <v>7</v>
      </c>
      <c r="C166" s="152"/>
      <c r="D166" s="152"/>
      <c r="E166" s="195"/>
      <c r="F166" s="197"/>
      <c r="G166" s="249" t="str">
        <f t="shared" si="38"/>
        <v>X515JF</v>
      </c>
      <c r="H166" s="147" t="s">
        <v>20</v>
      </c>
      <c r="I166" s="196" t="s">
        <v>142</v>
      </c>
      <c r="J166" s="196" t="s">
        <v>153</v>
      </c>
      <c r="K166" s="201" t="s">
        <v>216</v>
      </c>
      <c r="L166" s="198">
        <v>3</v>
      </c>
      <c r="M166" s="204" t="s">
        <v>151</v>
      </c>
      <c r="N166" s="253"/>
      <c r="O166" s="253">
        <v>29097</v>
      </c>
      <c r="P166" s="253"/>
      <c r="Q166" s="129">
        <f t="shared" si="39"/>
        <v>-3000</v>
      </c>
      <c r="R166" s="129">
        <f t="shared" si="39"/>
        <v>-4500</v>
      </c>
      <c r="S166" s="129">
        <f t="shared" si="39"/>
        <v>-4500</v>
      </c>
      <c r="T166" s="129">
        <f t="shared" si="39"/>
        <v>-2697</v>
      </c>
      <c r="U166" s="129">
        <f t="shared" si="39"/>
        <v>0</v>
      </c>
      <c r="V166" s="129">
        <f t="shared" si="39"/>
        <v>0</v>
      </c>
      <c r="W166" s="129">
        <f t="shared" si="39"/>
        <v>0</v>
      </c>
      <c r="X166" s="129">
        <f t="shared" si="39"/>
        <v>0</v>
      </c>
      <c r="Y166" s="129" t="e">
        <f t="shared" si="39"/>
        <v>#REF!</v>
      </c>
      <c r="Z166" s="147" t="e">
        <f t="shared" si="37"/>
        <v>#REF!</v>
      </c>
    </row>
    <row r="167" spans="1:26" s="230" customFormat="1" ht="15" customHeight="1">
      <c r="A167" s="144"/>
      <c r="B167" s="244" t="e">
        <f>SUM(Q167:Y167)</f>
        <v>#REF!</v>
      </c>
      <c r="C167" s="244" t="s">
        <v>99</v>
      </c>
      <c r="D167" s="244" t="s">
        <v>232</v>
      </c>
      <c r="E167" s="244" t="s">
        <v>22</v>
      </c>
      <c r="F167" s="244" t="e">
        <f>SUM(N167:Y167)</f>
        <v>#REF!</v>
      </c>
      <c r="G167" s="244" t="s">
        <v>134</v>
      </c>
      <c r="H167" s="244"/>
      <c r="I167" s="244"/>
      <c r="J167" s="244"/>
      <c r="K167" s="244"/>
      <c r="L167" s="244"/>
      <c r="M167" s="244"/>
      <c r="N167" s="244"/>
      <c r="O167" s="244"/>
      <c r="P167" s="244"/>
      <c r="Q167" s="244">
        <f>SUMIFS(MB!R:R,MB!$F:$F,$G:$G,MB!$D:$D,"FCST")</f>
        <v>0</v>
      </c>
      <c r="R167" s="244">
        <f>SUMIFS(MB!S:S,MB!$F:$F,$G:$G,MB!$D:$D,"FCST")</f>
        <v>0</v>
      </c>
      <c r="S167" s="244">
        <f>SUMIFS(MB!T:T,MB!$F:$F,$G:$G,MB!$D:$D,"FCST")</f>
        <v>0</v>
      </c>
      <c r="T167" s="244">
        <f>SUMIFS(MB!U:U,MB!$F:$F,$G:$G,MB!$D:$D,"FCST")</f>
        <v>0</v>
      </c>
      <c r="U167" s="244">
        <f>SUMIFS(MB!V:V,MB!$F:$F,$G:$G,MB!$D:$D,"FCST")</f>
        <v>0</v>
      </c>
      <c r="V167" s="244">
        <f>SUMIFS(MB!W:W,MB!$F:$F,$G:$G,MB!$D:$D,"FCST")</f>
        <v>0</v>
      </c>
      <c r="W167" s="244">
        <f>SUMIFS(MB!X:X,MB!$F:$F,$G:$G,MB!$D:$D,"FCST")</f>
        <v>0</v>
      </c>
      <c r="X167" s="244">
        <f>SUMIFS(MB!Y:Y,MB!$F:$F,$G:$G,MB!$D:$D,"FCST")</f>
        <v>0</v>
      </c>
      <c r="Y167" s="244" t="e">
        <f>SUMIFS(MB!#REF!,MB!$F:$F,$G:$G,MB!$D:$D,"FCST")</f>
        <v>#REF!</v>
      </c>
      <c r="Z167" s="244"/>
    </row>
    <row r="168" spans="1:26" s="230" customFormat="1" ht="15" customHeight="1">
      <c r="A168" s="144"/>
      <c r="B168" s="245">
        <v>1</v>
      </c>
      <c r="C168" s="246"/>
      <c r="D168" s="246"/>
      <c r="E168" s="247"/>
      <c r="F168" s="261"/>
      <c r="G168" s="249" t="str">
        <f>$G$167</f>
        <v>X543MA</v>
      </c>
      <c r="H168" s="248" t="s">
        <v>103</v>
      </c>
      <c r="I168" s="250" t="s">
        <v>103</v>
      </c>
      <c r="J168" s="250" t="s">
        <v>153</v>
      </c>
      <c r="K168" s="255" t="s">
        <v>212</v>
      </c>
      <c r="L168" s="262">
        <v>1</v>
      </c>
      <c r="M168" s="263" t="s">
        <v>146</v>
      </c>
      <c r="N168" s="253"/>
      <c r="O168" s="253">
        <v>9136</v>
      </c>
      <c r="P168" s="253"/>
      <c r="Q168" s="254">
        <v>7136</v>
      </c>
      <c r="R168" s="254">
        <v>0</v>
      </c>
      <c r="S168" s="254">
        <v>0</v>
      </c>
      <c r="T168" s="254">
        <v>0</v>
      </c>
      <c r="U168" s="254">
        <v>0</v>
      </c>
      <c r="V168" s="254">
        <v>0</v>
      </c>
      <c r="W168" s="254">
        <v>0</v>
      </c>
      <c r="X168" s="254">
        <v>0</v>
      </c>
      <c r="Y168" s="254">
        <v>0</v>
      </c>
      <c r="Z168" s="248">
        <f t="shared" ref="Z168:Z181" si="40">SUM(Q168:Y168)</f>
        <v>7136</v>
      </c>
    </row>
    <row r="169" spans="1:26" s="230" customFormat="1" ht="15" customHeight="1">
      <c r="A169" s="144"/>
      <c r="B169" s="245">
        <v>2</v>
      </c>
      <c r="C169" s="246"/>
      <c r="D169" s="246"/>
      <c r="E169" s="247"/>
      <c r="F169" s="261"/>
      <c r="G169" s="249" t="str">
        <f t="shared" ref="G169:G181" si="41">$G$167</f>
        <v>X543MA</v>
      </c>
      <c r="H169" s="248" t="s">
        <v>103</v>
      </c>
      <c r="I169" s="250" t="s">
        <v>103</v>
      </c>
      <c r="J169" s="250" t="s">
        <v>153</v>
      </c>
      <c r="K169" s="251" t="s">
        <v>213</v>
      </c>
      <c r="L169" s="262">
        <v>1</v>
      </c>
      <c r="M169" s="263" t="s">
        <v>149</v>
      </c>
      <c r="N169" s="253"/>
      <c r="O169" s="253">
        <v>86720</v>
      </c>
      <c r="P169" s="253"/>
      <c r="Q169" s="254">
        <v>7200</v>
      </c>
      <c r="R169" s="254">
        <v>7050</v>
      </c>
      <c r="S169" s="254">
        <v>6200</v>
      </c>
      <c r="T169" s="254">
        <v>4420</v>
      </c>
      <c r="U169" s="254">
        <v>0</v>
      </c>
      <c r="V169" s="254">
        <v>0</v>
      </c>
      <c r="W169" s="254">
        <v>0</v>
      </c>
      <c r="X169" s="254">
        <v>0</v>
      </c>
      <c r="Y169" s="254">
        <v>0</v>
      </c>
      <c r="Z169" s="248">
        <f t="shared" si="40"/>
        <v>24870</v>
      </c>
    </row>
    <row r="170" spans="1:26" s="230" customFormat="1" ht="15" customHeight="1">
      <c r="A170" s="144"/>
      <c r="B170" s="245">
        <v>3</v>
      </c>
      <c r="C170" s="246"/>
      <c r="D170" s="246"/>
      <c r="E170" s="247"/>
      <c r="F170" s="261"/>
      <c r="G170" s="249" t="str">
        <f t="shared" si="41"/>
        <v>X543MA</v>
      </c>
      <c r="H170" s="248" t="s">
        <v>103</v>
      </c>
      <c r="I170" s="250" t="s">
        <v>103</v>
      </c>
      <c r="J170" s="250" t="s">
        <v>153</v>
      </c>
      <c r="K170" s="251" t="s">
        <v>214</v>
      </c>
      <c r="L170" s="262">
        <v>1</v>
      </c>
      <c r="M170" s="263" t="s">
        <v>144</v>
      </c>
      <c r="N170" s="253"/>
      <c r="O170" s="253">
        <v>11770</v>
      </c>
      <c r="P170" s="253"/>
      <c r="Q170" s="254">
        <v>3820</v>
      </c>
      <c r="R170" s="254">
        <v>0</v>
      </c>
      <c r="S170" s="254">
        <v>0</v>
      </c>
      <c r="T170" s="254">
        <v>0</v>
      </c>
      <c r="U170" s="254">
        <v>0</v>
      </c>
      <c r="V170" s="254">
        <v>0</v>
      </c>
      <c r="W170" s="254">
        <v>0</v>
      </c>
      <c r="X170" s="254">
        <v>0</v>
      </c>
      <c r="Y170" s="254">
        <v>0</v>
      </c>
      <c r="Z170" s="248">
        <f t="shared" si="40"/>
        <v>3820</v>
      </c>
    </row>
    <row r="171" spans="1:26" s="230" customFormat="1" ht="15" customHeight="1">
      <c r="A171" s="144"/>
      <c r="B171" s="245">
        <v>4</v>
      </c>
      <c r="C171" s="246"/>
      <c r="D171" s="246"/>
      <c r="E171" s="247"/>
      <c r="F171" s="261"/>
      <c r="G171" s="249" t="str">
        <f t="shared" si="41"/>
        <v>X543MA</v>
      </c>
      <c r="H171" s="248" t="s">
        <v>103</v>
      </c>
      <c r="I171" s="250" t="s">
        <v>103</v>
      </c>
      <c r="J171" s="250" t="s">
        <v>153</v>
      </c>
      <c r="K171" s="251" t="s">
        <v>154</v>
      </c>
      <c r="L171" s="262">
        <v>1</v>
      </c>
      <c r="M171" s="263" t="s">
        <v>150</v>
      </c>
      <c r="N171" s="253"/>
      <c r="O171" s="253">
        <v>12554</v>
      </c>
      <c r="P171" s="253"/>
      <c r="Q171" s="254">
        <v>4604</v>
      </c>
      <c r="R171" s="254">
        <v>0</v>
      </c>
      <c r="S171" s="254">
        <v>0</v>
      </c>
      <c r="T171" s="254">
        <v>0</v>
      </c>
      <c r="U171" s="254">
        <v>0</v>
      </c>
      <c r="V171" s="254">
        <v>0</v>
      </c>
      <c r="W171" s="254">
        <v>0</v>
      </c>
      <c r="X171" s="254">
        <v>0</v>
      </c>
      <c r="Y171" s="254">
        <v>0</v>
      </c>
      <c r="Z171" s="248">
        <f t="shared" si="40"/>
        <v>4604</v>
      </c>
    </row>
    <row r="172" spans="1:26" s="230" customFormat="1" ht="15" customHeight="1">
      <c r="A172" s="144"/>
      <c r="B172" s="245">
        <v>5</v>
      </c>
      <c r="C172" s="246"/>
      <c r="D172" s="246"/>
      <c r="E172" s="247"/>
      <c r="F172" s="261"/>
      <c r="G172" s="249" t="str">
        <f t="shared" si="41"/>
        <v>X543MA</v>
      </c>
      <c r="H172" s="248" t="s">
        <v>103</v>
      </c>
      <c r="I172" s="250" t="s">
        <v>103</v>
      </c>
      <c r="J172" s="250" t="s">
        <v>153</v>
      </c>
      <c r="K172" s="255" t="s">
        <v>215</v>
      </c>
      <c r="L172" s="262">
        <v>1</v>
      </c>
      <c r="M172" s="263" t="s">
        <v>147</v>
      </c>
      <c r="N172" s="253"/>
      <c r="O172" s="253">
        <v>4568</v>
      </c>
      <c r="P172" s="253"/>
      <c r="Q172" s="254">
        <v>0</v>
      </c>
      <c r="R172" s="254">
        <v>0</v>
      </c>
      <c r="S172" s="254">
        <v>0</v>
      </c>
      <c r="T172" s="254">
        <v>0</v>
      </c>
      <c r="U172" s="254">
        <v>0</v>
      </c>
      <c r="V172" s="254">
        <v>0</v>
      </c>
      <c r="W172" s="254">
        <v>0</v>
      </c>
      <c r="X172" s="254">
        <v>0</v>
      </c>
      <c r="Y172" s="254">
        <v>0</v>
      </c>
      <c r="Z172" s="248">
        <f t="shared" si="40"/>
        <v>0</v>
      </c>
    </row>
    <row r="173" spans="1:26" s="230" customFormat="1" ht="15" customHeight="1">
      <c r="A173" s="144"/>
      <c r="B173" s="245">
        <v>6</v>
      </c>
      <c r="C173" s="246"/>
      <c r="D173" s="246"/>
      <c r="E173" s="247"/>
      <c r="F173" s="261"/>
      <c r="G173" s="249" t="str">
        <f t="shared" si="41"/>
        <v>X543MA</v>
      </c>
      <c r="H173" s="248" t="s">
        <v>103</v>
      </c>
      <c r="I173" s="250" t="s">
        <v>103</v>
      </c>
      <c r="J173" s="250" t="s">
        <v>153</v>
      </c>
      <c r="K173" s="251" t="s">
        <v>217</v>
      </c>
      <c r="L173" s="262">
        <v>1</v>
      </c>
      <c r="M173" s="263" t="s">
        <v>160</v>
      </c>
      <c r="N173" s="253"/>
      <c r="O173" s="253">
        <v>39900</v>
      </c>
      <c r="P173" s="253"/>
      <c r="Q173" s="254">
        <v>7200</v>
      </c>
      <c r="R173" s="254">
        <v>7050</v>
      </c>
      <c r="S173" s="254">
        <v>0</v>
      </c>
      <c r="T173" s="254">
        <v>0</v>
      </c>
      <c r="U173" s="254">
        <v>0</v>
      </c>
      <c r="V173" s="254">
        <v>0</v>
      </c>
      <c r="W173" s="254">
        <v>0</v>
      </c>
      <c r="X173" s="254">
        <v>0</v>
      </c>
      <c r="Y173" s="254">
        <v>0</v>
      </c>
      <c r="Z173" s="248">
        <f t="shared" si="40"/>
        <v>14250</v>
      </c>
    </row>
    <row r="174" spans="1:26" s="230" customFormat="1" ht="15" customHeight="1">
      <c r="A174" s="144"/>
      <c r="B174" s="245">
        <v>7</v>
      </c>
      <c r="C174" s="246"/>
      <c r="D174" s="246"/>
      <c r="E174" s="247"/>
      <c r="F174" s="261"/>
      <c r="G174" s="249" t="str">
        <f t="shared" si="41"/>
        <v>X543MA</v>
      </c>
      <c r="H174" s="248" t="s">
        <v>103</v>
      </c>
      <c r="I174" s="250" t="s">
        <v>103</v>
      </c>
      <c r="J174" s="250" t="s">
        <v>153</v>
      </c>
      <c r="K174" s="255" t="s">
        <v>216</v>
      </c>
      <c r="L174" s="262">
        <v>3</v>
      </c>
      <c r="M174" s="263" t="s">
        <v>161</v>
      </c>
      <c r="N174" s="253"/>
      <c r="O174" s="253">
        <v>81109</v>
      </c>
      <c r="P174" s="253"/>
      <c r="Q174" s="254">
        <v>21600</v>
      </c>
      <c r="R174" s="254">
        <v>0</v>
      </c>
      <c r="S174" s="254">
        <v>0</v>
      </c>
      <c r="T174" s="254">
        <v>0</v>
      </c>
      <c r="U174" s="254">
        <v>0</v>
      </c>
      <c r="V174" s="254">
        <v>0</v>
      </c>
      <c r="W174" s="254">
        <v>0</v>
      </c>
      <c r="X174" s="254">
        <v>0</v>
      </c>
      <c r="Y174" s="254">
        <v>0</v>
      </c>
      <c r="Z174" s="248">
        <f t="shared" si="40"/>
        <v>21600</v>
      </c>
    </row>
    <row r="175" spans="1:26" s="230" customFormat="1" ht="15" customHeight="1">
      <c r="A175" s="144"/>
      <c r="B175" s="245">
        <v>1</v>
      </c>
      <c r="C175" s="152"/>
      <c r="D175" s="152"/>
      <c r="E175" s="195"/>
      <c r="F175" s="197"/>
      <c r="G175" s="249" t="str">
        <f t="shared" si="41"/>
        <v>X543MA</v>
      </c>
      <c r="H175" s="147" t="s">
        <v>20</v>
      </c>
      <c r="I175" s="196" t="s">
        <v>142</v>
      </c>
      <c r="J175" s="196" t="s">
        <v>153</v>
      </c>
      <c r="K175" s="202" t="s">
        <v>212</v>
      </c>
      <c r="L175" s="198">
        <v>1</v>
      </c>
      <c r="M175" s="204" t="s">
        <v>146</v>
      </c>
      <c r="N175" s="253"/>
      <c r="O175" s="253">
        <v>9136</v>
      </c>
      <c r="P175" s="253"/>
      <c r="Q175" s="129">
        <f t="shared" ref="Q175:Y181" si="42">(Q$167*$L175)-Q168</f>
        <v>-7136</v>
      </c>
      <c r="R175" s="129">
        <f t="shared" si="42"/>
        <v>0</v>
      </c>
      <c r="S175" s="129">
        <f t="shared" si="42"/>
        <v>0</v>
      </c>
      <c r="T175" s="129">
        <f t="shared" si="42"/>
        <v>0</v>
      </c>
      <c r="U175" s="129">
        <f t="shared" si="42"/>
        <v>0</v>
      </c>
      <c r="V175" s="129">
        <f t="shared" si="42"/>
        <v>0</v>
      </c>
      <c r="W175" s="129">
        <f t="shared" si="42"/>
        <v>0</v>
      </c>
      <c r="X175" s="129">
        <f t="shared" si="42"/>
        <v>0</v>
      </c>
      <c r="Y175" s="129" t="e">
        <f t="shared" si="42"/>
        <v>#REF!</v>
      </c>
      <c r="Z175" s="147" t="e">
        <f t="shared" si="40"/>
        <v>#REF!</v>
      </c>
    </row>
    <row r="176" spans="1:26" s="230" customFormat="1" ht="15" customHeight="1">
      <c r="A176" s="144"/>
      <c r="B176" s="245">
        <v>2</v>
      </c>
      <c r="C176" s="152"/>
      <c r="D176" s="152"/>
      <c r="E176" s="195"/>
      <c r="F176" s="197"/>
      <c r="G176" s="249" t="str">
        <f t="shared" si="41"/>
        <v>X543MA</v>
      </c>
      <c r="H176" s="147" t="s">
        <v>20</v>
      </c>
      <c r="I176" s="196" t="s">
        <v>142</v>
      </c>
      <c r="J176" s="196" t="s">
        <v>153</v>
      </c>
      <c r="K176" s="201" t="s">
        <v>213</v>
      </c>
      <c r="L176" s="198">
        <v>1</v>
      </c>
      <c r="M176" s="204" t="s">
        <v>149</v>
      </c>
      <c r="N176" s="253"/>
      <c r="O176" s="253">
        <v>86720</v>
      </c>
      <c r="P176" s="253"/>
      <c r="Q176" s="129">
        <f t="shared" si="42"/>
        <v>-7200</v>
      </c>
      <c r="R176" s="129">
        <f t="shared" si="42"/>
        <v>-7050</v>
      </c>
      <c r="S176" s="129">
        <f t="shared" si="42"/>
        <v>-6200</v>
      </c>
      <c r="T176" s="129">
        <f t="shared" si="42"/>
        <v>-4420</v>
      </c>
      <c r="U176" s="129">
        <f t="shared" si="42"/>
        <v>0</v>
      </c>
      <c r="V176" s="129">
        <f t="shared" si="42"/>
        <v>0</v>
      </c>
      <c r="W176" s="129">
        <f t="shared" si="42"/>
        <v>0</v>
      </c>
      <c r="X176" s="129">
        <f t="shared" si="42"/>
        <v>0</v>
      </c>
      <c r="Y176" s="129" t="e">
        <f t="shared" si="42"/>
        <v>#REF!</v>
      </c>
      <c r="Z176" s="147" t="e">
        <f t="shared" si="40"/>
        <v>#REF!</v>
      </c>
    </row>
    <row r="177" spans="1:26" s="230" customFormat="1" ht="15" customHeight="1">
      <c r="A177" s="144"/>
      <c r="B177" s="245">
        <v>3</v>
      </c>
      <c r="C177" s="152"/>
      <c r="D177" s="152"/>
      <c r="E177" s="195"/>
      <c r="F177" s="197"/>
      <c r="G177" s="249" t="str">
        <f t="shared" si="41"/>
        <v>X543MA</v>
      </c>
      <c r="H177" s="147" t="s">
        <v>20</v>
      </c>
      <c r="I177" s="196" t="s">
        <v>142</v>
      </c>
      <c r="J177" s="196" t="s">
        <v>153</v>
      </c>
      <c r="K177" s="201" t="s">
        <v>214</v>
      </c>
      <c r="L177" s="198">
        <v>1</v>
      </c>
      <c r="M177" s="204" t="s">
        <v>144</v>
      </c>
      <c r="N177" s="253"/>
      <c r="O177" s="253">
        <v>11770</v>
      </c>
      <c r="P177" s="253"/>
      <c r="Q177" s="129">
        <f t="shared" si="42"/>
        <v>-3820</v>
      </c>
      <c r="R177" s="129">
        <f t="shared" si="42"/>
        <v>0</v>
      </c>
      <c r="S177" s="129">
        <f t="shared" si="42"/>
        <v>0</v>
      </c>
      <c r="T177" s="129">
        <f t="shared" si="42"/>
        <v>0</v>
      </c>
      <c r="U177" s="129">
        <f t="shared" si="42"/>
        <v>0</v>
      </c>
      <c r="V177" s="129">
        <f t="shared" si="42"/>
        <v>0</v>
      </c>
      <c r="W177" s="129">
        <f t="shared" si="42"/>
        <v>0</v>
      </c>
      <c r="X177" s="129">
        <f t="shared" si="42"/>
        <v>0</v>
      </c>
      <c r="Y177" s="129" t="e">
        <f t="shared" si="42"/>
        <v>#REF!</v>
      </c>
      <c r="Z177" s="147" t="e">
        <f t="shared" si="40"/>
        <v>#REF!</v>
      </c>
    </row>
    <row r="178" spans="1:26" s="230" customFormat="1" ht="15" customHeight="1">
      <c r="A178" s="144"/>
      <c r="B178" s="245">
        <v>4</v>
      </c>
      <c r="C178" s="152"/>
      <c r="D178" s="152"/>
      <c r="E178" s="195"/>
      <c r="F178" s="197"/>
      <c r="G178" s="249" t="str">
        <f t="shared" si="41"/>
        <v>X543MA</v>
      </c>
      <c r="H178" s="147" t="s">
        <v>20</v>
      </c>
      <c r="I178" s="196" t="s">
        <v>142</v>
      </c>
      <c r="J178" s="196" t="s">
        <v>153</v>
      </c>
      <c r="K178" s="201" t="s">
        <v>154</v>
      </c>
      <c r="L178" s="198">
        <v>1</v>
      </c>
      <c r="M178" s="204" t="s">
        <v>150</v>
      </c>
      <c r="N178" s="253"/>
      <c r="O178" s="253">
        <v>12554</v>
      </c>
      <c r="P178" s="253"/>
      <c r="Q178" s="129">
        <f t="shared" si="42"/>
        <v>-4604</v>
      </c>
      <c r="R178" s="129">
        <f t="shared" si="42"/>
        <v>0</v>
      </c>
      <c r="S178" s="129">
        <f t="shared" si="42"/>
        <v>0</v>
      </c>
      <c r="T178" s="129">
        <f t="shared" si="42"/>
        <v>0</v>
      </c>
      <c r="U178" s="129">
        <f t="shared" si="42"/>
        <v>0</v>
      </c>
      <c r="V178" s="129">
        <f t="shared" si="42"/>
        <v>0</v>
      </c>
      <c r="W178" s="129">
        <f t="shared" si="42"/>
        <v>0</v>
      </c>
      <c r="X178" s="129">
        <f t="shared" si="42"/>
        <v>0</v>
      </c>
      <c r="Y178" s="129" t="e">
        <f t="shared" si="42"/>
        <v>#REF!</v>
      </c>
      <c r="Z178" s="147" t="e">
        <f t="shared" si="40"/>
        <v>#REF!</v>
      </c>
    </row>
    <row r="179" spans="1:26" s="230" customFormat="1" ht="15" customHeight="1">
      <c r="A179" s="144"/>
      <c r="B179" s="245">
        <v>5</v>
      </c>
      <c r="C179" s="152"/>
      <c r="D179" s="152"/>
      <c r="E179" s="195"/>
      <c r="F179" s="197"/>
      <c r="G179" s="249" t="str">
        <f t="shared" si="41"/>
        <v>X543MA</v>
      </c>
      <c r="H179" s="147" t="s">
        <v>20</v>
      </c>
      <c r="I179" s="196" t="s">
        <v>142</v>
      </c>
      <c r="J179" s="196" t="s">
        <v>153</v>
      </c>
      <c r="K179" s="202" t="s">
        <v>215</v>
      </c>
      <c r="L179" s="198">
        <v>1</v>
      </c>
      <c r="M179" s="204" t="s">
        <v>147</v>
      </c>
      <c r="N179" s="253"/>
      <c r="O179" s="253">
        <v>4568</v>
      </c>
      <c r="P179" s="253"/>
      <c r="Q179" s="129">
        <f t="shared" si="42"/>
        <v>0</v>
      </c>
      <c r="R179" s="129">
        <f t="shared" si="42"/>
        <v>0</v>
      </c>
      <c r="S179" s="129">
        <f t="shared" si="42"/>
        <v>0</v>
      </c>
      <c r="T179" s="129">
        <f t="shared" si="42"/>
        <v>0</v>
      </c>
      <c r="U179" s="129">
        <f t="shared" si="42"/>
        <v>0</v>
      </c>
      <c r="V179" s="129">
        <f t="shared" si="42"/>
        <v>0</v>
      </c>
      <c r="W179" s="129">
        <f t="shared" si="42"/>
        <v>0</v>
      </c>
      <c r="X179" s="129">
        <f t="shared" si="42"/>
        <v>0</v>
      </c>
      <c r="Y179" s="129" t="e">
        <f t="shared" si="42"/>
        <v>#REF!</v>
      </c>
      <c r="Z179" s="147" t="e">
        <f t="shared" si="40"/>
        <v>#REF!</v>
      </c>
    </row>
    <row r="180" spans="1:26" s="230" customFormat="1" ht="15" customHeight="1">
      <c r="A180" s="144"/>
      <c r="B180" s="245">
        <v>6</v>
      </c>
      <c r="C180" s="152"/>
      <c r="D180" s="152"/>
      <c r="E180" s="195"/>
      <c r="F180" s="197"/>
      <c r="G180" s="249" t="str">
        <f t="shared" si="41"/>
        <v>X543MA</v>
      </c>
      <c r="H180" s="147" t="s">
        <v>20</v>
      </c>
      <c r="I180" s="196" t="s">
        <v>142</v>
      </c>
      <c r="J180" s="196" t="s">
        <v>153</v>
      </c>
      <c r="K180" s="201" t="s">
        <v>217</v>
      </c>
      <c r="L180" s="198">
        <v>1</v>
      </c>
      <c r="M180" s="204" t="s">
        <v>160</v>
      </c>
      <c r="N180" s="253"/>
      <c r="O180" s="253">
        <v>39900</v>
      </c>
      <c r="P180" s="253"/>
      <c r="Q180" s="129">
        <f t="shared" si="42"/>
        <v>-7200</v>
      </c>
      <c r="R180" s="129">
        <f t="shared" si="42"/>
        <v>-7050</v>
      </c>
      <c r="S180" s="129">
        <f t="shared" si="42"/>
        <v>0</v>
      </c>
      <c r="T180" s="129">
        <f t="shared" si="42"/>
        <v>0</v>
      </c>
      <c r="U180" s="129">
        <f t="shared" si="42"/>
        <v>0</v>
      </c>
      <c r="V180" s="129">
        <f t="shared" si="42"/>
        <v>0</v>
      </c>
      <c r="W180" s="129">
        <f t="shared" si="42"/>
        <v>0</v>
      </c>
      <c r="X180" s="129">
        <f t="shared" si="42"/>
        <v>0</v>
      </c>
      <c r="Y180" s="129" t="e">
        <f t="shared" si="42"/>
        <v>#REF!</v>
      </c>
      <c r="Z180" s="147" t="e">
        <f t="shared" si="40"/>
        <v>#REF!</v>
      </c>
    </row>
    <row r="181" spans="1:26" s="230" customFormat="1" ht="15" customHeight="1">
      <c r="A181" s="144"/>
      <c r="B181" s="245">
        <v>7</v>
      </c>
      <c r="C181" s="152"/>
      <c r="D181" s="152"/>
      <c r="E181" s="195"/>
      <c r="F181" s="197"/>
      <c r="G181" s="249" t="str">
        <f t="shared" si="41"/>
        <v>X543MA</v>
      </c>
      <c r="H181" s="147" t="s">
        <v>20</v>
      </c>
      <c r="I181" s="196" t="s">
        <v>142</v>
      </c>
      <c r="J181" s="196" t="s">
        <v>153</v>
      </c>
      <c r="K181" s="202" t="s">
        <v>216</v>
      </c>
      <c r="L181" s="198">
        <v>3</v>
      </c>
      <c r="M181" s="204" t="s">
        <v>161</v>
      </c>
      <c r="N181" s="253"/>
      <c r="O181" s="253">
        <v>81109</v>
      </c>
      <c r="P181" s="253"/>
      <c r="Q181" s="129">
        <f t="shared" si="42"/>
        <v>-21600</v>
      </c>
      <c r="R181" s="129">
        <f t="shared" si="42"/>
        <v>0</v>
      </c>
      <c r="S181" s="129">
        <f t="shared" si="42"/>
        <v>0</v>
      </c>
      <c r="T181" s="129">
        <f t="shared" si="42"/>
        <v>0</v>
      </c>
      <c r="U181" s="129">
        <f t="shared" si="42"/>
        <v>0</v>
      </c>
      <c r="V181" s="129">
        <f t="shared" si="42"/>
        <v>0</v>
      </c>
      <c r="W181" s="129">
        <f t="shared" si="42"/>
        <v>0</v>
      </c>
      <c r="X181" s="129">
        <f t="shared" si="42"/>
        <v>0</v>
      </c>
      <c r="Y181" s="129" t="e">
        <f t="shared" si="42"/>
        <v>#REF!</v>
      </c>
      <c r="Z181" s="147" t="e">
        <f t="shared" si="40"/>
        <v>#REF!</v>
      </c>
    </row>
    <row r="182" spans="1:26" s="230" customFormat="1" ht="15" customHeight="1">
      <c r="A182" s="144"/>
      <c r="B182" s="244" t="e">
        <f>SUM(Q182:Y182)</f>
        <v>#REF!</v>
      </c>
      <c r="C182" s="244" t="s">
        <v>101</v>
      </c>
      <c r="D182" s="244" t="s">
        <v>232</v>
      </c>
      <c r="E182" s="244" t="s">
        <v>22</v>
      </c>
      <c r="F182" s="244" t="e">
        <f>SUM(N182:Y182)</f>
        <v>#REF!</v>
      </c>
      <c r="G182" s="272" t="s">
        <v>233</v>
      </c>
      <c r="H182" s="244"/>
      <c r="I182" s="244"/>
      <c r="J182" s="244"/>
      <c r="K182" s="244"/>
      <c r="L182" s="244"/>
      <c r="M182" s="244"/>
      <c r="N182" s="244"/>
      <c r="O182" s="244"/>
      <c r="P182" s="244"/>
      <c r="Q182" s="244">
        <f>SUMIFS(MB!R:R,MB!$F:$F,$G:$G,MB!$D:$D,"FCST")</f>
        <v>0</v>
      </c>
      <c r="R182" s="244">
        <f>SUMIFS(MB!S:S,MB!$F:$F,$G:$G,MB!$D:$D,"FCST")</f>
        <v>0</v>
      </c>
      <c r="S182" s="244">
        <f>SUMIFS(MB!T:T,MB!$F:$F,$G:$G,MB!$D:$D,"FCST")</f>
        <v>0</v>
      </c>
      <c r="T182" s="244">
        <f>SUMIFS(MB!U:U,MB!$F:$F,$G:$G,MB!$D:$D,"FCST")</f>
        <v>0</v>
      </c>
      <c r="U182" s="244">
        <f>SUMIFS(MB!V:V,MB!$F:$F,$G:$G,MB!$D:$D,"FCST")</f>
        <v>0</v>
      </c>
      <c r="V182" s="244">
        <f>SUMIFS(MB!W:W,MB!$F:$F,$G:$G,MB!$D:$D,"FCST")</f>
        <v>0</v>
      </c>
      <c r="W182" s="244">
        <f>SUMIFS(MB!X:X,MB!$F:$F,$G:$G,MB!$D:$D,"FCST")</f>
        <v>0</v>
      </c>
      <c r="X182" s="244">
        <f>SUMIFS(MB!Y:Y,MB!$F:$F,$G:$G,MB!$D:$D,"FCST")</f>
        <v>0</v>
      </c>
      <c r="Y182" s="244" t="e">
        <f>SUMIFS(MB!#REF!,MB!$F:$F,$G:$G,MB!$D:$D,"FCST")</f>
        <v>#REF!</v>
      </c>
      <c r="Z182" s="244"/>
    </row>
    <row r="183" spans="1:26" s="230" customFormat="1" ht="15" customHeight="1">
      <c r="A183" s="144"/>
      <c r="B183" s="245">
        <v>1</v>
      </c>
      <c r="C183" s="246"/>
      <c r="D183" s="246"/>
      <c r="E183" s="247"/>
      <c r="F183" s="261"/>
      <c r="G183" s="249" t="str">
        <f>$G$182</f>
        <v>X543UA (I3-6100U)</v>
      </c>
      <c r="H183" s="248" t="s">
        <v>103</v>
      </c>
      <c r="I183" s="248" t="s">
        <v>103</v>
      </c>
      <c r="J183" s="250" t="s">
        <v>153</v>
      </c>
      <c r="K183" s="251" t="s">
        <v>212</v>
      </c>
      <c r="L183" s="262">
        <v>1</v>
      </c>
      <c r="M183" s="263" t="s">
        <v>146</v>
      </c>
      <c r="N183" s="253"/>
      <c r="O183" s="253">
        <v>9136</v>
      </c>
      <c r="P183" s="253"/>
      <c r="Q183" s="254">
        <v>0</v>
      </c>
      <c r="R183" s="254">
        <v>0</v>
      </c>
      <c r="S183" s="254">
        <v>0</v>
      </c>
      <c r="T183" s="254">
        <v>0</v>
      </c>
      <c r="U183" s="254">
        <v>0</v>
      </c>
      <c r="V183" s="254">
        <v>0</v>
      </c>
      <c r="W183" s="254">
        <v>0</v>
      </c>
      <c r="X183" s="254">
        <v>0</v>
      </c>
      <c r="Y183" s="254">
        <v>0</v>
      </c>
      <c r="Z183" s="248">
        <f t="shared" ref="Z183:Z196" si="43">SUM(Q183:Y183)</f>
        <v>0</v>
      </c>
    </row>
    <row r="184" spans="1:26" s="230" customFormat="1" ht="15" customHeight="1">
      <c r="A184" s="144"/>
      <c r="B184" s="245">
        <v>2</v>
      </c>
      <c r="C184" s="246"/>
      <c r="D184" s="246"/>
      <c r="E184" s="247"/>
      <c r="F184" s="261"/>
      <c r="G184" s="249" t="str">
        <f t="shared" ref="G184:G196" si="44">$G$182</f>
        <v>X543UA (I3-6100U)</v>
      </c>
      <c r="H184" s="248" t="s">
        <v>103</v>
      </c>
      <c r="I184" s="248" t="s">
        <v>103</v>
      </c>
      <c r="J184" s="250" t="s">
        <v>153</v>
      </c>
      <c r="K184" s="251" t="s">
        <v>213</v>
      </c>
      <c r="L184" s="262">
        <v>1</v>
      </c>
      <c r="M184" s="263" t="s">
        <v>149</v>
      </c>
      <c r="N184" s="253"/>
      <c r="O184" s="253">
        <v>86720</v>
      </c>
      <c r="P184" s="253"/>
      <c r="Q184" s="254">
        <v>3050</v>
      </c>
      <c r="R184" s="254">
        <v>0</v>
      </c>
      <c r="S184" s="254">
        <v>0</v>
      </c>
      <c r="T184" s="254">
        <v>0</v>
      </c>
      <c r="U184" s="254">
        <v>0</v>
      </c>
      <c r="V184" s="254">
        <v>0</v>
      </c>
      <c r="W184" s="254">
        <v>0</v>
      </c>
      <c r="X184" s="254">
        <v>0</v>
      </c>
      <c r="Y184" s="254">
        <v>0</v>
      </c>
      <c r="Z184" s="248">
        <f t="shared" si="43"/>
        <v>3050</v>
      </c>
    </row>
    <row r="185" spans="1:26" s="230" customFormat="1" ht="15" customHeight="1">
      <c r="A185" s="144"/>
      <c r="B185" s="245">
        <v>3</v>
      </c>
      <c r="C185" s="246"/>
      <c r="D185" s="246"/>
      <c r="E185" s="247"/>
      <c r="F185" s="261"/>
      <c r="G185" s="249" t="str">
        <f t="shared" si="44"/>
        <v>X543UA (I3-6100U)</v>
      </c>
      <c r="H185" s="248" t="s">
        <v>103</v>
      </c>
      <c r="I185" s="248" t="s">
        <v>103</v>
      </c>
      <c r="J185" s="250" t="s">
        <v>153</v>
      </c>
      <c r="K185" s="255" t="s">
        <v>214</v>
      </c>
      <c r="L185" s="262">
        <v>1</v>
      </c>
      <c r="M185" s="263" t="s">
        <v>144</v>
      </c>
      <c r="N185" s="253"/>
      <c r="O185" s="253">
        <v>11770</v>
      </c>
      <c r="P185" s="253"/>
      <c r="Q185" s="254">
        <v>0</v>
      </c>
      <c r="R185" s="254">
        <v>0</v>
      </c>
      <c r="S185" s="254">
        <v>0</v>
      </c>
      <c r="T185" s="254">
        <v>0</v>
      </c>
      <c r="U185" s="254">
        <v>0</v>
      </c>
      <c r="V185" s="254">
        <v>0</v>
      </c>
      <c r="W185" s="254">
        <v>0</v>
      </c>
      <c r="X185" s="254">
        <v>0</v>
      </c>
      <c r="Y185" s="254">
        <v>0</v>
      </c>
      <c r="Z185" s="248">
        <f t="shared" si="43"/>
        <v>0</v>
      </c>
    </row>
    <row r="186" spans="1:26" s="230" customFormat="1" ht="15" customHeight="1">
      <c r="A186" s="144"/>
      <c r="B186" s="245">
        <v>4</v>
      </c>
      <c r="C186" s="246"/>
      <c r="D186" s="246"/>
      <c r="E186" s="247"/>
      <c r="F186" s="261"/>
      <c r="G186" s="249" t="str">
        <f t="shared" si="44"/>
        <v>X543UA (I3-6100U)</v>
      </c>
      <c r="H186" s="248" t="s">
        <v>103</v>
      </c>
      <c r="I186" s="248" t="s">
        <v>103</v>
      </c>
      <c r="J186" s="250" t="s">
        <v>153</v>
      </c>
      <c r="K186" s="251" t="s">
        <v>154</v>
      </c>
      <c r="L186" s="262">
        <v>1</v>
      </c>
      <c r="M186" s="263" t="s">
        <v>150</v>
      </c>
      <c r="N186" s="253"/>
      <c r="O186" s="253">
        <v>12554</v>
      </c>
      <c r="P186" s="253"/>
      <c r="Q186" s="254">
        <v>0</v>
      </c>
      <c r="R186" s="254">
        <v>0</v>
      </c>
      <c r="S186" s="254">
        <v>0</v>
      </c>
      <c r="T186" s="254">
        <v>0</v>
      </c>
      <c r="U186" s="254">
        <v>0</v>
      </c>
      <c r="V186" s="254">
        <v>0</v>
      </c>
      <c r="W186" s="254">
        <v>0</v>
      </c>
      <c r="X186" s="254">
        <v>0</v>
      </c>
      <c r="Y186" s="254">
        <v>0</v>
      </c>
      <c r="Z186" s="248">
        <f t="shared" si="43"/>
        <v>0</v>
      </c>
    </row>
    <row r="187" spans="1:26" s="230" customFormat="1" ht="15" customHeight="1">
      <c r="A187" s="144"/>
      <c r="B187" s="245">
        <v>5</v>
      </c>
      <c r="C187" s="246"/>
      <c r="D187" s="246"/>
      <c r="E187" s="247"/>
      <c r="F187" s="261"/>
      <c r="G187" s="249" t="str">
        <f t="shared" si="44"/>
        <v>X543UA (I3-6100U)</v>
      </c>
      <c r="H187" s="248" t="s">
        <v>103</v>
      </c>
      <c r="I187" s="248" t="s">
        <v>103</v>
      </c>
      <c r="J187" s="250" t="s">
        <v>153</v>
      </c>
      <c r="K187" s="255" t="s">
        <v>215</v>
      </c>
      <c r="L187" s="262">
        <v>1</v>
      </c>
      <c r="M187" s="263" t="s">
        <v>147</v>
      </c>
      <c r="N187" s="253"/>
      <c r="O187" s="253">
        <v>4568</v>
      </c>
      <c r="P187" s="253"/>
      <c r="Q187" s="254">
        <v>0</v>
      </c>
      <c r="R187" s="254">
        <v>0</v>
      </c>
      <c r="S187" s="254">
        <v>0</v>
      </c>
      <c r="T187" s="254">
        <v>0</v>
      </c>
      <c r="U187" s="254">
        <v>0</v>
      </c>
      <c r="V187" s="254">
        <v>0</v>
      </c>
      <c r="W187" s="254">
        <v>0</v>
      </c>
      <c r="X187" s="254">
        <v>0</v>
      </c>
      <c r="Y187" s="254">
        <v>0</v>
      </c>
      <c r="Z187" s="248">
        <f t="shared" si="43"/>
        <v>0</v>
      </c>
    </row>
    <row r="188" spans="1:26" s="230" customFormat="1" ht="15" customHeight="1">
      <c r="A188" s="144"/>
      <c r="B188" s="245">
        <v>6</v>
      </c>
      <c r="C188" s="246"/>
      <c r="D188" s="246"/>
      <c r="E188" s="247"/>
      <c r="F188" s="261"/>
      <c r="G188" s="249" t="str">
        <f t="shared" si="44"/>
        <v>X543UA (I3-6100U)</v>
      </c>
      <c r="H188" s="248" t="s">
        <v>103</v>
      </c>
      <c r="I188" s="248" t="s">
        <v>103</v>
      </c>
      <c r="J188" s="250" t="s">
        <v>153</v>
      </c>
      <c r="K188" s="255" t="s">
        <v>217</v>
      </c>
      <c r="L188" s="262">
        <v>1</v>
      </c>
      <c r="M188" s="260" t="s">
        <v>148</v>
      </c>
      <c r="N188" s="253"/>
      <c r="O188" s="268">
        <v>21938</v>
      </c>
      <c r="P188" s="253"/>
      <c r="Q188" s="254">
        <v>3050</v>
      </c>
      <c r="R188" s="254">
        <v>0</v>
      </c>
      <c r="S188" s="254">
        <v>0</v>
      </c>
      <c r="T188" s="254">
        <v>0</v>
      </c>
      <c r="U188" s="254">
        <v>0</v>
      </c>
      <c r="V188" s="254">
        <v>0</v>
      </c>
      <c r="W188" s="254">
        <v>0</v>
      </c>
      <c r="X188" s="254">
        <v>0</v>
      </c>
      <c r="Y188" s="254">
        <v>0</v>
      </c>
      <c r="Z188" s="248">
        <f t="shared" si="43"/>
        <v>3050</v>
      </c>
    </row>
    <row r="189" spans="1:26" s="230" customFormat="1" ht="15" customHeight="1">
      <c r="A189" s="144"/>
      <c r="B189" s="245">
        <v>7</v>
      </c>
      <c r="C189" s="246"/>
      <c r="D189" s="246"/>
      <c r="E189" s="247"/>
      <c r="F189" s="261"/>
      <c r="G189" s="249" t="str">
        <f t="shared" si="44"/>
        <v>X543UA (I3-6100U)</v>
      </c>
      <c r="H189" s="248" t="s">
        <v>103</v>
      </c>
      <c r="I189" s="248" t="s">
        <v>103</v>
      </c>
      <c r="J189" s="250" t="s">
        <v>153</v>
      </c>
      <c r="K189" s="251" t="s">
        <v>216</v>
      </c>
      <c r="L189" s="262">
        <v>3</v>
      </c>
      <c r="M189" s="204" t="s">
        <v>145</v>
      </c>
      <c r="N189" s="253"/>
      <c r="O189" s="253">
        <v>21791</v>
      </c>
      <c r="P189" s="253"/>
      <c r="Q189" s="254">
        <v>9150</v>
      </c>
      <c r="R189" s="254"/>
      <c r="S189" s="254">
        <v>0</v>
      </c>
      <c r="T189" s="254">
        <v>0</v>
      </c>
      <c r="U189" s="254">
        <v>0</v>
      </c>
      <c r="V189" s="254">
        <v>0</v>
      </c>
      <c r="W189" s="254">
        <v>0</v>
      </c>
      <c r="X189" s="254">
        <v>0</v>
      </c>
      <c r="Y189" s="254">
        <v>0</v>
      </c>
      <c r="Z189" s="248">
        <f t="shared" si="43"/>
        <v>9150</v>
      </c>
    </row>
    <row r="190" spans="1:26" s="230" customFormat="1" ht="15" customHeight="1">
      <c r="A190" s="144"/>
      <c r="B190" s="245">
        <v>1</v>
      </c>
      <c r="C190" s="152"/>
      <c r="D190" s="152"/>
      <c r="E190" s="195"/>
      <c r="F190" s="197"/>
      <c r="G190" s="249" t="str">
        <f t="shared" si="44"/>
        <v>X543UA (I3-6100U)</v>
      </c>
      <c r="H190" s="147" t="s">
        <v>20</v>
      </c>
      <c r="I190" s="196" t="s">
        <v>142</v>
      </c>
      <c r="J190" s="196" t="s">
        <v>153</v>
      </c>
      <c r="K190" s="201" t="s">
        <v>212</v>
      </c>
      <c r="L190" s="198">
        <v>1</v>
      </c>
      <c r="M190" s="204" t="s">
        <v>146</v>
      </c>
      <c r="N190" s="253"/>
      <c r="O190" s="253">
        <v>9136</v>
      </c>
      <c r="P190" s="253"/>
      <c r="Q190" s="129">
        <f t="shared" ref="Q190:Y196" si="45">(Q$182*$L190)-Q183</f>
        <v>0</v>
      </c>
      <c r="R190" s="129">
        <f t="shared" si="45"/>
        <v>0</v>
      </c>
      <c r="S190" s="129">
        <f t="shared" si="45"/>
        <v>0</v>
      </c>
      <c r="T190" s="129">
        <f t="shared" si="45"/>
        <v>0</v>
      </c>
      <c r="U190" s="129">
        <f t="shared" si="45"/>
        <v>0</v>
      </c>
      <c r="V190" s="129">
        <f t="shared" si="45"/>
        <v>0</v>
      </c>
      <c r="W190" s="129">
        <f t="shared" si="45"/>
        <v>0</v>
      </c>
      <c r="X190" s="129">
        <f t="shared" si="45"/>
        <v>0</v>
      </c>
      <c r="Y190" s="129" t="e">
        <f t="shared" si="45"/>
        <v>#REF!</v>
      </c>
      <c r="Z190" s="147" t="e">
        <f t="shared" si="43"/>
        <v>#REF!</v>
      </c>
    </row>
    <row r="191" spans="1:26" s="230" customFormat="1" ht="15" customHeight="1">
      <c r="A191" s="144"/>
      <c r="B191" s="245">
        <v>2</v>
      </c>
      <c r="C191" s="152"/>
      <c r="D191" s="152"/>
      <c r="E191" s="195"/>
      <c r="F191" s="197"/>
      <c r="G191" s="249" t="str">
        <f t="shared" si="44"/>
        <v>X543UA (I3-6100U)</v>
      </c>
      <c r="H191" s="147" t="s">
        <v>20</v>
      </c>
      <c r="I191" s="196" t="s">
        <v>142</v>
      </c>
      <c r="J191" s="196" t="s">
        <v>153</v>
      </c>
      <c r="K191" s="201" t="s">
        <v>213</v>
      </c>
      <c r="L191" s="198">
        <v>1</v>
      </c>
      <c r="M191" s="204" t="s">
        <v>149</v>
      </c>
      <c r="N191" s="253"/>
      <c r="O191" s="253">
        <v>86720</v>
      </c>
      <c r="P191" s="253"/>
      <c r="Q191" s="129">
        <f t="shared" si="45"/>
        <v>-3050</v>
      </c>
      <c r="R191" s="129">
        <f t="shared" si="45"/>
        <v>0</v>
      </c>
      <c r="S191" s="129">
        <f t="shared" si="45"/>
        <v>0</v>
      </c>
      <c r="T191" s="129">
        <f t="shared" si="45"/>
        <v>0</v>
      </c>
      <c r="U191" s="129">
        <f t="shared" si="45"/>
        <v>0</v>
      </c>
      <c r="V191" s="129">
        <f t="shared" si="45"/>
        <v>0</v>
      </c>
      <c r="W191" s="129">
        <f t="shared" si="45"/>
        <v>0</v>
      </c>
      <c r="X191" s="129">
        <f t="shared" si="45"/>
        <v>0</v>
      </c>
      <c r="Y191" s="129" t="e">
        <f t="shared" si="45"/>
        <v>#REF!</v>
      </c>
      <c r="Z191" s="147" t="e">
        <f t="shared" si="43"/>
        <v>#REF!</v>
      </c>
    </row>
    <row r="192" spans="1:26" s="230" customFormat="1" ht="15" customHeight="1">
      <c r="A192" s="144"/>
      <c r="B192" s="245">
        <v>3</v>
      </c>
      <c r="C192" s="152"/>
      <c r="D192" s="152"/>
      <c r="E192" s="195"/>
      <c r="F192" s="197"/>
      <c r="G192" s="249" t="str">
        <f t="shared" si="44"/>
        <v>X543UA (I3-6100U)</v>
      </c>
      <c r="H192" s="147" t="s">
        <v>20</v>
      </c>
      <c r="I192" s="196" t="s">
        <v>142</v>
      </c>
      <c r="J192" s="196" t="s">
        <v>153</v>
      </c>
      <c r="K192" s="202" t="s">
        <v>214</v>
      </c>
      <c r="L192" s="198">
        <v>1</v>
      </c>
      <c r="M192" s="204" t="s">
        <v>144</v>
      </c>
      <c r="N192" s="253"/>
      <c r="O192" s="253">
        <v>11770</v>
      </c>
      <c r="P192" s="253"/>
      <c r="Q192" s="129">
        <f t="shared" si="45"/>
        <v>0</v>
      </c>
      <c r="R192" s="129">
        <f t="shared" si="45"/>
        <v>0</v>
      </c>
      <c r="S192" s="129">
        <f t="shared" si="45"/>
        <v>0</v>
      </c>
      <c r="T192" s="129">
        <f t="shared" si="45"/>
        <v>0</v>
      </c>
      <c r="U192" s="129">
        <f t="shared" si="45"/>
        <v>0</v>
      </c>
      <c r="V192" s="129">
        <f t="shared" si="45"/>
        <v>0</v>
      </c>
      <c r="W192" s="129">
        <f t="shared" si="45"/>
        <v>0</v>
      </c>
      <c r="X192" s="129">
        <f t="shared" si="45"/>
        <v>0</v>
      </c>
      <c r="Y192" s="129" t="e">
        <f t="shared" si="45"/>
        <v>#REF!</v>
      </c>
      <c r="Z192" s="147" t="e">
        <f t="shared" si="43"/>
        <v>#REF!</v>
      </c>
    </row>
    <row r="193" spans="1:26" s="230" customFormat="1" ht="15" customHeight="1">
      <c r="A193" s="144"/>
      <c r="B193" s="245">
        <v>4</v>
      </c>
      <c r="C193" s="152"/>
      <c r="D193" s="152"/>
      <c r="E193" s="195"/>
      <c r="F193" s="197"/>
      <c r="G193" s="249" t="str">
        <f t="shared" si="44"/>
        <v>X543UA (I3-6100U)</v>
      </c>
      <c r="H193" s="147" t="s">
        <v>20</v>
      </c>
      <c r="I193" s="196" t="s">
        <v>142</v>
      </c>
      <c r="J193" s="196" t="s">
        <v>153</v>
      </c>
      <c r="K193" s="201" t="s">
        <v>154</v>
      </c>
      <c r="L193" s="198">
        <v>1</v>
      </c>
      <c r="M193" s="204" t="s">
        <v>150</v>
      </c>
      <c r="N193" s="253"/>
      <c r="O193" s="253">
        <v>12554</v>
      </c>
      <c r="P193" s="253"/>
      <c r="Q193" s="129">
        <f t="shared" si="45"/>
        <v>0</v>
      </c>
      <c r="R193" s="129">
        <f t="shared" si="45"/>
        <v>0</v>
      </c>
      <c r="S193" s="129">
        <f t="shared" si="45"/>
        <v>0</v>
      </c>
      <c r="T193" s="129">
        <f t="shared" si="45"/>
        <v>0</v>
      </c>
      <c r="U193" s="129">
        <f t="shared" si="45"/>
        <v>0</v>
      </c>
      <c r="V193" s="129">
        <f t="shared" si="45"/>
        <v>0</v>
      </c>
      <c r="W193" s="129">
        <f t="shared" si="45"/>
        <v>0</v>
      </c>
      <c r="X193" s="129">
        <f t="shared" si="45"/>
        <v>0</v>
      </c>
      <c r="Y193" s="129" t="e">
        <f t="shared" si="45"/>
        <v>#REF!</v>
      </c>
      <c r="Z193" s="147" t="e">
        <f t="shared" si="43"/>
        <v>#REF!</v>
      </c>
    </row>
    <row r="194" spans="1:26" s="230" customFormat="1" ht="15" customHeight="1">
      <c r="A194" s="144"/>
      <c r="B194" s="245">
        <v>5</v>
      </c>
      <c r="C194" s="152"/>
      <c r="D194" s="152"/>
      <c r="E194" s="195"/>
      <c r="F194" s="197"/>
      <c r="G194" s="249" t="str">
        <f t="shared" si="44"/>
        <v>X543UA (I3-6100U)</v>
      </c>
      <c r="H194" s="147" t="s">
        <v>20</v>
      </c>
      <c r="I194" s="196" t="s">
        <v>142</v>
      </c>
      <c r="J194" s="196" t="s">
        <v>153</v>
      </c>
      <c r="K194" s="202" t="s">
        <v>215</v>
      </c>
      <c r="L194" s="198">
        <v>1</v>
      </c>
      <c r="M194" s="204" t="s">
        <v>147</v>
      </c>
      <c r="N194" s="253"/>
      <c r="O194" s="253">
        <v>4568</v>
      </c>
      <c r="P194" s="253"/>
      <c r="Q194" s="129">
        <f t="shared" si="45"/>
        <v>0</v>
      </c>
      <c r="R194" s="129">
        <f t="shared" si="45"/>
        <v>0</v>
      </c>
      <c r="S194" s="129">
        <f t="shared" si="45"/>
        <v>0</v>
      </c>
      <c r="T194" s="129">
        <f t="shared" si="45"/>
        <v>0</v>
      </c>
      <c r="U194" s="129">
        <f t="shared" si="45"/>
        <v>0</v>
      </c>
      <c r="V194" s="129">
        <f t="shared" si="45"/>
        <v>0</v>
      </c>
      <c r="W194" s="129">
        <f t="shared" si="45"/>
        <v>0</v>
      </c>
      <c r="X194" s="129">
        <f t="shared" si="45"/>
        <v>0</v>
      </c>
      <c r="Y194" s="129" t="e">
        <f t="shared" si="45"/>
        <v>#REF!</v>
      </c>
      <c r="Z194" s="147" t="e">
        <f t="shared" si="43"/>
        <v>#REF!</v>
      </c>
    </row>
    <row r="195" spans="1:26" s="230" customFormat="1" ht="15" customHeight="1">
      <c r="A195" s="144"/>
      <c r="B195" s="245">
        <v>6</v>
      </c>
      <c r="C195" s="152"/>
      <c r="D195" s="152"/>
      <c r="E195" s="195"/>
      <c r="F195" s="197"/>
      <c r="G195" s="249" t="str">
        <f t="shared" si="44"/>
        <v>X543UA (I3-6100U)</v>
      </c>
      <c r="H195" s="147" t="s">
        <v>20</v>
      </c>
      <c r="I195" s="196" t="s">
        <v>142</v>
      </c>
      <c r="J195" s="196" t="s">
        <v>153</v>
      </c>
      <c r="K195" s="202" t="s">
        <v>217</v>
      </c>
      <c r="L195" s="198">
        <v>1</v>
      </c>
      <c r="M195" s="260" t="s">
        <v>148</v>
      </c>
      <c r="N195" s="253"/>
      <c r="O195" s="268">
        <v>21938</v>
      </c>
      <c r="P195" s="253"/>
      <c r="Q195" s="129">
        <f t="shared" si="45"/>
        <v>-3050</v>
      </c>
      <c r="R195" s="129">
        <f t="shared" si="45"/>
        <v>0</v>
      </c>
      <c r="S195" s="129">
        <f t="shared" si="45"/>
        <v>0</v>
      </c>
      <c r="T195" s="129">
        <f t="shared" si="45"/>
        <v>0</v>
      </c>
      <c r="U195" s="129">
        <f t="shared" si="45"/>
        <v>0</v>
      </c>
      <c r="V195" s="129">
        <f t="shared" si="45"/>
        <v>0</v>
      </c>
      <c r="W195" s="129">
        <f t="shared" si="45"/>
        <v>0</v>
      </c>
      <c r="X195" s="129">
        <f t="shared" si="45"/>
        <v>0</v>
      </c>
      <c r="Y195" s="129" t="e">
        <f t="shared" si="45"/>
        <v>#REF!</v>
      </c>
      <c r="Z195" s="147" t="e">
        <f t="shared" si="43"/>
        <v>#REF!</v>
      </c>
    </row>
    <row r="196" spans="1:26" s="230" customFormat="1" ht="15" customHeight="1">
      <c r="A196" s="144"/>
      <c r="B196" s="245">
        <v>7</v>
      </c>
      <c r="C196" s="152"/>
      <c r="D196" s="152"/>
      <c r="E196" s="195"/>
      <c r="F196" s="197"/>
      <c r="G196" s="249" t="str">
        <f t="shared" si="44"/>
        <v>X543UA (I3-6100U)</v>
      </c>
      <c r="H196" s="147" t="s">
        <v>20</v>
      </c>
      <c r="I196" s="196" t="s">
        <v>142</v>
      </c>
      <c r="J196" s="196" t="s">
        <v>153</v>
      </c>
      <c r="K196" s="201" t="s">
        <v>216</v>
      </c>
      <c r="L196" s="198">
        <v>3</v>
      </c>
      <c r="M196" s="204" t="s">
        <v>145</v>
      </c>
      <c r="N196" s="253"/>
      <c r="O196" s="253">
        <v>21791</v>
      </c>
      <c r="P196" s="253"/>
      <c r="Q196" s="129">
        <f t="shared" si="45"/>
        <v>-9150</v>
      </c>
      <c r="R196" s="129">
        <f t="shared" si="45"/>
        <v>0</v>
      </c>
      <c r="S196" s="129">
        <f t="shared" si="45"/>
        <v>0</v>
      </c>
      <c r="T196" s="129">
        <f t="shared" si="45"/>
        <v>0</v>
      </c>
      <c r="U196" s="129">
        <f t="shared" si="45"/>
        <v>0</v>
      </c>
      <c r="V196" s="129">
        <f t="shared" si="45"/>
        <v>0</v>
      </c>
      <c r="W196" s="129">
        <f t="shared" si="45"/>
        <v>0</v>
      </c>
      <c r="X196" s="129">
        <f t="shared" si="45"/>
        <v>0</v>
      </c>
      <c r="Y196" s="129" t="e">
        <f t="shared" si="45"/>
        <v>#REF!</v>
      </c>
      <c r="Z196" s="147" t="e">
        <f t="shared" si="43"/>
        <v>#REF!</v>
      </c>
    </row>
    <row r="197" spans="1:26" s="230" customFormat="1" ht="15" customHeight="1">
      <c r="A197" s="144"/>
      <c r="B197" s="244" t="e">
        <f>SUM(Q197:Y197)</f>
        <v>#REF!</v>
      </c>
      <c r="C197" s="244" t="s">
        <v>101</v>
      </c>
      <c r="D197" s="244" t="s">
        <v>232</v>
      </c>
      <c r="E197" s="244" t="s">
        <v>22</v>
      </c>
      <c r="F197" s="244" t="e">
        <f>SUM(N197:Y197)</f>
        <v>#REF!</v>
      </c>
      <c r="G197" s="272" t="s">
        <v>234</v>
      </c>
      <c r="H197" s="244"/>
      <c r="I197" s="244"/>
      <c r="J197" s="244"/>
      <c r="K197" s="244"/>
      <c r="L197" s="244"/>
      <c r="M197" s="244"/>
      <c r="N197" s="244"/>
      <c r="O197" s="244"/>
      <c r="P197" s="244"/>
      <c r="Q197" s="244">
        <f>SUMIFS(MB!R:R,MB!$F:$F,$G:$G,MB!$D:$D,"FCST")</f>
        <v>0</v>
      </c>
      <c r="R197" s="244">
        <f>SUMIFS(MB!S:S,MB!$F:$F,$G:$G,MB!$D:$D,"FCST")</f>
        <v>0</v>
      </c>
      <c r="S197" s="244">
        <f>SUMIFS(MB!T:T,MB!$F:$F,$G:$G,MB!$D:$D,"FCST")</f>
        <v>0</v>
      </c>
      <c r="T197" s="244">
        <f>SUMIFS(MB!U:U,MB!$F:$F,$G:$G,MB!$D:$D,"FCST")</f>
        <v>0</v>
      </c>
      <c r="U197" s="244">
        <f>SUMIFS(MB!V:V,MB!$F:$F,$G:$G,MB!$D:$D,"FCST")</f>
        <v>0</v>
      </c>
      <c r="V197" s="244">
        <f>SUMIFS(MB!W:W,MB!$F:$F,$G:$G,MB!$D:$D,"FCST")</f>
        <v>0</v>
      </c>
      <c r="W197" s="244">
        <f>SUMIFS(MB!X:X,MB!$F:$F,$G:$G,MB!$D:$D,"FCST")</f>
        <v>0</v>
      </c>
      <c r="X197" s="244">
        <f>SUMIFS(MB!Y:Y,MB!$F:$F,$G:$G,MB!$D:$D,"FCST")</f>
        <v>0</v>
      </c>
      <c r="Y197" s="244" t="e">
        <f>SUMIFS(MB!#REF!,MB!$F:$F,$G:$G,MB!$D:$D,"FCST")</f>
        <v>#REF!</v>
      </c>
      <c r="Z197" s="244"/>
    </row>
    <row r="198" spans="1:26" s="230" customFormat="1" ht="15" customHeight="1">
      <c r="A198" s="144"/>
      <c r="B198" s="245">
        <v>1</v>
      </c>
      <c r="C198" s="246"/>
      <c r="D198" s="246"/>
      <c r="E198" s="247"/>
      <c r="F198" s="261"/>
      <c r="G198" s="266" t="str">
        <f>$G$197</f>
        <v>X543UA (I3-7020U)</v>
      </c>
      <c r="H198" s="248" t="s">
        <v>103</v>
      </c>
      <c r="I198" s="248" t="s">
        <v>103</v>
      </c>
      <c r="J198" s="250" t="s">
        <v>153</v>
      </c>
      <c r="K198" s="251" t="s">
        <v>212</v>
      </c>
      <c r="L198" s="262">
        <v>1</v>
      </c>
      <c r="M198" s="263" t="s">
        <v>146</v>
      </c>
      <c r="N198" s="253"/>
      <c r="O198" s="253">
        <v>9136</v>
      </c>
      <c r="P198" s="253"/>
      <c r="Q198" s="254">
        <v>0</v>
      </c>
      <c r="R198" s="254">
        <v>0</v>
      </c>
      <c r="S198" s="254">
        <v>0</v>
      </c>
      <c r="T198" s="254">
        <v>0</v>
      </c>
      <c r="U198" s="254">
        <v>0</v>
      </c>
      <c r="V198" s="254">
        <v>0</v>
      </c>
      <c r="W198" s="254">
        <v>0</v>
      </c>
      <c r="X198" s="254">
        <v>0</v>
      </c>
      <c r="Y198" s="254">
        <v>0</v>
      </c>
      <c r="Z198" s="248">
        <f t="shared" ref="Z198:Z211" si="46">SUM(Q198:Y198)</f>
        <v>0</v>
      </c>
    </row>
    <row r="199" spans="1:26" s="230" customFormat="1" ht="15" customHeight="1">
      <c r="A199" s="144"/>
      <c r="B199" s="245">
        <v>2</v>
      </c>
      <c r="C199" s="246"/>
      <c r="D199" s="246"/>
      <c r="E199" s="247"/>
      <c r="F199" s="261"/>
      <c r="G199" s="266" t="str">
        <f t="shared" ref="G199:G211" si="47">$G$197</f>
        <v>X543UA (I3-7020U)</v>
      </c>
      <c r="H199" s="248" t="s">
        <v>103</v>
      </c>
      <c r="I199" s="248" t="s">
        <v>103</v>
      </c>
      <c r="J199" s="250" t="s">
        <v>153</v>
      </c>
      <c r="K199" s="255" t="s">
        <v>213</v>
      </c>
      <c r="L199" s="262">
        <v>1</v>
      </c>
      <c r="M199" s="263" t="s">
        <v>149</v>
      </c>
      <c r="N199" s="253"/>
      <c r="O199" s="253">
        <v>86720</v>
      </c>
      <c r="P199" s="253"/>
      <c r="Q199" s="254">
        <v>6200</v>
      </c>
      <c r="R199" s="254">
        <v>8700</v>
      </c>
      <c r="S199" s="254">
        <v>8500</v>
      </c>
      <c r="T199" s="254">
        <v>0</v>
      </c>
      <c r="U199" s="254">
        <v>0</v>
      </c>
      <c r="V199" s="254">
        <v>0</v>
      </c>
      <c r="W199" s="254">
        <v>0</v>
      </c>
      <c r="X199" s="254">
        <v>0</v>
      </c>
      <c r="Y199" s="254">
        <v>0</v>
      </c>
      <c r="Z199" s="248">
        <f t="shared" si="46"/>
        <v>23400</v>
      </c>
    </row>
    <row r="200" spans="1:26" s="230" customFormat="1" ht="15" customHeight="1">
      <c r="A200" s="144"/>
      <c r="B200" s="245">
        <v>3</v>
      </c>
      <c r="C200" s="246"/>
      <c r="D200" s="246"/>
      <c r="E200" s="247"/>
      <c r="F200" s="261"/>
      <c r="G200" s="266" t="str">
        <f t="shared" si="47"/>
        <v>X543UA (I3-7020U)</v>
      </c>
      <c r="H200" s="248" t="s">
        <v>103</v>
      </c>
      <c r="I200" s="248" t="s">
        <v>103</v>
      </c>
      <c r="J200" s="250" t="s">
        <v>153</v>
      </c>
      <c r="K200" s="251" t="s">
        <v>214</v>
      </c>
      <c r="L200" s="262">
        <v>1</v>
      </c>
      <c r="M200" s="263" t="s">
        <v>144</v>
      </c>
      <c r="N200" s="253"/>
      <c r="O200" s="253">
        <v>11770</v>
      </c>
      <c r="P200" s="253"/>
      <c r="Q200" s="254">
        <v>0</v>
      </c>
      <c r="R200" s="254">
        <v>0</v>
      </c>
      <c r="S200" s="254">
        <v>0</v>
      </c>
      <c r="T200" s="254">
        <v>0</v>
      </c>
      <c r="U200" s="254">
        <v>0</v>
      </c>
      <c r="V200" s="254">
        <v>0</v>
      </c>
      <c r="W200" s="254">
        <v>0</v>
      </c>
      <c r="X200" s="254">
        <v>0</v>
      </c>
      <c r="Y200" s="254">
        <v>0</v>
      </c>
      <c r="Z200" s="248">
        <f t="shared" si="46"/>
        <v>0</v>
      </c>
    </row>
    <row r="201" spans="1:26" s="230" customFormat="1" ht="15" customHeight="1">
      <c r="A201" s="144"/>
      <c r="B201" s="245">
        <v>4</v>
      </c>
      <c r="C201" s="246"/>
      <c r="D201" s="246"/>
      <c r="E201" s="247"/>
      <c r="F201" s="261"/>
      <c r="G201" s="266" t="str">
        <f t="shared" si="47"/>
        <v>X543UA (I3-7020U)</v>
      </c>
      <c r="H201" s="248" t="s">
        <v>103</v>
      </c>
      <c r="I201" s="248" t="s">
        <v>103</v>
      </c>
      <c r="J201" s="250" t="s">
        <v>153</v>
      </c>
      <c r="K201" s="255" t="s">
        <v>154</v>
      </c>
      <c r="L201" s="262">
        <v>1</v>
      </c>
      <c r="M201" s="263" t="s">
        <v>150</v>
      </c>
      <c r="N201" s="253"/>
      <c r="O201" s="253">
        <v>12554</v>
      </c>
      <c r="P201" s="253"/>
      <c r="Q201" s="254">
        <v>0</v>
      </c>
      <c r="R201" s="254">
        <v>0</v>
      </c>
      <c r="S201" s="254">
        <v>0</v>
      </c>
      <c r="T201" s="254">
        <v>0</v>
      </c>
      <c r="U201" s="254">
        <v>0</v>
      </c>
      <c r="V201" s="254">
        <v>0</v>
      </c>
      <c r="W201" s="254">
        <v>0</v>
      </c>
      <c r="X201" s="254">
        <v>0</v>
      </c>
      <c r="Y201" s="254">
        <v>0</v>
      </c>
      <c r="Z201" s="248">
        <f t="shared" si="46"/>
        <v>0</v>
      </c>
    </row>
    <row r="202" spans="1:26" s="230" customFormat="1" ht="15" customHeight="1">
      <c r="A202" s="144"/>
      <c r="B202" s="245">
        <v>5</v>
      </c>
      <c r="C202" s="246"/>
      <c r="D202" s="246"/>
      <c r="E202" s="247"/>
      <c r="F202" s="261"/>
      <c r="G202" s="266" t="str">
        <f t="shared" si="47"/>
        <v>X543UA (I3-7020U)</v>
      </c>
      <c r="H202" s="248" t="s">
        <v>103</v>
      </c>
      <c r="I202" s="248" t="s">
        <v>103</v>
      </c>
      <c r="J202" s="250" t="s">
        <v>153</v>
      </c>
      <c r="K202" s="255" t="s">
        <v>215</v>
      </c>
      <c r="L202" s="262">
        <v>1</v>
      </c>
      <c r="M202" s="263" t="s">
        <v>147</v>
      </c>
      <c r="N202" s="253"/>
      <c r="O202" s="253">
        <v>4568</v>
      </c>
      <c r="P202" s="253"/>
      <c r="Q202" s="254">
        <v>0</v>
      </c>
      <c r="R202" s="254">
        <v>0</v>
      </c>
      <c r="S202" s="254">
        <v>0</v>
      </c>
      <c r="T202" s="254">
        <v>0</v>
      </c>
      <c r="U202" s="254">
        <v>0</v>
      </c>
      <c r="V202" s="254">
        <v>0</v>
      </c>
      <c r="W202" s="254">
        <v>0</v>
      </c>
      <c r="X202" s="254">
        <v>0</v>
      </c>
      <c r="Y202" s="254">
        <v>0</v>
      </c>
      <c r="Z202" s="248">
        <f t="shared" si="46"/>
        <v>0</v>
      </c>
    </row>
    <row r="203" spans="1:26" s="230" customFormat="1" ht="15" customHeight="1">
      <c r="A203" s="144"/>
      <c r="B203" s="245">
        <v>6</v>
      </c>
      <c r="C203" s="246"/>
      <c r="D203" s="246"/>
      <c r="E203" s="247"/>
      <c r="F203" s="261"/>
      <c r="G203" s="266" t="str">
        <f t="shared" si="47"/>
        <v>X543UA (I3-7020U)</v>
      </c>
      <c r="H203" s="248" t="s">
        <v>103</v>
      </c>
      <c r="I203" s="248" t="s">
        <v>103</v>
      </c>
      <c r="J203" s="250" t="s">
        <v>153</v>
      </c>
      <c r="K203" s="251" t="s">
        <v>217</v>
      </c>
      <c r="L203" s="262">
        <v>1</v>
      </c>
      <c r="M203" s="263" t="s">
        <v>160</v>
      </c>
      <c r="N203" s="253"/>
      <c r="O203" s="253">
        <v>39900</v>
      </c>
      <c r="P203" s="253"/>
      <c r="Q203" s="254">
        <v>6200</v>
      </c>
      <c r="R203" s="254">
        <v>8700</v>
      </c>
      <c r="S203" s="254">
        <v>0</v>
      </c>
      <c r="T203" s="254">
        <v>0</v>
      </c>
      <c r="U203" s="254">
        <v>0</v>
      </c>
      <c r="V203" s="254">
        <v>0</v>
      </c>
      <c r="W203" s="254">
        <v>0</v>
      </c>
      <c r="X203" s="254">
        <v>0</v>
      </c>
      <c r="Y203" s="254">
        <v>0</v>
      </c>
      <c r="Z203" s="248">
        <f t="shared" si="46"/>
        <v>14900</v>
      </c>
    </row>
    <row r="204" spans="1:26" s="230" customFormat="1" ht="15" customHeight="1">
      <c r="A204" s="144"/>
      <c r="B204" s="245">
        <v>7</v>
      </c>
      <c r="C204" s="246"/>
      <c r="D204" s="246"/>
      <c r="E204" s="247"/>
      <c r="F204" s="261"/>
      <c r="G204" s="266" t="str">
        <f t="shared" si="47"/>
        <v>X543UA (I3-7020U)</v>
      </c>
      <c r="H204" s="248" t="s">
        <v>103</v>
      </c>
      <c r="I204" s="248" t="s">
        <v>103</v>
      </c>
      <c r="J204" s="250" t="s">
        <v>153</v>
      </c>
      <c r="K204" s="251" t="s">
        <v>216</v>
      </c>
      <c r="L204" s="262">
        <v>3</v>
      </c>
      <c r="M204" s="263" t="s">
        <v>161</v>
      </c>
      <c r="N204" s="253"/>
      <c r="O204" s="253">
        <v>81109</v>
      </c>
      <c r="P204" s="253"/>
      <c r="Q204" s="254">
        <v>18600</v>
      </c>
      <c r="R204" s="254">
        <v>19909</v>
      </c>
      <c r="S204" s="254">
        <v>0</v>
      </c>
      <c r="T204" s="254">
        <v>0</v>
      </c>
      <c r="U204" s="254">
        <v>0</v>
      </c>
      <c r="V204" s="254">
        <v>0</v>
      </c>
      <c r="W204" s="254">
        <v>0</v>
      </c>
      <c r="X204" s="254">
        <v>0</v>
      </c>
      <c r="Y204" s="254">
        <v>0</v>
      </c>
      <c r="Z204" s="248">
        <f t="shared" si="46"/>
        <v>38509</v>
      </c>
    </row>
    <row r="205" spans="1:26" s="230" customFormat="1" ht="15" customHeight="1">
      <c r="A205" s="144"/>
      <c r="B205" s="245">
        <v>1</v>
      </c>
      <c r="C205" s="152"/>
      <c r="D205" s="152"/>
      <c r="E205" s="195"/>
      <c r="F205" s="197"/>
      <c r="G205" s="266" t="str">
        <f t="shared" si="47"/>
        <v>X543UA (I3-7020U)</v>
      </c>
      <c r="H205" s="147" t="s">
        <v>20</v>
      </c>
      <c r="I205" s="196" t="s">
        <v>142</v>
      </c>
      <c r="J205" s="196" t="s">
        <v>153</v>
      </c>
      <c r="K205" s="201" t="s">
        <v>212</v>
      </c>
      <c r="L205" s="198">
        <v>1</v>
      </c>
      <c r="M205" s="204" t="s">
        <v>146</v>
      </c>
      <c r="N205" s="253"/>
      <c r="O205" s="253">
        <v>9136</v>
      </c>
      <c r="P205" s="253"/>
      <c r="Q205" s="129">
        <f t="shared" ref="Q205:Y211" si="48">(Q$197*$L205)-Q198</f>
        <v>0</v>
      </c>
      <c r="R205" s="129">
        <f t="shared" si="48"/>
        <v>0</v>
      </c>
      <c r="S205" s="129">
        <f t="shared" si="48"/>
        <v>0</v>
      </c>
      <c r="T205" s="129">
        <f t="shared" si="48"/>
        <v>0</v>
      </c>
      <c r="U205" s="129">
        <f t="shared" si="48"/>
        <v>0</v>
      </c>
      <c r="V205" s="129">
        <f t="shared" si="48"/>
        <v>0</v>
      </c>
      <c r="W205" s="129">
        <f t="shared" si="48"/>
        <v>0</v>
      </c>
      <c r="X205" s="129">
        <f t="shared" si="48"/>
        <v>0</v>
      </c>
      <c r="Y205" s="129" t="e">
        <f t="shared" si="48"/>
        <v>#REF!</v>
      </c>
      <c r="Z205" s="147" t="e">
        <f t="shared" si="46"/>
        <v>#REF!</v>
      </c>
    </row>
    <row r="206" spans="1:26" s="230" customFormat="1" ht="15" customHeight="1">
      <c r="A206" s="144"/>
      <c r="B206" s="245">
        <v>2</v>
      </c>
      <c r="C206" s="152"/>
      <c r="D206" s="152"/>
      <c r="E206" s="195"/>
      <c r="F206" s="197"/>
      <c r="G206" s="266" t="str">
        <f t="shared" si="47"/>
        <v>X543UA (I3-7020U)</v>
      </c>
      <c r="H206" s="147" t="s">
        <v>20</v>
      </c>
      <c r="I206" s="196" t="s">
        <v>142</v>
      </c>
      <c r="J206" s="196" t="s">
        <v>153</v>
      </c>
      <c r="K206" s="202" t="s">
        <v>213</v>
      </c>
      <c r="L206" s="198">
        <v>1</v>
      </c>
      <c r="M206" s="204" t="s">
        <v>149</v>
      </c>
      <c r="N206" s="253"/>
      <c r="O206" s="253">
        <v>86720</v>
      </c>
      <c r="P206" s="253"/>
      <c r="Q206" s="129">
        <f t="shared" si="48"/>
        <v>-6200</v>
      </c>
      <c r="R206" s="129">
        <f t="shared" si="48"/>
        <v>-8700</v>
      </c>
      <c r="S206" s="129">
        <f t="shared" si="48"/>
        <v>-8500</v>
      </c>
      <c r="T206" s="129">
        <f t="shared" si="48"/>
        <v>0</v>
      </c>
      <c r="U206" s="129">
        <f t="shared" si="48"/>
        <v>0</v>
      </c>
      <c r="V206" s="129">
        <f t="shared" si="48"/>
        <v>0</v>
      </c>
      <c r="W206" s="129">
        <f t="shared" si="48"/>
        <v>0</v>
      </c>
      <c r="X206" s="129">
        <f t="shared" si="48"/>
        <v>0</v>
      </c>
      <c r="Y206" s="129" t="e">
        <f t="shared" si="48"/>
        <v>#REF!</v>
      </c>
      <c r="Z206" s="147" t="e">
        <f t="shared" si="46"/>
        <v>#REF!</v>
      </c>
    </row>
    <row r="207" spans="1:26" s="230" customFormat="1" ht="15" customHeight="1">
      <c r="A207" s="144"/>
      <c r="B207" s="245">
        <v>3</v>
      </c>
      <c r="C207" s="152"/>
      <c r="D207" s="152"/>
      <c r="E207" s="195"/>
      <c r="F207" s="197"/>
      <c r="G207" s="266" t="str">
        <f t="shared" si="47"/>
        <v>X543UA (I3-7020U)</v>
      </c>
      <c r="H207" s="147" t="s">
        <v>20</v>
      </c>
      <c r="I207" s="196" t="s">
        <v>142</v>
      </c>
      <c r="J207" s="196" t="s">
        <v>153</v>
      </c>
      <c r="K207" s="201" t="s">
        <v>214</v>
      </c>
      <c r="L207" s="198">
        <v>1</v>
      </c>
      <c r="M207" s="204" t="s">
        <v>144</v>
      </c>
      <c r="N207" s="253"/>
      <c r="O207" s="253">
        <v>11770</v>
      </c>
      <c r="P207" s="253"/>
      <c r="Q207" s="129">
        <f t="shared" si="48"/>
        <v>0</v>
      </c>
      <c r="R207" s="129">
        <f t="shared" si="48"/>
        <v>0</v>
      </c>
      <c r="S207" s="129">
        <f t="shared" si="48"/>
        <v>0</v>
      </c>
      <c r="T207" s="129">
        <f t="shared" si="48"/>
        <v>0</v>
      </c>
      <c r="U207" s="129">
        <f t="shared" si="48"/>
        <v>0</v>
      </c>
      <c r="V207" s="129">
        <f t="shared" si="48"/>
        <v>0</v>
      </c>
      <c r="W207" s="129">
        <f t="shared" si="48"/>
        <v>0</v>
      </c>
      <c r="X207" s="129">
        <f t="shared" si="48"/>
        <v>0</v>
      </c>
      <c r="Y207" s="129" t="e">
        <f t="shared" si="48"/>
        <v>#REF!</v>
      </c>
      <c r="Z207" s="147" t="e">
        <f t="shared" si="46"/>
        <v>#REF!</v>
      </c>
    </row>
    <row r="208" spans="1:26" s="230" customFormat="1" ht="15" customHeight="1">
      <c r="A208" s="144"/>
      <c r="B208" s="245">
        <v>4</v>
      </c>
      <c r="C208" s="152"/>
      <c r="D208" s="152"/>
      <c r="E208" s="195"/>
      <c r="F208" s="197"/>
      <c r="G208" s="266" t="str">
        <f t="shared" si="47"/>
        <v>X543UA (I3-7020U)</v>
      </c>
      <c r="H208" s="147" t="s">
        <v>20</v>
      </c>
      <c r="I208" s="196" t="s">
        <v>142</v>
      </c>
      <c r="J208" s="196" t="s">
        <v>153</v>
      </c>
      <c r="K208" s="202" t="s">
        <v>154</v>
      </c>
      <c r="L208" s="198">
        <v>1</v>
      </c>
      <c r="M208" s="204" t="s">
        <v>150</v>
      </c>
      <c r="N208" s="253"/>
      <c r="O208" s="253">
        <v>12554</v>
      </c>
      <c r="P208" s="253"/>
      <c r="Q208" s="129">
        <f t="shared" si="48"/>
        <v>0</v>
      </c>
      <c r="R208" s="129">
        <f t="shared" si="48"/>
        <v>0</v>
      </c>
      <c r="S208" s="129">
        <f t="shared" si="48"/>
        <v>0</v>
      </c>
      <c r="T208" s="129">
        <f t="shared" si="48"/>
        <v>0</v>
      </c>
      <c r="U208" s="129">
        <f t="shared" si="48"/>
        <v>0</v>
      </c>
      <c r="V208" s="129">
        <f t="shared" si="48"/>
        <v>0</v>
      </c>
      <c r="W208" s="129">
        <f t="shared" si="48"/>
        <v>0</v>
      </c>
      <c r="X208" s="129">
        <f t="shared" si="48"/>
        <v>0</v>
      </c>
      <c r="Y208" s="129" t="e">
        <f t="shared" si="48"/>
        <v>#REF!</v>
      </c>
      <c r="Z208" s="147" t="e">
        <f t="shared" si="46"/>
        <v>#REF!</v>
      </c>
    </row>
    <row r="209" spans="1:26" s="230" customFormat="1" ht="15" customHeight="1">
      <c r="A209" s="144"/>
      <c r="B209" s="245">
        <v>5</v>
      </c>
      <c r="C209" s="152"/>
      <c r="D209" s="152"/>
      <c r="E209" s="195"/>
      <c r="F209" s="197"/>
      <c r="G209" s="266" t="str">
        <f t="shared" si="47"/>
        <v>X543UA (I3-7020U)</v>
      </c>
      <c r="H209" s="147" t="s">
        <v>20</v>
      </c>
      <c r="I209" s="196" t="s">
        <v>142</v>
      </c>
      <c r="J209" s="196" t="s">
        <v>153</v>
      </c>
      <c r="K209" s="202" t="s">
        <v>215</v>
      </c>
      <c r="L209" s="198">
        <v>1</v>
      </c>
      <c r="M209" s="204" t="s">
        <v>147</v>
      </c>
      <c r="N209" s="253"/>
      <c r="O209" s="253">
        <v>4568</v>
      </c>
      <c r="P209" s="253"/>
      <c r="Q209" s="129">
        <f t="shared" si="48"/>
        <v>0</v>
      </c>
      <c r="R209" s="129">
        <f t="shared" si="48"/>
        <v>0</v>
      </c>
      <c r="S209" s="129">
        <f t="shared" si="48"/>
        <v>0</v>
      </c>
      <c r="T209" s="129">
        <f t="shared" si="48"/>
        <v>0</v>
      </c>
      <c r="U209" s="129">
        <f t="shared" si="48"/>
        <v>0</v>
      </c>
      <c r="V209" s="129">
        <f t="shared" si="48"/>
        <v>0</v>
      </c>
      <c r="W209" s="129">
        <f t="shared" si="48"/>
        <v>0</v>
      </c>
      <c r="X209" s="129">
        <f t="shared" si="48"/>
        <v>0</v>
      </c>
      <c r="Y209" s="129" t="e">
        <f t="shared" si="48"/>
        <v>#REF!</v>
      </c>
      <c r="Z209" s="147" t="e">
        <f t="shared" si="46"/>
        <v>#REF!</v>
      </c>
    </row>
    <row r="210" spans="1:26" s="230" customFormat="1" ht="15" customHeight="1">
      <c r="A210" s="144"/>
      <c r="B210" s="245">
        <v>6</v>
      </c>
      <c r="C210" s="152"/>
      <c r="D210" s="152"/>
      <c r="E210" s="195"/>
      <c r="F210" s="197"/>
      <c r="G210" s="266" t="str">
        <f t="shared" si="47"/>
        <v>X543UA (I3-7020U)</v>
      </c>
      <c r="H210" s="147" t="s">
        <v>20</v>
      </c>
      <c r="I210" s="196" t="s">
        <v>142</v>
      </c>
      <c r="J210" s="196" t="s">
        <v>153</v>
      </c>
      <c r="K210" s="201" t="s">
        <v>217</v>
      </c>
      <c r="L210" s="198">
        <v>1</v>
      </c>
      <c r="M210" s="204" t="s">
        <v>160</v>
      </c>
      <c r="N210" s="253"/>
      <c r="O210" s="253">
        <v>39900</v>
      </c>
      <c r="P210" s="253"/>
      <c r="Q210" s="129">
        <f t="shared" si="48"/>
        <v>-6200</v>
      </c>
      <c r="R210" s="129">
        <f t="shared" si="48"/>
        <v>-8700</v>
      </c>
      <c r="S210" s="129">
        <f t="shared" si="48"/>
        <v>0</v>
      </c>
      <c r="T210" s="129">
        <f t="shared" si="48"/>
        <v>0</v>
      </c>
      <c r="U210" s="129">
        <f t="shared" si="48"/>
        <v>0</v>
      </c>
      <c r="V210" s="129">
        <f t="shared" si="48"/>
        <v>0</v>
      </c>
      <c r="W210" s="129">
        <f t="shared" si="48"/>
        <v>0</v>
      </c>
      <c r="X210" s="129">
        <f t="shared" si="48"/>
        <v>0</v>
      </c>
      <c r="Y210" s="129" t="e">
        <f t="shared" si="48"/>
        <v>#REF!</v>
      </c>
      <c r="Z210" s="147" t="e">
        <f t="shared" si="46"/>
        <v>#REF!</v>
      </c>
    </row>
    <row r="211" spans="1:26" s="230" customFormat="1" ht="15" customHeight="1">
      <c r="A211" s="144"/>
      <c r="B211" s="245">
        <v>7</v>
      </c>
      <c r="C211" s="152"/>
      <c r="D211" s="152"/>
      <c r="E211" s="195"/>
      <c r="F211" s="197"/>
      <c r="G211" s="266" t="str">
        <f t="shared" si="47"/>
        <v>X543UA (I3-7020U)</v>
      </c>
      <c r="H211" s="147" t="s">
        <v>20</v>
      </c>
      <c r="I211" s="196" t="s">
        <v>142</v>
      </c>
      <c r="J211" s="196" t="s">
        <v>153</v>
      </c>
      <c r="K211" s="201" t="s">
        <v>216</v>
      </c>
      <c r="L211" s="198">
        <v>3</v>
      </c>
      <c r="M211" s="204" t="s">
        <v>161</v>
      </c>
      <c r="N211" s="253"/>
      <c r="O211" s="253">
        <v>81109</v>
      </c>
      <c r="P211" s="253"/>
      <c r="Q211" s="129">
        <f t="shared" si="48"/>
        <v>-18600</v>
      </c>
      <c r="R211" s="129">
        <f t="shared" si="48"/>
        <v>-19909</v>
      </c>
      <c r="S211" s="129">
        <f t="shared" si="48"/>
        <v>0</v>
      </c>
      <c r="T211" s="129">
        <f t="shared" si="48"/>
        <v>0</v>
      </c>
      <c r="U211" s="129">
        <f t="shared" si="48"/>
        <v>0</v>
      </c>
      <c r="V211" s="129">
        <f t="shared" si="48"/>
        <v>0</v>
      </c>
      <c r="W211" s="129">
        <f t="shared" si="48"/>
        <v>0</v>
      </c>
      <c r="X211" s="129">
        <f t="shared" si="48"/>
        <v>0</v>
      </c>
      <c r="Y211" s="129" t="e">
        <f t="shared" si="48"/>
        <v>#REF!</v>
      </c>
      <c r="Z211" s="147" t="e">
        <f t="shared" si="46"/>
        <v>#REF!</v>
      </c>
    </row>
    <row r="212" spans="1:26" s="230" customFormat="1" ht="15" customHeight="1">
      <c r="A212" s="144"/>
      <c r="B212" s="244" t="e">
        <f>SUM(Q212:Y212)</f>
        <v>#REF!</v>
      </c>
      <c r="C212" s="244" t="s">
        <v>101</v>
      </c>
      <c r="D212" s="244" t="s">
        <v>232</v>
      </c>
      <c r="E212" s="244" t="s">
        <v>22</v>
      </c>
      <c r="F212" s="244" t="e">
        <f>SUM(N212:Y212)</f>
        <v>#REF!</v>
      </c>
      <c r="G212" s="272" t="s">
        <v>235</v>
      </c>
      <c r="H212" s="244"/>
      <c r="I212" s="244"/>
      <c r="J212" s="244"/>
      <c r="K212" s="244"/>
      <c r="L212" s="244"/>
      <c r="M212" s="244"/>
      <c r="N212" s="244"/>
      <c r="O212" s="244"/>
      <c r="P212" s="244"/>
      <c r="Q212" s="244">
        <f>SUMIFS(MB!R:R,MB!$F:$F,$G:$G,MB!$D:$D,"FCST")</f>
        <v>0</v>
      </c>
      <c r="R212" s="244">
        <f>SUMIFS(MB!S:S,MB!$F:$F,$G:$G,MB!$D:$D,"FCST")</f>
        <v>0</v>
      </c>
      <c r="S212" s="244">
        <f>SUMIFS(MB!T:T,MB!$F:$F,$G:$G,MB!$D:$D,"FCST")</f>
        <v>0</v>
      </c>
      <c r="T212" s="244">
        <f>SUMIFS(MB!U:U,MB!$F:$F,$G:$G,MB!$D:$D,"FCST")</f>
        <v>0</v>
      </c>
      <c r="U212" s="244">
        <f>SUMIFS(MB!V:V,MB!$F:$F,$G:$G,MB!$D:$D,"FCST")</f>
        <v>0</v>
      </c>
      <c r="V212" s="244">
        <f>SUMIFS(MB!W:W,MB!$F:$F,$G:$G,MB!$D:$D,"FCST")</f>
        <v>0</v>
      </c>
      <c r="W212" s="244">
        <f>SUMIFS(MB!X:X,MB!$F:$F,$G:$G,MB!$D:$D,"FCST")</f>
        <v>0</v>
      </c>
      <c r="X212" s="244">
        <f>SUMIFS(MB!Y:Y,MB!$F:$F,$G:$G,MB!$D:$D,"FCST")</f>
        <v>0</v>
      </c>
      <c r="Y212" s="244" t="e">
        <f>SUMIFS(MB!#REF!,MB!$F:$F,$G:$G,MB!$D:$D,"FCST")</f>
        <v>#REF!</v>
      </c>
      <c r="Z212" s="244"/>
    </row>
    <row r="213" spans="1:26" s="230" customFormat="1" ht="15" customHeight="1">
      <c r="A213" s="144"/>
      <c r="B213" s="245">
        <v>1</v>
      </c>
      <c r="C213" s="246"/>
      <c r="D213" s="246"/>
      <c r="E213" s="247"/>
      <c r="F213" s="261"/>
      <c r="G213" s="266" t="str">
        <f>$G$212</f>
        <v>X543UAR (I5-6200U)</v>
      </c>
      <c r="H213" s="248" t="s">
        <v>103</v>
      </c>
      <c r="I213" s="248" t="s">
        <v>103</v>
      </c>
      <c r="J213" s="250" t="s">
        <v>153</v>
      </c>
      <c r="K213" s="255" t="s">
        <v>212</v>
      </c>
      <c r="L213" s="262">
        <v>1</v>
      </c>
      <c r="M213" s="263" t="s">
        <v>146</v>
      </c>
      <c r="N213" s="253"/>
      <c r="O213" s="253">
        <v>9136</v>
      </c>
      <c r="P213" s="253"/>
      <c r="Q213" s="254">
        <v>0</v>
      </c>
      <c r="R213" s="254">
        <v>0</v>
      </c>
      <c r="S213" s="254">
        <v>0</v>
      </c>
      <c r="T213" s="254">
        <v>0</v>
      </c>
      <c r="U213" s="254">
        <v>0</v>
      </c>
      <c r="V213" s="254">
        <v>0</v>
      </c>
      <c r="W213" s="254">
        <v>0</v>
      </c>
      <c r="X213" s="254">
        <v>0</v>
      </c>
      <c r="Y213" s="254">
        <v>0</v>
      </c>
      <c r="Z213" s="248">
        <f t="shared" ref="Z213:Z226" si="49">SUM(Q213:Y213)</f>
        <v>0</v>
      </c>
    </row>
    <row r="214" spans="1:26" s="230" customFormat="1" ht="15" customHeight="1">
      <c r="A214" s="144"/>
      <c r="B214" s="245">
        <v>2</v>
      </c>
      <c r="C214" s="246"/>
      <c r="D214" s="246"/>
      <c r="E214" s="247"/>
      <c r="F214" s="261"/>
      <c r="G214" s="266" t="str">
        <f t="shared" ref="G214:G226" si="50">$G$212</f>
        <v>X543UAR (I5-6200U)</v>
      </c>
      <c r="H214" s="248" t="s">
        <v>103</v>
      </c>
      <c r="I214" s="248" t="s">
        <v>103</v>
      </c>
      <c r="J214" s="250" t="s">
        <v>153</v>
      </c>
      <c r="K214" s="251" t="s">
        <v>213</v>
      </c>
      <c r="L214" s="262">
        <v>1</v>
      </c>
      <c r="M214" s="263" t="s">
        <v>149</v>
      </c>
      <c r="N214" s="253"/>
      <c r="O214" s="253">
        <v>86720</v>
      </c>
      <c r="P214" s="253"/>
      <c r="Q214" s="254">
        <v>2500</v>
      </c>
      <c r="R214" s="254">
        <v>2500</v>
      </c>
      <c r="S214" s="254">
        <v>2400</v>
      </c>
      <c r="T214" s="254">
        <v>0</v>
      </c>
      <c r="U214" s="254">
        <v>0</v>
      </c>
      <c r="V214" s="254">
        <v>0</v>
      </c>
      <c r="W214" s="254">
        <v>0</v>
      </c>
      <c r="X214" s="254">
        <v>0</v>
      </c>
      <c r="Y214" s="254">
        <v>0</v>
      </c>
      <c r="Z214" s="248">
        <f t="shared" si="49"/>
        <v>7400</v>
      </c>
    </row>
    <row r="215" spans="1:26" s="230" customFormat="1" ht="15" customHeight="1">
      <c r="A215" s="144"/>
      <c r="B215" s="245">
        <v>3</v>
      </c>
      <c r="C215" s="246"/>
      <c r="D215" s="246"/>
      <c r="E215" s="247"/>
      <c r="F215" s="261"/>
      <c r="G215" s="266" t="str">
        <f t="shared" si="50"/>
        <v>X543UAR (I5-6200U)</v>
      </c>
      <c r="H215" s="248" t="s">
        <v>103</v>
      </c>
      <c r="I215" s="248" t="s">
        <v>103</v>
      </c>
      <c r="J215" s="250" t="s">
        <v>153</v>
      </c>
      <c r="K215" s="255" t="s">
        <v>214</v>
      </c>
      <c r="L215" s="262">
        <v>1</v>
      </c>
      <c r="M215" s="263" t="s">
        <v>144</v>
      </c>
      <c r="N215" s="253"/>
      <c r="O215" s="253">
        <v>11770</v>
      </c>
      <c r="P215" s="253"/>
      <c r="Q215" s="254">
        <v>0</v>
      </c>
      <c r="R215" s="254">
        <v>0</v>
      </c>
      <c r="S215" s="254">
        <v>0</v>
      </c>
      <c r="T215" s="254">
        <v>0</v>
      </c>
      <c r="U215" s="254">
        <v>0</v>
      </c>
      <c r="V215" s="254">
        <v>0</v>
      </c>
      <c r="W215" s="254">
        <v>0</v>
      </c>
      <c r="X215" s="254">
        <v>0</v>
      </c>
      <c r="Y215" s="254">
        <v>0</v>
      </c>
      <c r="Z215" s="248">
        <f t="shared" si="49"/>
        <v>0</v>
      </c>
    </row>
    <row r="216" spans="1:26" s="230" customFormat="1" ht="15" customHeight="1">
      <c r="A216" s="144"/>
      <c r="B216" s="245">
        <v>4</v>
      </c>
      <c r="C216" s="246"/>
      <c r="D216" s="246"/>
      <c r="E216" s="247"/>
      <c r="F216" s="261"/>
      <c r="G216" s="266" t="str">
        <f t="shared" si="50"/>
        <v>X543UAR (I5-6200U)</v>
      </c>
      <c r="H216" s="248" t="s">
        <v>103</v>
      </c>
      <c r="I216" s="248" t="s">
        <v>103</v>
      </c>
      <c r="J216" s="250" t="s">
        <v>153</v>
      </c>
      <c r="K216" s="255" t="s">
        <v>154</v>
      </c>
      <c r="L216" s="262">
        <v>1</v>
      </c>
      <c r="M216" s="263" t="s">
        <v>150</v>
      </c>
      <c r="N216" s="253"/>
      <c r="O216" s="253">
        <v>12554</v>
      </c>
      <c r="P216" s="253"/>
      <c r="Q216" s="254">
        <v>0</v>
      </c>
      <c r="R216" s="254">
        <v>0</v>
      </c>
      <c r="S216" s="254">
        <v>0</v>
      </c>
      <c r="T216" s="254">
        <v>0</v>
      </c>
      <c r="U216" s="254">
        <v>0</v>
      </c>
      <c r="V216" s="254">
        <v>0</v>
      </c>
      <c r="W216" s="254">
        <v>0</v>
      </c>
      <c r="X216" s="254">
        <v>0</v>
      </c>
      <c r="Y216" s="254">
        <v>0</v>
      </c>
      <c r="Z216" s="248">
        <f t="shared" si="49"/>
        <v>0</v>
      </c>
    </row>
    <row r="217" spans="1:26" s="230" customFormat="1" ht="15" customHeight="1">
      <c r="A217" s="144"/>
      <c r="B217" s="245">
        <v>5</v>
      </c>
      <c r="C217" s="246"/>
      <c r="D217" s="246"/>
      <c r="E217" s="247"/>
      <c r="F217" s="261"/>
      <c r="G217" s="266" t="str">
        <f t="shared" si="50"/>
        <v>X543UAR (I5-6200U)</v>
      </c>
      <c r="H217" s="248" t="s">
        <v>103</v>
      </c>
      <c r="I217" s="250" t="s">
        <v>103</v>
      </c>
      <c r="J217" s="250" t="s">
        <v>153</v>
      </c>
      <c r="K217" s="251" t="s">
        <v>215</v>
      </c>
      <c r="L217" s="262">
        <v>1</v>
      </c>
      <c r="M217" s="263" t="s">
        <v>147</v>
      </c>
      <c r="N217" s="253"/>
      <c r="O217" s="253">
        <v>4568</v>
      </c>
      <c r="P217" s="253"/>
      <c r="Q217" s="254">
        <v>0</v>
      </c>
      <c r="R217" s="254">
        <v>0</v>
      </c>
      <c r="S217" s="254">
        <v>0</v>
      </c>
      <c r="T217" s="254">
        <v>0</v>
      </c>
      <c r="U217" s="254">
        <v>0</v>
      </c>
      <c r="V217" s="254">
        <v>0</v>
      </c>
      <c r="W217" s="254">
        <v>0</v>
      </c>
      <c r="X217" s="254">
        <v>0</v>
      </c>
      <c r="Y217" s="254">
        <v>0</v>
      </c>
      <c r="Z217" s="248">
        <f t="shared" si="49"/>
        <v>0</v>
      </c>
    </row>
    <row r="218" spans="1:26" s="230" customFormat="1" ht="15" customHeight="1">
      <c r="A218" s="144"/>
      <c r="B218" s="245">
        <v>6</v>
      </c>
      <c r="C218" s="246"/>
      <c r="D218" s="246"/>
      <c r="E218" s="247"/>
      <c r="F218" s="261"/>
      <c r="G218" s="266" t="str">
        <f t="shared" si="50"/>
        <v>X543UAR (I5-6200U)</v>
      </c>
      <c r="H218" s="248" t="s">
        <v>103</v>
      </c>
      <c r="I218" s="250" t="s">
        <v>103</v>
      </c>
      <c r="J218" s="250" t="s">
        <v>153</v>
      </c>
      <c r="K218" s="251" t="s">
        <v>217</v>
      </c>
      <c r="L218" s="262">
        <v>1</v>
      </c>
      <c r="M218" s="260" t="s">
        <v>148</v>
      </c>
      <c r="N218" s="253"/>
      <c r="O218" s="268">
        <v>21938</v>
      </c>
      <c r="P218" s="253"/>
      <c r="Q218" s="254">
        <v>2500</v>
      </c>
      <c r="R218" s="254">
        <v>2500</v>
      </c>
      <c r="S218" s="254">
        <v>2400</v>
      </c>
      <c r="T218" s="254">
        <v>0</v>
      </c>
      <c r="U218" s="254">
        <v>0</v>
      </c>
      <c r="V218" s="254">
        <v>0</v>
      </c>
      <c r="W218" s="254">
        <v>0</v>
      </c>
      <c r="X218" s="254">
        <v>0</v>
      </c>
      <c r="Y218" s="254">
        <v>0</v>
      </c>
      <c r="Z218" s="248">
        <f t="shared" si="49"/>
        <v>7400</v>
      </c>
    </row>
    <row r="219" spans="1:26" s="230" customFormat="1" ht="15" customHeight="1">
      <c r="A219" s="144"/>
      <c r="B219" s="245">
        <v>7</v>
      </c>
      <c r="C219" s="246"/>
      <c r="D219" s="246"/>
      <c r="E219" s="247"/>
      <c r="F219" s="261"/>
      <c r="G219" s="266" t="str">
        <f t="shared" si="50"/>
        <v>X543UAR (I5-6200U)</v>
      </c>
      <c r="H219" s="248" t="s">
        <v>103</v>
      </c>
      <c r="I219" s="250" t="s">
        <v>103</v>
      </c>
      <c r="J219" s="250" t="s">
        <v>153</v>
      </c>
      <c r="K219" s="251" t="s">
        <v>216</v>
      </c>
      <c r="L219" s="262">
        <v>3</v>
      </c>
      <c r="M219" s="263" t="s">
        <v>145</v>
      </c>
      <c r="N219" s="253"/>
      <c r="O219" s="253">
        <v>21791</v>
      </c>
      <c r="P219" s="253"/>
      <c r="Q219" s="254">
        <v>7500</v>
      </c>
      <c r="R219" s="254">
        <v>5141</v>
      </c>
      <c r="S219" s="254">
        <v>0</v>
      </c>
      <c r="T219" s="254">
        <v>0</v>
      </c>
      <c r="U219" s="254">
        <v>0</v>
      </c>
      <c r="V219" s="254">
        <v>0</v>
      </c>
      <c r="W219" s="254">
        <v>0</v>
      </c>
      <c r="X219" s="254">
        <v>0</v>
      </c>
      <c r="Y219" s="254">
        <v>0</v>
      </c>
      <c r="Z219" s="248">
        <f t="shared" si="49"/>
        <v>12641</v>
      </c>
    </row>
    <row r="220" spans="1:26" s="230" customFormat="1" ht="15" customHeight="1">
      <c r="A220" s="144"/>
      <c r="B220" s="245">
        <v>1</v>
      </c>
      <c r="C220" s="152"/>
      <c r="D220" s="152"/>
      <c r="E220" s="195"/>
      <c r="F220" s="197"/>
      <c r="G220" s="266" t="str">
        <f t="shared" si="50"/>
        <v>X543UAR (I5-6200U)</v>
      </c>
      <c r="H220" s="147" t="s">
        <v>20</v>
      </c>
      <c r="I220" s="196" t="s">
        <v>142</v>
      </c>
      <c r="J220" s="196" t="s">
        <v>153</v>
      </c>
      <c r="K220" s="202" t="s">
        <v>212</v>
      </c>
      <c r="L220" s="198">
        <v>1</v>
      </c>
      <c r="M220" s="204" t="s">
        <v>146</v>
      </c>
      <c r="N220" s="253"/>
      <c r="O220" s="253">
        <v>9136</v>
      </c>
      <c r="P220" s="253"/>
      <c r="Q220" s="129">
        <f t="shared" ref="Q220:Y226" si="51">(Q$212*$L220)-Q213</f>
        <v>0</v>
      </c>
      <c r="R220" s="129">
        <f t="shared" si="51"/>
        <v>0</v>
      </c>
      <c r="S220" s="129">
        <f t="shared" si="51"/>
        <v>0</v>
      </c>
      <c r="T220" s="129">
        <f t="shared" si="51"/>
        <v>0</v>
      </c>
      <c r="U220" s="129">
        <f t="shared" si="51"/>
        <v>0</v>
      </c>
      <c r="V220" s="129">
        <f t="shared" si="51"/>
        <v>0</v>
      </c>
      <c r="W220" s="129">
        <f t="shared" si="51"/>
        <v>0</v>
      </c>
      <c r="X220" s="129">
        <f t="shared" si="51"/>
        <v>0</v>
      </c>
      <c r="Y220" s="129" t="e">
        <f t="shared" si="51"/>
        <v>#REF!</v>
      </c>
      <c r="Z220" s="147" t="e">
        <f t="shared" si="49"/>
        <v>#REF!</v>
      </c>
    </row>
    <row r="221" spans="1:26" s="230" customFormat="1" ht="15" customHeight="1">
      <c r="A221" s="144"/>
      <c r="B221" s="245">
        <v>2</v>
      </c>
      <c r="C221" s="152"/>
      <c r="D221" s="152"/>
      <c r="E221" s="195"/>
      <c r="F221" s="197"/>
      <c r="G221" s="266" t="str">
        <f t="shared" si="50"/>
        <v>X543UAR (I5-6200U)</v>
      </c>
      <c r="H221" s="147" t="s">
        <v>20</v>
      </c>
      <c r="I221" s="196" t="s">
        <v>142</v>
      </c>
      <c r="J221" s="196" t="s">
        <v>153</v>
      </c>
      <c r="K221" s="201" t="s">
        <v>213</v>
      </c>
      <c r="L221" s="198">
        <v>1</v>
      </c>
      <c r="M221" s="204" t="s">
        <v>149</v>
      </c>
      <c r="N221" s="253"/>
      <c r="O221" s="253">
        <v>86720</v>
      </c>
      <c r="P221" s="253"/>
      <c r="Q221" s="129">
        <f t="shared" si="51"/>
        <v>-2500</v>
      </c>
      <c r="R221" s="129">
        <f t="shared" si="51"/>
        <v>-2500</v>
      </c>
      <c r="S221" s="129">
        <f t="shared" si="51"/>
        <v>-2400</v>
      </c>
      <c r="T221" s="129">
        <f t="shared" si="51"/>
        <v>0</v>
      </c>
      <c r="U221" s="129">
        <f t="shared" si="51"/>
        <v>0</v>
      </c>
      <c r="V221" s="129">
        <f t="shared" si="51"/>
        <v>0</v>
      </c>
      <c r="W221" s="129">
        <f t="shared" si="51"/>
        <v>0</v>
      </c>
      <c r="X221" s="129">
        <f t="shared" si="51"/>
        <v>0</v>
      </c>
      <c r="Y221" s="129" t="e">
        <f t="shared" si="51"/>
        <v>#REF!</v>
      </c>
      <c r="Z221" s="147" t="e">
        <f t="shared" si="49"/>
        <v>#REF!</v>
      </c>
    </row>
    <row r="222" spans="1:26" s="230" customFormat="1" ht="15" customHeight="1">
      <c r="A222" s="144"/>
      <c r="B222" s="245">
        <v>3</v>
      </c>
      <c r="C222" s="152"/>
      <c r="D222" s="152"/>
      <c r="E222" s="195"/>
      <c r="F222" s="197"/>
      <c r="G222" s="266" t="str">
        <f t="shared" si="50"/>
        <v>X543UAR (I5-6200U)</v>
      </c>
      <c r="H222" s="147" t="s">
        <v>20</v>
      </c>
      <c r="I222" s="196" t="s">
        <v>142</v>
      </c>
      <c r="J222" s="196" t="s">
        <v>153</v>
      </c>
      <c r="K222" s="202" t="s">
        <v>214</v>
      </c>
      <c r="L222" s="198">
        <v>1</v>
      </c>
      <c r="M222" s="204" t="s">
        <v>144</v>
      </c>
      <c r="N222" s="253"/>
      <c r="O222" s="253">
        <v>11770</v>
      </c>
      <c r="P222" s="253"/>
      <c r="Q222" s="129">
        <f t="shared" si="51"/>
        <v>0</v>
      </c>
      <c r="R222" s="129">
        <f t="shared" si="51"/>
        <v>0</v>
      </c>
      <c r="S222" s="129">
        <f t="shared" si="51"/>
        <v>0</v>
      </c>
      <c r="T222" s="129">
        <f t="shared" si="51"/>
        <v>0</v>
      </c>
      <c r="U222" s="129">
        <f t="shared" si="51"/>
        <v>0</v>
      </c>
      <c r="V222" s="129">
        <f t="shared" si="51"/>
        <v>0</v>
      </c>
      <c r="W222" s="129">
        <f t="shared" si="51"/>
        <v>0</v>
      </c>
      <c r="X222" s="129">
        <f t="shared" si="51"/>
        <v>0</v>
      </c>
      <c r="Y222" s="129" t="e">
        <f t="shared" si="51"/>
        <v>#REF!</v>
      </c>
      <c r="Z222" s="147" t="e">
        <f t="shared" si="49"/>
        <v>#REF!</v>
      </c>
    </row>
    <row r="223" spans="1:26" s="230" customFormat="1" ht="15" customHeight="1">
      <c r="A223" s="144"/>
      <c r="B223" s="245">
        <v>4</v>
      </c>
      <c r="C223" s="152"/>
      <c r="D223" s="152"/>
      <c r="E223" s="195"/>
      <c r="F223" s="197"/>
      <c r="G223" s="266" t="str">
        <f t="shared" si="50"/>
        <v>X543UAR (I5-6200U)</v>
      </c>
      <c r="H223" s="147" t="s">
        <v>20</v>
      </c>
      <c r="I223" s="196" t="s">
        <v>142</v>
      </c>
      <c r="J223" s="196" t="s">
        <v>153</v>
      </c>
      <c r="K223" s="202" t="s">
        <v>154</v>
      </c>
      <c r="L223" s="198">
        <v>1</v>
      </c>
      <c r="M223" s="204" t="s">
        <v>150</v>
      </c>
      <c r="N223" s="253"/>
      <c r="O223" s="253">
        <v>12554</v>
      </c>
      <c r="P223" s="253"/>
      <c r="Q223" s="129">
        <f t="shared" si="51"/>
        <v>0</v>
      </c>
      <c r="R223" s="129">
        <f t="shared" si="51"/>
        <v>0</v>
      </c>
      <c r="S223" s="129">
        <f t="shared" si="51"/>
        <v>0</v>
      </c>
      <c r="T223" s="129">
        <f t="shared" si="51"/>
        <v>0</v>
      </c>
      <c r="U223" s="129">
        <f t="shared" si="51"/>
        <v>0</v>
      </c>
      <c r="V223" s="129">
        <f t="shared" si="51"/>
        <v>0</v>
      </c>
      <c r="W223" s="129">
        <f t="shared" si="51"/>
        <v>0</v>
      </c>
      <c r="X223" s="129">
        <f t="shared" si="51"/>
        <v>0</v>
      </c>
      <c r="Y223" s="129" t="e">
        <f t="shared" si="51"/>
        <v>#REF!</v>
      </c>
      <c r="Z223" s="147" t="e">
        <f t="shared" si="49"/>
        <v>#REF!</v>
      </c>
    </row>
    <row r="224" spans="1:26" s="230" customFormat="1" ht="15.6">
      <c r="A224" s="144"/>
      <c r="B224" s="245">
        <v>5</v>
      </c>
      <c r="C224" s="152"/>
      <c r="D224" s="152"/>
      <c r="E224" s="195"/>
      <c r="F224" s="197"/>
      <c r="G224" s="266" t="str">
        <f t="shared" si="50"/>
        <v>X543UAR (I5-6200U)</v>
      </c>
      <c r="H224" s="147" t="s">
        <v>20</v>
      </c>
      <c r="I224" s="196" t="s">
        <v>142</v>
      </c>
      <c r="J224" s="196" t="s">
        <v>153</v>
      </c>
      <c r="K224" s="201" t="s">
        <v>215</v>
      </c>
      <c r="L224" s="198">
        <v>1</v>
      </c>
      <c r="M224" s="204" t="s">
        <v>147</v>
      </c>
      <c r="N224" s="253"/>
      <c r="O224" s="253">
        <v>4568</v>
      </c>
      <c r="P224" s="253"/>
      <c r="Q224" s="129">
        <f t="shared" si="51"/>
        <v>0</v>
      </c>
      <c r="R224" s="129">
        <f t="shared" si="51"/>
        <v>0</v>
      </c>
      <c r="S224" s="129">
        <f t="shared" si="51"/>
        <v>0</v>
      </c>
      <c r="T224" s="129">
        <f t="shared" si="51"/>
        <v>0</v>
      </c>
      <c r="U224" s="129">
        <f t="shared" si="51"/>
        <v>0</v>
      </c>
      <c r="V224" s="129">
        <f t="shared" si="51"/>
        <v>0</v>
      </c>
      <c r="W224" s="129">
        <f t="shared" si="51"/>
        <v>0</v>
      </c>
      <c r="X224" s="129">
        <f t="shared" si="51"/>
        <v>0</v>
      </c>
      <c r="Y224" s="129" t="e">
        <f t="shared" si="51"/>
        <v>#REF!</v>
      </c>
      <c r="Z224" s="147" t="e">
        <f t="shared" si="49"/>
        <v>#REF!</v>
      </c>
    </row>
    <row r="225" spans="1:26" s="230" customFormat="1" ht="15.6">
      <c r="A225" s="144"/>
      <c r="B225" s="245">
        <v>6</v>
      </c>
      <c r="C225" s="152"/>
      <c r="D225" s="152"/>
      <c r="E225" s="195"/>
      <c r="F225" s="197"/>
      <c r="G225" s="266" t="str">
        <f t="shared" si="50"/>
        <v>X543UAR (I5-6200U)</v>
      </c>
      <c r="H225" s="147" t="s">
        <v>20</v>
      </c>
      <c r="I225" s="196" t="s">
        <v>142</v>
      </c>
      <c r="J225" s="196" t="s">
        <v>153</v>
      </c>
      <c r="K225" s="201" t="s">
        <v>217</v>
      </c>
      <c r="L225" s="198">
        <v>1</v>
      </c>
      <c r="M225" s="260" t="s">
        <v>148</v>
      </c>
      <c r="N225" s="253"/>
      <c r="O225" s="268">
        <v>21938</v>
      </c>
      <c r="P225" s="253"/>
      <c r="Q225" s="129">
        <f t="shared" si="51"/>
        <v>-2500</v>
      </c>
      <c r="R225" s="129">
        <f t="shared" si="51"/>
        <v>-2500</v>
      </c>
      <c r="S225" s="129">
        <f t="shared" si="51"/>
        <v>-2400</v>
      </c>
      <c r="T225" s="129">
        <f t="shared" si="51"/>
        <v>0</v>
      </c>
      <c r="U225" s="129">
        <f t="shared" si="51"/>
        <v>0</v>
      </c>
      <c r="V225" s="129">
        <f t="shared" si="51"/>
        <v>0</v>
      </c>
      <c r="W225" s="129">
        <f t="shared" si="51"/>
        <v>0</v>
      </c>
      <c r="X225" s="129">
        <f t="shared" si="51"/>
        <v>0</v>
      </c>
      <c r="Y225" s="129" t="e">
        <f t="shared" si="51"/>
        <v>#REF!</v>
      </c>
      <c r="Z225" s="147" t="e">
        <f t="shared" si="49"/>
        <v>#REF!</v>
      </c>
    </row>
    <row r="226" spans="1:26" s="230" customFormat="1" ht="15.6">
      <c r="A226" s="144"/>
      <c r="B226" s="245">
        <v>7</v>
      </c>
      <c r="C226" s="152"/>
      <c r="D226" s="152"/>
      <c r="E226" s="195"/>
      <c r="F226" s="197"/>
      <c r="G226" s="266" t="str">
        <f t="shared" si="50"/>
        <v>X543UAR (I5-6200U)</v>
      </c>
      <c r="H226" s="147" t="s">
        <v>20</v>
      </c>
      <c r="I226" s="196" t="s">
        <v>142</v>
      </c>
      <c r="J226" s="196" t="s">
        <v>153</v>
      </c>
      <c r="K226" s="201" t="s">
        <v>216</v>
      </c>
      <c r="L226" s="198">
        <v>3</v>
      </c>
      <c r="M226" s="204" t="s">
        <v>145</v>
      </c>
      <c r="N226" s="253"/>
      <c r="O226" s="253">
        <v>21791</v>
      </c>
      <c r="P226" s="253"/>
      <c r="Q226" s="129">
        <f t="shared" si="51"/>
        <v>-7500</v>
      </c>
      <c r="R226" s="129">
        <f t="shared" si="51"/>
        <v>-5141</v>
      </c>
      <c r="S226" s="129">
        <f t="shared" si="51"/>
        <v>0</v>
      </c>
      <c r="T226" s="129">
        <f t="shared" si="51"/>
        <v>0</v>
      </c>
      <c r="U226" s="129">
        <f t="shared" si="51"/>
        <v>0</v>
      </c>
      <c r="V226" s="129">
        <f t="shared" si="51"/>
        <v>0</v>
      </c>
      <c r="W226" s="129">
        <f t="shared" si="51"/>
        <v>0</v>
      </c>
      <c r="X226" s="129">
        <f t="shared" si="51"/>
        <v>0</v>
      </c>
      <c r="Y226" s="129" t="e">
        <f t="shared" si="51"/>
        <v>#REF!</v>
      </c>
      <c r="Z226" s="147" t="e">
        <f t="shared" si="49"/>
        <v>#REF!</v>
      </c>
    </row>
    <row r="227" spans="1:26" s="230" customFormat="1">
      <c r="A227" s="144"/>
      <c r="B227" s="244" t="e">
        <f>SUM(Q227:Y227)</f>
        <v>#REF!</v>
      </c>
      <c r="C227" s="244" t="s">
        <v>101</v>
      </c>
      <c r="D227" s="244" t="s">
        <v>232</v>
      </c>
      <c r="E227" s="244" t="s">
        <v>22</v>
      </c>
      <c r="F227" s="244" t="e">
        <f>SUM(N227:Y227)</f>
        <v>#REF!</v>
      </c>
      <c r="G227" s="272" t="s">
        <v>236</v>
      </c>
      <c r="H227" s="244"/>
      <c r="I227" s="244"/>
      <c r="J227" s="244"/>
      <c r="K227" s="244"/>
      <c r="L227" s="244"/>
      <c r="M227" s="244"/>
      <c r="N227" s="244"/>
      <c r="O227" s="244"/>
      <c r="P227" s="244"/>
      <c r="Q227" s="244">
        <f>SUMIFS(MB!R:R,MB!$F:$F,$G:$G,MB!$D:$D,"FCST")</f>
        <v>0</v>
      </c>
      <c r="R227" s="244">
        <f>SUMIFS(MB!S:S,MB!$F:$F,$G:$G,MB!$D:$D,"FCST")</f>
        <v>0</v>
      </c>
      <c r="S227" s="244">
        <f>SUMIFS(MB!T:T,MB!$F:$F,$G:$G,MB!$D:$D,"FCST")</f>
        <v>0</v>
      </c>
      <c r="T227" s="244">
        <f>SUMIFS(MB!U:U,MB!$F:$F,$G:$G,MB!$D:$D,"FCST")</f>
        <v>0</v>
      </c>
      <c r="U227" s="244">
        <f>SUMIFS(MB!V:V,MB!$F:$F,$G:$G,MB!$D:$D,"FCST")</f>
        <v>0</v>
      </c>
      <c r="V227" s="244">
        <f>SUMIFS(MB!W:W,MB!$F:$F,$G:$G,MB!$D:$D,"FCST")</f>
        <v>0</v>
      </c>
      <c r="W227" s="244">
        <f>SUMIFS(MB!X:X,MB!$F:$F,$G:$G,MB!$D:$D,"FCST")</f>
        <v>0</v>
      </c>
      <c r="X227" s="244">
        <f>SUMIFS(MB!Y:Y,MB!$F:$F,$G:$G,MB!$D:$D,"FCST")</f>
        <v>0</v>
      </c>
      <c r="Y227" s="244" t="e">
        <f>SUMIFS(MB!#REF!,MB!$F:$F,$G:$G,MB!$D:$D,"FCST")</f>
        <v>#REF!</v>
      </c>
      <c r="Z227" s="244"/>
    </row>
    <row r="228" spans="1:26" s="230" customFormat="1" ht="15.6">
      <c r="A228" s="144"/>
      <c r="B228" s="245">
        <v>1</v>
      </c>
      <c r="C228" s="246"/>
      <c r="D228" s="246"/>
      <c r="E228" s="247"/>
      <c r="F228" s="261"/>
      <c r="G228" s="266" t="str">
        <f>$G$227</f>
        <v>X543UAR (I5-8250U)</v>
      </c>
      <c r="H228" s="248" t="s">
        <v>103</v>
      </c>
      <c r="I228" s="248" t="s">
        <v>103</v>
      </c>
      <c r="J228" s="250" t="s">
        <v>153</v>
      </c>
      <c r="K228" s="251" t="s">
        <v>212</v>
      </c>
      <c r="L228" s="262">
        <v>1</v>
      </c>
      <c r="M228" s="263" t="s">
        <v>146</v>
      </c>
      <c r="N228" s="253"/>
      <c r="O228" s="253">
        <v>9136</v>
      </c>
      <c r="P228" s="253"/>
      <c r="Q228" s="254">
        <v>0</v>
      </c>
      <c r="R228" s="254">
        <v>0</v>
      </c>
      <c r="S228" s="254">
        <v>0</v>
      </c>
      <c r="T228" s="254">
        <v>0</v>
      </c>
      <c r="U228" s="254">
        <v>0</v>
      </c>
      <c r="V228" s="254">
        <v>0</v>
      </c>
      <c r="W228" s="254">
        <v>0</v>
      </c>
      <c r="X228" s="254">
        <v>0</v>
      </c>
      <c r="Y228" s="254">
        <v>0</v>
      </c>
      <c r="Z228" s="248">
        <f t="shared" ref="Z228:Z241" si="52">SUM(Q228:Y228)</f>
        <v>0</v>
      </c>
    </row>
    <row r="229" spans="1:26" s="230" customFormat="1" ht="15.6">
      <c r="A229" s="144"/>
      <c r="B229" s="245">
        <v>2</v>
      </c>
      <c r="C229" s="246"/>
      <c r="D229" s="246"/>
      <c r="E229" s="247"/>
      <c r="F229" s="261"/>
      <c r="G229" s="266" t="str">
        <f t="shared" ref="G229:G241" si="53">$G$227</f>
        <v>X543UAR (I5-8250U)</v>
      </c>
      <c r="H229" s="248" t="s">
        <v>103</v>
      </c>
      <c r="I229" s="248" t="s">
        <v>103</v>
      </c>
      <c r="J229" s="250" t="s">
        <v>153</v>
      </c>
      <c r="K229" s="255" t="s">
        <v>213</v>
      </c>
      <c r="L229" s="262">
        <v>1</v>
      </c>
      <c r="M229" s="263" t="s">
        <v>149</v>
      </c>
      <c r="N229" s="253"/>
      <c r="O229" s="253">
        <v>86720</v>
      </c>
      <c r="P229" s="253"/>
      <c r="Q229" s="254">
        <v>1300</v>
      </c>
      <c r="R229" s="254">
        <v>1300</v>
      </c>
      <c r="S229" s="254">
        <v>1900</v>
      </c>
      <c r="T229" s="254">
        <v>0</v>
      </c>
      <c r="U229" s="254">
        <v>0</v>
      </c>
      <c r="V229" s="254">
        <v>0</v>
      </c>
      <c r="W229" s="254">
        <v>0</v>
      </c>
      <c r="X229" s="254">
        <v>0</v>
      </c>
      <c r="Y229" s="254">
        <v>0</v>
      </c>
      <c r="Z229" s="248">
        <f t="shared" si="52"/>
        <v>4500</v>
      </c>
    </row>
    <row r="230" spans="1:26" s="230" customFormat="1" ht="15.6">
      <c r="A230" s="144"/>
      <c r="B230" s="245">
        <v>3</v>
      </c>
      <c r="C230" s="246"/>
      <c r="D230" s="246"/>
      <c r="E230" s="247"/>
      <c r="F230" s="261"/>
      <c r="G230" s="266" t="str">
        <f t="shared" si="53"/>
        <v>X543UAR (I5-8250U)</v>
      </c>
      <c r="H230" s="248" t="s">
        <v>103</v>
      </c>
      <c r="I230" s="248" t="s">
        <v>103</v>
      </c>
      <c r="J230" s="250" t="s">
        <v>153</v>
      </c>
      <c r="K230" s="255" t="s">
        <v>214</v>
      </c>
      <c r="L230" s="262">
        <v>1</v>
      </c>
      <c r="M230" s="263" t="s">
        <v>144</v>
      </c>
      <c r="N230" s="253"/>
      <c r="O230" s="253">
        <v>11770</v>
      </c>
      <c r="P230" s="253"/>
      <c r="Q230" s="254">
        <v>0</v>
      </c>
      <c r="R230" s="254">
        <v>0</v>
      </c>
      <c r="S230" s="254">
        <v>0</v>
      </c>
      <c r="T230" s="254">
        <v>0</v>
      </c>
      <c r="U230" s="254">
        <v>0</v>
      </c>
      <c r="V230" s="254">
        <v>0</v>
      </c>
      <c r="W230" s="254">
        <v>0</v>
      </c>
      <c r="X230" s="254">
        <v>0</v>
      </c>
      <c r="Y230" s="254">
        <v>0</v>
      </c>
      <c r="Z230" s="248">
        <f t="shared" si="52"/>
        <v>0</v>
      </c>
    </row>
    <row r="231" spans="1:26" s="230" customFormat="1" ht="15.6">
      <c r="A231" s="144"/>
      <c r="B231" s="245">
        <v>4</v>
      </c>
      <c r="C231" s="246"/>
      <c r="D231" s="246"/>
      <c r="E231" s="247"/>
      <c r="F231" s="248"/>
      <c r="G231" s="266" t="str">
        <f t="shared" si="53"/>
        <v>X543UAR (I5-8250U)</v>
      </c>
      <c r="H231" s="248" t="s">
        <v>103</v>
      </c>
      <c r="I231" s="248" t="s">
        <v>103</v>
      </c>
      <c r="J231" s="250" t="s">
        <v>153</v>
      </c>
      <c r="K231" s="251" t="s">
        <v>154</v>
      </c>
      <c r="L231" s="262">
        <v>1</v>
      </c>
      <c r="M231" s="263" t="s">
        <v>150</v>
      </c>
      <c r="N231" s="253"/>
      <c r="O231" s="253">
        <v>12554</v>
      </c>
      <c r="P231" s="253"/>
      <c r="Q231" s="254">
        <v>0</v>
      </c>
      <c r="R231" s="254">
        <v>0</v>
      </c>
      <c r="S231" s="254">
        <v>0</v>
      </c>
      <c r="T231" s="254">
        <v>0</v>
      </c>
      <c r="U231" s="254">
        <v>0</v>
      </c>
      <c r="V231" s="254">
        <v>0</v>
      </c>
      <c r="W231" s="254">
        <v>0</v>
      </c>
      <c r="X231" s="254">
        <v>0</v>
      </c>
      <c r="Y231" s="254">
        <v>0</v>
      </c>
      <c r="Z231" s="248">
        <f t="shared" si="52"/>
        <v>0</v>
      </c>
    </row>
    <row r="232" spans="1:26" s="230" customFormat="1" ht="15.6">
      <c r="A232" s="144"/>
      <c r="B232" s="245">
        <v>5</v>
      </c>
      <c r="C232" s="246"/>
      <c r="D232" s="246"/>
      <c r="E232" s="247"/>
      <c r="F232" s="248"/>
      <c r="G232" s="266" t="str">
        <f t="shared" si="53"/>
        <v>X543UAR (I5-8250U)</v>
      </c>
      <c r="H232" s="248" t="s">
        <v>103</v>
      </c>
      <c r="I232" s="248" t="s">
        <v>103</v>
      </c>
      <c r="J232" s="250" t="s">
        <v>153</v>
      </c>
      <c r="K232" s="251" t="s">
        <v>215</v>
      </c>
      <c r="L232" s="262">
        <v>1</v>
      </c>
      <c r="M232" s="263" t="s">
        <v>147</v>
      </c>
      <c r="N232" s="253"/>
      <c r="O232" s="253">
        <v>4568</v>
      </c>
      <c r="P232" s="253"/>
      <c r="Q232" s="254">
        <v>0</v>
      </c>
      <c r="R232" s="254">
        <v>0</v>
      </c>
      <c r="S232" s="254">
        <v>0</v>
      </c>
      <c r="T232" s="254">
        <v>0</v>
      </c>
      <c r="U232" s="254">
        <v>0</v>
      </c>
      <c r="V232" s="254">
        <v>0</v>
      </c>
      <c r="W232" s="254">
        <v>0</v>
      </c>
      <c r="X232" s="254">
        <v>0</v>
      </c>
      <c r="Y232" s="254">
        <v>0</v>
      </c>
      <c r="Z232" s="248">
        <f t="shared" si="52"/>
        <v>0</v>
      </c>
    </row>
    <row r="233" spans="1:26" s="230" customFormat="1" ht="15.6">
      <c r="A233" s="144"/>
      <c r="B233" s="245">
        <v>6</v>
      </c>
      <c r="C233" s="246"/>
      <c r="D233" s="246"/>
      <c r="E233" s="247"/>
      <c r="F233" s="248"/>
      <c r="G233" s="266" t="str">
        <f t="shared" si="53"/>
        <v>X543UAR (I5-8250U)</v>
      </c>
      <c r="H233" s="248" t="s">
        <v>103</v>
      </c>
      <c r="I233" s="248" t="s">
        <v>103</v>
      </c>
      <c r="J233" s="250" t="s">
        <v>153</v>
      </c>
      <c r="K233" s="251" t="s">
        <v>217</v>
      </c>
      <c r="L233" s="262">
        <v>1</v>
      </c>
      <c r="M233" s="263" t="s">
        <v>160</v>
      </c>
      <c r="N233" s="253"/>
      <c r="O233" s="253">
        <v>39900</v>
      </c>
      <c r="P233" s="253"/>
      <c r="Q233" s="254">
        <v>1300</v>
      </c>
      <c r="R233" s="254">
        <v>250</v>
      </c>
      <c r="S233" s="254">
        <v>0</v>
      </c>
      <c r="T233" s="254">
        <v>0</v>
      </c>
      <c r="U233" s="254">
        <v>0</v>
      </c>
      <c r="V233" s="254">
        <v>0</v>
      </c>
      <c r="W233" s="254">
        <v>0</v>
      </c>
      <c r="X233" s="254">
        <v>0</v>
      </c>
      <c r="Y233" s="254">
        <v>0</v>
      </c>
      <c r="Z233" s="248">
        <f t="shared" si="52"/>
        <v>1550</v>
      </c>
    </row>
    <row r="234" spans="1:26" s="230" customFormat="1" ht="15.6">
      <c r="A234" s="144"/>
      <c r="B234" s="245">
        <v>7</v>
      </c>
      <c r="C234" s="246"/>
      <c r="D234" s="246"/>
      <c r="E234" s="247"/>
      <c r="F234" s="248"/>
      <c r="G234" s="266" t="str">
        <f t="shared" si="53"/>
        <v>X543UAR (I5-8250U)</v>
      </c>
      <c r="H234" s="248" t="s">
        <v>103</v>
      </c>
      <c r="I234" s="248" t="s">
        <v>103</v>
      </c>
      <c r="J234" s="250" t="s">
        <v>153</v>
      </c>
      <c r="K234" s="255" t="s">
        <v>216</v>
      </c>
      <c r="L234" s="262">
        <v>3</v>
      </c>
      <c r="M234" s="263" t="s">
        <v>161</v>
      </c>
      <c r="N234" s="253"/>
      <c r="O234" s="253">
        <v>81109</v>
      </c>
      <c r="P234" s="253"/>
      <c r="Q234" s="254">
        <v>3900</v>
      </c>
      <c r="R234" s="254">
        <v>3900</v>
      </c>
      <c r="S234" s="254">
        <v>0</v>
      </c>
      <c r="T234" s="254">
        <v>0</v>
      </c>
      <c r="U234" s="254">
        <v>0</v>
      </c>
      <c r="V234" s="254">
        <v>0</v>
      </c>
      <c r="W234" s="254">
        <v>0</v>
      </c>
      <c r="X234" s="254">
        <v>0</v>
      </c>
      <c r="Y234" s="254">
        <v>0</v>
      </c>
      <c r="Z234" s="248">
        <f t="shared" si="52"/>
        <v>7800</v>
      </c>
    </row>
    <row r="235" spans="1:26" s="230" customFormat="1" ht="15.6">
      <c r="A235" s="144"/>
      <c r="B235" s="245">
        <v>1</v>
      </c>
      <c r="C235" s="152"/>
      <c r="D235" s="152"/>
      <c r="E235" s="195"/>
      <c r="F235" s="147"/>
      <c r="G235" s="266" t="str">
        <f t="shared" si="53"/>
        <v>X543UAR (I5-8250U)</v>
      </c>
      <c r="H235" s="147" t="s">
        <v>20</v>
      </c>
      <c r="I235" s="196" t="s">
        <v>142</v>
      </c>
      <c r="J235" s="196" t="s">
        <v>153</v>
      </c>
      <c r="K235" s="201" t="s">
        <v>212</v>
      </c>
      <c r="L235" s="198">
        <v>1</v>
      </c>
      <c r="M235" s="204" t="s">
        <v>146</v>
      </c>
      <c r="N235" s="253"/>
      <c r="O235" s="253">
        <v>9136</v>
      </c>
      <c r="P235" s="253"/>
      <c r="Q235" s="129">
        <f t="shared" ref="Q235:Y241" si="54">(Q$227*$L235)-Q228</f>
        <v>0</v>
      </c>
      <c r="R235" s="129">
        <f t="shared" si="54"/>
        <v>0</v>
      </c>
      <c r="S235" s="129">
        <f t="shared" si="54"/>
        <v>0</v>
      </c>
      <c r="T235" s="129">
        <f t="shared" si="54"/>
        <v>0</v>
      </c>
      <c r="U235" s="129">
        <f t="shared" si="54"/>
        <v>0</v>
      </c>
      <c r="V235" s="129">
        <f t="shared" si="54"/>
        <v>0</v>
      </c>
      <c r="W235" s="129">
        <f t="shared" si="54"/>
        <v>0</v>
      </c>
      <c r="X235" s="129">
        <f t="shared" si="54"/>
        <v>0</v>
      </c>
      <c r="Y235" s="129" t="e">
        <f t="shared" si="54"/>
        <v>#REF!</v>
      </c>
      <c r="Z235" s="147" t="e">
        <f t="shared" si="52"/>
        <v>#REF!</v>
      </c>
    </row>
    <row r="236" spans="1:26" s="230" customFormat="1" ht="15.6">
      <c r="A236" s="144"/>
      <c r="B236" s="245">
        <v>2</v>
      </c>
      <c r="C236" s="152"/>
      <c r="D236" s="152"/>
      <c r="E236" s="195"/>
      <c r="F236" s="147"/>
      <c r="G236" s="266" t="str">
        <f t="shared" si="53"/>
        <v>X543UAR (I5-8250U)</v>
      </c>
      <c r="H236" s="147" t="s">
        <v>20</v>
      </c>
      <c r="I236" s="196" t="s">
        <v>142</v>
      </c>
      <c r="J236" s="196" t="s">
        <v>153</v>
      </c>
      <c r="K236" s="202" t="s">
        <v>213</v>
      </c>
      <c r="L236" s="198">
        <v>1</v>
      </c>
      <c r="M236" s="204" t="s">
        <v>149</v>
      </c>
      <c r="N236" s="253"/>
      <c r="O236" s="253">
        <v>86720</v>
      </c>
      <c r="P236" s="253"/>
      <c r="Q236" s="129">
        <f t="shared" si="54"/>
        <v>-1300</v>
      </c>
      <c r="R236" s="129">
        <f t="shared" si="54"/>
        <v>-1300</v>
      </c>
      <c r="S236" s="129">
        <f t="shared" si="54"/>
        <v>-1900</v>
      </c>
      <c r="T236" s="129">
        <f t="shared" si="54"/>
        <v>0</v>
      </c>
      <c r="U236" s="129">
        <f t="shared" si="54"/>
        <v>0</v>
      </c>
      <c r="V236" s="129">
        <f t="shared" si="54"/>
        <v>0</v>
      </c>
      <c r="W236" s="129">
        <f t="shared" si="54"/>
        <v>0</v>
      </c>
      <c r="X236" s="129">
        <f t="shared" si="54"/>
        <v>0</v>
      </c>
      <c r="Y236" s="129" t="e">
        <f t="shared" si="54"/>
        <v>#REF!</v>
      </c>
      <c r="Z236" s="147" t="e">
        <f t="shared" si="52"/>
        <v>#REF!</v>
      </c>
    </row>
    <row r="237" spans="1:26" s="230" customFormat="1" ht="15.6">
      <c r="A237" s="144"/>
      <c r="B237" s="245">
        <v>3</v>
      </c>
      <c r="C237" s="152"/>
      <c r="D237" s="152"/>
      <c r="E237" s="195"/>
      <c r="F237" s="147"/>
      <c r="G237" s="266" t="str">
        <f t="shared" si="53"/>
        <v>X543UAR (I5-8250U)</v>
      </c>
      <c r="H237" s="147" t="s">
        <v>20</v>
      </c>
      <c r="I237" s="196" t="s">
        <v>142</v>
      </c>
      <c r="J237" s="196" t="s">
        <v>153</v>
      </c>
      <c r="K237" s="202" t="s">
        <v>214</v>
      </c>
      <c r="L237" s="198">
        <v>1</v>
      </c>
      <c r="M237" s="204" t="s">
        <v>144</v>
      </c>
      <c r="N237" s="253"/>
      <c r="O237" s="253">
        <v>11770</v>
      </c>
      <c r="P237" s="253"/>
      <c r="Q237" s="129">
        <f t="shared" si="54"/>
        <v>0</v>
      </c>
      <c r="R237" s="129">
        <f t="shared" si="54"/>
        <v>0</v>
      </c>
      <c r="S237" s="129">
        <f t="shared" si="54"/>
        <v>0</v>
      </c>
      <c r="T237" s="129">
        <f t="shared" si="54"/>
        <v>0</v>
      </c>
      <c r="U237" s="129">
        <f t="shared" si="54"/>
        <v>0</v>
      </c>
      <c r="V237" s="129">
        <f t="shared" si="54"/>
        <v>0</v>
      </c>
      <c r="W237" s="129">
        <f t="shared" si="54"/>
        <v>0</v>
      </c>
      <c r="X237" s="129">
        <f t="shared" si="54"/>
        <v>0</v>
      </c>
      <c r="Y237" s="129" t="e">
        <f t="shared" si="54"/>
        <v>#REF!</v>
      </c>
      <c r="Z237" s="147" t="e">
        <f t="shared" si="52"/>
        <v>#REF!</v>
      </c>
    </row>
    <row r="238" spans="1:26" s="230" customFormat="1" ht="15.6">
      <c r="A238" s="144"/>
      <c r="B238" s="245">
        <v>4</v>
      </c>
      <c r="C238" s="152"/>
      <c r="D238" s="152"/>
      <c r="E238" s="195"/>
      <c r="F238" s="147"/>
      <c r="G238" s="266" t="str">
        <f t="shared" si="53"/>
        <v>X543UAR (I5-8250U)</v>
      </c>
      <c r="H238" s="147" t="s">
        <v>20</v>
      </c>
      <c r="I238" s="196" t="s">
        <v>142</v>
      </c>
      <c r="J238" s="196" t="s">
        <v>153</v>
      </c>
      <c r="K238" s="201" t="s">
        <v>154</v>
      </c>
      <c r="L238" s="198">
        <v>1</v>
      </c>
      <c r="M238" s="204" t="s">
        <v>150</v>
      </c>
      <c r="N238" s="253"/>
      <c r="O238" s="253">
        <v>12554</v>
      </c>
      <c r="P238" s="253"/>
      <c r="Q238" s="129">
        <f t="shared" si="54"/>
        <v>0</v>
      </c>
      <c r="R238" s="129">
        <f t="shared" si="54"/>
        <v>0</v>
      </c>
      <c r="S238" s="129">
        <f t="shared" si="54"/>
        <v>0</v>
      </c>
      <c r="T238" s="129">
        <f t="shared" si="54"/>
        <v>0</v>
      </c>
      <c r="U238" s="129">
        <f t="shared" si="54"/>
        <v>0</v>
      </c>
      <c r="V238" s="129">
        <f t="shared" si="54"/>
        <v>0</v>
      </c>
      <c r="W238" s="129">
        <f t="shared" si="54"/>
        <v>0</v>
      </c>
      <c r="X238" s="129">
        <f t="shared" si="54"/>
        <v>0</v>
      </c>
      <c r="Y238" s="129" t="e">
        <f t="shared" si="54"/>
        <v>#REF!</v>
      </c>
      <c r="Z238" s="147" t="e">
        <f t="shared" si="52"/>
        <v>#REF!</v>
      </c>
    </row>
    <row r="239" spans="1:26" s="230" customFormat="1" ht="15.6">
      <c r="A239" s="144"/>
      <c r="B239" s="245">
        <v>5</v>
      </c>
      <c r="C239" s="152"/>
      <c r="D239" s="152"/>
      <c r="E239" s="195"/>
      <c r="F239" s="147"/>
      <c r="G239" s="266" t="str">
        <f t="shared" si="53"/>
        <v>X543UAR (I5-8250U)</v>
      </c>
      <c r="H239" s="147" t="s">
        <v>20</v>
      </c>
      <c r="I239" s="196" t="s">
        <v>142</v>
      </c>
      <c r="J239" s="196" t="s">
        <v>153</v>
      </c>
      <c r="K239" s="201" t="s">
        <v>215</v>
      </c>
      <c r="L239" s="198">
        <v>1</v>
      </c>
      <c r="M239" s="204" t="s">
        <v>147</v>
      </c>
      <c r="N239" s="253"/>
      <c r="O239" s="253">
        <v>4568</v>
      </c>
      <c r="P239" s="253"/>
      <c r="Q239" s="129">
        <f t="shared" si="54"/>
        <v>0</v>
      </c>
      <c r="R239" s="129">
        <f t="shared" si="54"/>
        <v>0</v>
      </c>
      <c r="S239" s="129">
        <f t="shared" si="54"/>
        <v>0</v>
      </c>
      <c r="T239" s="129">
        <f t="shared" si="54"/>
        <v>0</v>
      </c>
      <c r="U239" s="129">
        <f t="shared" si="54"/>
        <v>0</v>
      </c>
      <c r="V239" s="129">
        <f t="shared" si="54"/>
        <v>0</v>
      </c>
      <c r="W239" s="129">
        <f t="shared" si="54"/>
        <v>0</v>
      </c>
      <c r="X239" s="129">
        <f t="shared" si="54"/>
        <v>0</v>
      </c>
      <c r="Y239" s="129" t="e">
        <f t="shared" si="54"/>
        <v>#REF!</v>
      </c>
      <c r="Z239" s="147" t="e">
        <f t="shared" si="52"/>
        <v>#REF!</v>
      </c>
    </row>
    <row r="240" spans="1:26" s="230" customFormat="1" ht="15.6">
      <c r="A240" s="144"/>
      <c r="B240" s="245">
        <v>6</v>
      </c>
      <c r="C240" s="152"/>
      <c r="D240" s="152"/>
      <c r="E240" s="195"/>
      <c r="F240" s="147"/>
      <c r="G240" s="266" t="str">
        <f t="shared" si="53"/>
        <v>X543UAR (I5-8250U)</v>
      </c>
      <c r="H240" s="147" t="s">
        <v>20</v>
      </c>
      <c r="I240" s="196" t="s">
        <v>142</v>
      </c>
      <c r="J240" s="196" t="s">
        <v>153</v>
      </c>
      <c r="K240" s="201" t="s">
        <v>217</v>
      </c>
      <c r="L240" s="198">
        <v>1</v>
      </c>
      <c r="M240" s="204" t="s">
        <v>160</v>
      </c>
      <c r="N240" s="253"/>
      <c r="O240" s="253">
        <v>39900</v>
      </c>
      <c r="P240" s="253"/>
      <c r="Q240" s="129">
        <f t="shared" si="54"/>
        <v>-1300</v>
      </c>
      <c r="R240" s="129">
        <f t="shared" si="54"/>
        <v>-250</v>
      </c>
      <c r="S240" s="129">
        <f t="shared" si="54"/>
        <v>0</v>
      </c>
      <c r="T240" s="129">
        <f t="shared" si="54"/>
        <v>0</v>
      </c>
      <c r="U240" s="129">
        <f t="shared" si="54"/>
        <v>0</v>
      </c>
      <c r="V240" s="129">
        <f t="shared" si="54"/>
        <v>0</v>
      </c>
      <c r="W240" s="129">
        <f t="shared" si="54"/>
        <v>0</v>
      </c>
      <c r="X240" s="129">
        <f t="shared" si="54"/>
        <v>0</v>
      </c>
      <c r="Y240" s="129" t="e">
        <f t="shared" si="54"/>
        <v>#REF!</v>
      </c>
      <c r="Z240" s="147" t="e">
        <f t="shared" si="52"/>
        <v>#REF!</v>
      </c>
    </row>
    <row r="241" spans="1:26" s="230" customFormat="1" ht="15.6">
      <c r="A241" s="144"/>
      <c r="B241" s="245">
        <v>7</v>
      </c>
      <c r="C241" s="152"/>
      <c r="D241" s="152"/>
      <c r="E241" s="195"/>
      <c r="F241" s="147"/>
      <c r="G241" s="266" t="str">
        <f t="shared" si="53"/>
        <v>X543UAR (I5-8250U)</v>
      </c>
      <c r="H241" s="147" t="s">
        <v>20</v>
      </c>
      <c r="I241" s="196" t="s">
        <v>142</v>
      </c>
      <c r="J241" s="196" t="s">
        <v>153</v>
      </c>
      <c r="K241" s="202" t="s">
        <v>216</v>
      </c>
      <c r="L241" s="198">
        <v>3</v>
      </c>
      <c r="M241" s="204" t="s">
        <v>161</v>
      </c>
      <c r="N241" s="253"/>
      <c r="O241" s="253">
        <v>81109</v>
      </c>
      <c r="P241" s="253"/>
      <c r="Q241" s="129">
        <f t="shared" si="54"/>
        <v>-3900</v>
      </c>
      <c r="R241" s="129">
        <f t="shared" si="54"/>
        <v>-3900</v>
      </c>
      <c r="S241" s="129">
        <f t="shared" si="54"/>
        <v>0</v>
      </c>
      <c r="T241" s="129">
        <f t="shared" si="54"/>
        <v>0</v>
      </c>
      <c r="U241" s="129">
        <f t="shared" si="54"/>
        <v>0</v>
      </c>
      <c r="V241" s="129">
        <f t="shared" si="54"/>
        <v>0</v>
      </c>
      <c r="W241" s="129">
        <f t="shared" si="54"/>
        <v>0</v>
      </c>
      <c r="X241" s="129">
        <f t="shared" si="54"/>
        <v>0</v>
      </c>
      <c r="Y241" s="129" t="e">
        <f t="shared" si="54"/>
        <v>#REF!</v>
      </c>
      <c r="Z241" s="147" t="e">
        <f t="shared" si="52"/>
        <v>#REF!</v>
      </c>
    </row>
    <row r="242" spans="1:26" s="230" customFormat="1">
      <c r="A242" s="144"/>
      <c r="B242" s="244" t="e">
        <f>SUM(Q242:Y242)</f>
        <v>#REF!</v>
      </c>
      <c r="C242" s="244" t="s">
        <v>99</v>
      </c>
      <c r="D242" s="244" t="s">
        <v>229</v>
      </c>
      <c r="E242" s="244" t="s">
        <v>22</v>
      </c>
      <c r="F242" s="244" t="e">
        <f>SUM(N242:Y242)</f>
        <v>#REF!</v>
      </c>
      <c r="G242" s="244" t="s">
        <v>106</v>
      </c>
      <c r="H242" s="244"/>
      <c r="I242" s="244"/>
      <c r="J242" s="244"/>
      <c r="K242" s="244"/>
      <c r="L242" s="244"/>
      <c r="M242" s="244"/>
      <c r="N242" s="244"/>
      <c r="O242" s="244"/>
      <c r="P242" s="244"/>
      <c r="Q242" s="244">
        <f>SUMIFS(MB!R:R,MB!$F:$F,$G:$G,MB!$D:$D,"FCST")</f>
        <v>0</v>
      </c>
      <c r="R242" s="244">
        <f>SUMIFS(MB!S:S,MB!$F:$F,$G:$G,MB!$D:$D,"FCST")</f>
        <v>0</v>
      </c>
      <c r="S242" s="244">
        <f>SUMIFS(MB!T:T,MB!$F:$F,$G:$G,MB!$D:$D,"FCST")</f>
        <v>0</v>
      </c>
      <c r="T242" s="244">
        <f>SUMIFS(MB!U:U,MB!$F:$F,$G:$G,MB!$D:$D,"FCST")</f>
        <v>0</v>
      </c>
      <c r="U242" s="244">
        <f>SUMIFS(MB!V:V,MB!$F:$F,$G:$G,MB!$D:$D,"FCST")</f>
        <v>0</v>
      </c>
      <c r="V242" s="244">
        <f>SUMIFS(MB!W:W,MB!$F:$F,$G:$G,MB!$D:$D,"FCST")</f>
        <v>0</v>
      </c>
      <c r="W242" s="244">
        <f>SUMIFS(MB!X:X,MB!$F:$F,$G:$G,MB!$D:$D,"FCST")</f>
        <v>0</v>
      </c>
      <c r="X242" s="244">
        <f>SUMIFS(MB!Y:Y,MB!$F:$F,$G:$G,MB!$D:$D,"FCST")</f>
        <v>0</v>
      </c>
      <c r="Y242" s="244" t="e">
        <f>SUMIFS(MB!#REF!,MB!$F:$F,$G:$G,MB!$D:$D,"FCST")</f>
        <v>#REF!</v>
      </c>
      <c r="Z242" s="244"/>
    </row>
    <row r="243" spans="1:26" s="230" customFormat="1" ht="15.6">
      <c r="A243" s="144"/>
      <c r="B243" s="245">
        <v>1</v>
      </c>
      <c r="C243" s="246"/>
      <c r="D243" s="246"/>
      <c r="E243" s="247"/>
      <c r="F243" s="248"/>
      <c r="G243" s="266" t="str">
        <f>$G$242</f>
        <v>X571GT</v>
      </c>
      <c r="H243" s="248" t="s">
        <v>103</v>
      </c>
      <c r="I243" s="250" t="s">
        <v>103</v>
      </c>
      <c r="J243" s="250" t="s">
        <v>153</v>
      </c>
      <c r="K243" s="255" t="s">
        <v>212</v>
      </c>
      <c r="L243" s="262">
        <v>1</v>
      </c>
      <c r="M243" s="263" t="s">
        <v>146</v>
      </c>
      <c r="N243" s="253"/>
      <c r="O243" s="253">
        <v>9136</v>
      </c>
      <c r="P243" s="253"/>
      <c r="Q243" s="254">
        <v>0</v>
      </c>
      <c r="R243" s="254">
        <v>0</v>
      </c>
      <c r="S243" s="254">
        <v>0</v>
      </c>
      <c r="T243" s="254">
        <v>0</v>
      </c>
      <c r="U243" s="254">
        <v>0</v>
      </c>
      <c r="V243" s="254">
        <v>0</v>
      </c>
      <c r="W243" s="254">
        <v>0</v>
      </c>
      <c r="X243" s="254">
        <v>0</v>
      </c>
      <c r="Y243" s="254">
        <v>0</v>
      </c>
      <c r="Z243" s="248">
        <f t="shared" ref="Z243:Z256" si="55">SUM(Q243:Y243)</f>
        <v>0</v>
      </c>
    </row>
    <row r="244" spans="1:26" s="230" customFormat="1" ht="15.6">
      <c r="A244" s="144"/>
      <c r="B244" s="245">
        <v>2</v>
      </c>
      <c r="C244" s="246"/>
      <c r="D244" s="246"/>
      <c r="E244" s="247"/>
      <c r="F244" s="248"/>
      <c r="G244" s="266" t="str">
        <f t="shared" ref="G244:G256" si="56">$G$242</f>
        <v>X571GT</v>
      </c>
      <c r="H244" s="248" t="s">
        <v>103</v>
      </c>
      <c r="I244" s="250" t="s">
        <v>103</v>
      </c>
      <c r="J244" s="250" t="s">
        <v>153</v>
      </c>
      <c r="K244" s="255" t="s">
        <v>213</v>
      </c>
      <c r="L244" s="262">
        <v>1</v>
      </c>
      <c r="M244" s="263" t="s">
        <v>149</v>
      </c>
      <c r="N244" s="253"/>
      <c r="O244" s="253">
        <v>86720</v>
      </c>
      <c r="P244" s="253"/>
      <c r="Q244" s="254">
        <v>0</v>
      </c>
      <c r="R244" s="254">
        <v>0</v>
      </c>
      <c r="S244" s="254">
        <v>0</v>
      </c>
      <c r="T244" s="254">
        <v>0</v>
      </c>
      <c r="U244" s="254">
        <v>0</v>
      </c>
      <c r="V244" s="254">
        <v>0</v>
      </c>
      <c r="W244" s="254">
        <v>0</v>
      </c>
      <c r="X244" s="254">
        <v>0</v>
      </c>
      <c r="Y244" s="254">
        <v>0</v>
      </c>
      <c r="Z244" s="248">
        <f t="shared" si="55"/>
        <v>0</v>
      </c>
    </row>
    <row r="245" spans="1:26" s="230" customFormat="1" ht="15" customHeight="1">
      <c r="A245" s="144"/>
      <c r="B245" s="245">
        <v>3</v>
      </c>
      <c r="C245" s="246"/>
      <c r="D245" s="246"/>
      <c r="E245" s="247"/>
      <c r="F245" s="261"/>
      <c r="G245" s="266" t="str">
        <f t="shared" si="56"/>
        <v>X571GT</v>
      </c>
      <c r="H245" s="248" t="s">
        <v>103</v>
      </c>
      <c r="I245" s="250" t="s">
        <v>103</v>
      </c>
      <c r="J245" s="250" t="s">
        <v>153</v>
      </c>
      <c r="K245" s="255" t="s">
        <v>214</v>
      </c>
      <c r="L245" s="262">
        <v>1</v>
      </c>
      <c r="M245" s="263" t="s">
        <v>144</v>
      </c>
      <c r="N245" s="253"/>
      <c r="O245" s="253">
        <v>11770</v>
      </c>
      <c r="P245" s="253"/>
      <c r="Q245" s="254">
        <v>0</v>
      </c>
      <c r="R245" s="254">
        <v>0</v>
      </c>
      <c r="S245" s="254">
        <v>0</v>
      </c>
      <c r="T245" s="254">
        <v>0</v>
      </c>
      <c r="U245" s="254">
        <v>0</v>
      </c>
      <c r="V245" s="254">
        <v>0</v>
      </c>
      <c r="W245" s="254">
        <v>0</v>
      </c>
      <c r="X245" s="254">
        <v>0</v>
      </c>
      <c r="Y245" s="254">
        <v>0</v>
      </c>
      <c r="Z245" s="248">
        <f t="shared" si="55"/>
        <v>0</v>
      </c>
    </row>
    <row r="246" spans="1:26" s="230" customFormat="1" ht="15" customHeight="1">
      <c r="A246" s="144"/>
      <c r="B246" s="245">
        <v>4</v>
      </c>
      <c r="C246" s="246"/>
      <c r="D246" s="246"/>
      <c r="E246" s="247"/>
      <c r="F246" s="261"/>
      <c r="G246" s="266" t="str">
        <f t="shared" si="56"/>
        <v>X571GT</v>
      </c>
      <c r="H246" s="248" t="s">
        <v>103</v>
      </c>
      <c r="I246" s="250" t="s">
        <v>103</v>
      </c>
      <c r="J246" s="250" t="s">
        <v>153</v>
      </c>
      <c r="K246" s="255" t="s">
        <v>154</v>
      </c>
      <c r="L246" s="262">
        <v>1</v>
      </c>
      <c r="M246" s="263" t="s">
        <v>150</v>
      </c>
      <c r="N246" s="253"/>
      <c r="O246" s="253">
        <v>12554</v>
      </c>
      <c r="P246" s="253"/>
      <c r="Q246" s="254">
        <v>0</v>
      </c>
      <c r="R246" s="254">
        <v>0</v>
      </c>
      <c r="S246" s="254">
        <v>0</v>
      </c>
      <c r="T246" s="254">
        <v>0</v>
      </c>
      <c r="U246" s="254">
        <v>0</v>
      </c>
      <c r="V246" s="254">
        <v>0</v>
      </c>
      <c r="W246" s="254">
        <v>0</v>
      </c>
      <c r="X246" s="254">
        <v>0</v>
      </c>
      <c r="Y246" s="254">
        <v>0</v>
      </c>
      <c r="Z246" s="248">
        <f t="shared" si="55"/>
        <v>0</v>
      </c>
    </row>
    <row r="247" spans="1:26" s="230" customFormat="1" ht="15" customHeight="1">
      <c r="A247" s="144"/>
      <c r="B247" s="245">
        <v>5</v>
      </c>
      <c r="C247" s="246"/>
      <c r="D247" s="246"/>
      <c r="E247" s="247"/>
      <c r="F247" s="261"/>
      <c r="G247" s="266" t="str">
        <f t="shared" si="56"/>
        <v>X571GT</v>
      </c>
      <c r="H247" s="248" t="s">
        <v>103</v>
      </c>
      <c r="I247" s="250" t="s">
        <v>103</v>
      </c>
      <c r="J247" s="250" t="s">
        <v>153</v>
      </c>
      <c r="K247" s="255" t="s">
        <v>215</v>
      </c>
      <c r="L247" s="262">
        <v>1</v>
      </c>
      <c r="M247" s="263" t="s">
        <v>147</v>
      </c>
      <c r="N247" s="253"/>
      <c r="O247" s="253">
        <v>4568</v>
      </c>
      <c r="P247" s="253"/>
      <c r="Q247" s="254">
        <v>0</v>
      </c>
      <c r="R247" s="254">
        <v>0</v>
      </c>
      <c r="S247" s="254">
        <v>0</v>
      </c>
      <c r="T247" s="254">
        <v>0</v>
      </c>
      <c r="U247" s="254">
        <v>0</v>
      </c>
      <c r="V247" s="254">
        <v>0</v>
      </c>
      <c r="W247" s="254">
        <v>0</v>
      </c>
      <c r="X247" s="254">
        <v>0</v>
      </c>
      <c r="Y247" s="254">
        <v>0</v>
      </c>
      <c r="Z247" s="248">
        <f t="shared" si="55"/>
        <v>0</v>
      </c>
    </row>
    <row r="248" spans="1:26" s="230" customFormat="1" ht="15" customHeight="1">
      <c r="A248" s="144"/>
      <c r="B248" s="245">
        <v>6</v>
      </c>
      <c r="C248" s="246"/>
      <c r="D248" s="246"/>
      <c r="E248" s="247"/>
      <c r="F248" s="261"/>
      <c r="G248" s="266" t="str">
        <f t="shared" si="56"/>
        <v>X571GT</v>
      </c>
      <c r="H248" s="248" t="s">
        <v>103</v>
      </c>
      <c r="I248" s="248" t="s">
        <v>103</v>
      </c>
      <c r="J248" s="250" t="s">
        <v>153</v>
      </c>
      <c r="K248" s="255" t="s">
        <v>217</v>
      </c>
      <c r="L248" s="262">
        <v>1</v>
      </c>
      <c r="M248" s="260" t="s">
        <v>223</v>
      </c>
      <c r="N248" s="253"/>
      <c r="O248" s="253">
        <v>0</v>
      </c>
      <c r="P248" s="253"/>
      <c r="Q248" s="254">
        <v>0</v>
      </c>
      <c r="R248" s="254">
        <v>0</v>
      </c>
      <c r="S248" s="254">
        <v>0</v>
      </c>
      <c r="T248" s="254">
        <v>300</v>
      </c>
      <c r="U248" s="254">
        <v>300</v>
      </c>
      <c r="V248" s="254">
        <v>200</v>
      </c>
      <c r="W248" s="254">
        <v>500</v>
      </c>
      <c r="X248" s="254">
        <v>500</v>
      </c>
      <c r="Y248" s="254">
        <v>0</v>
      </c>
      <c r="Z248" s="248">
        <f t="shared" si="55"/>
        <v>1800</v>
      </c>
    </row>
    <row r="249" spans="1:26" s="230" customFormat="1" ht="15" customHeight="1">
      <c r="A249" s="144"/>
      <c r="B249" s="245">
        <v>7</v>
      </c>
      <c r="C249" s="246"/>
      <c r="D249" s="246"/>
      <c r="E249" s="247"/>
      <c r="F249" s="261"/>
      <c r="G249" s="266" t="str">
        <f t="shared" si="56"/>
        <v>X571GT</v>
      </c>
      <c r="H249" s="248" t="s">
        <v>103</v>
      </c>
      <c r="I249" s="248" t="s">
        <v>103</v>
      </c>
      <c r="J249" s="250" t="s">
        <v>153</v>
      </c>
      <c r="K249" s="255" t="s">
        <v>216</v>
      </c>
      <c r="L249" s="262">
        <v>3</v>
      </c>
      <c r="M249" s="260" t="s">
        <v>220</v>
      </c>
      <c r="N249" s="253"/>
      <c r="O249" s="253">
        <v>0</v>
      </c>
      <c r="P249" s="253"/>
      <c r="Q249" s="254">
        <v>0</v>
      </c>
      <c r="R249" s="254">
        <v>0</v>
      </c>
      <c r="S249" s="254">
        <v>0</v>
      </c>
      <c r="T249" s="254">
        <v>900</v>
      </c>
      <c r="U249" s="254">
        <v>900</v>
      </c>
      <c r="V249" s="254">
        <v>600</v>
      </c>
      <c r="W249" s="254">
        <v>1500</v>
      </c>
      <c r="X249" s="254">
        <v>1500</v>
      </c>
      <c r="Y249" s="254">
        <v>0</v>
      </c>
      <c r="Z249" s="248">
        <f t="shared" si="55"/>
        <v>5400</v>
      </c>
    </row>
    <row r="250" spans="1:26" s="230" customFormat="1" ht="15" customHeight="1">
      <c r="A250" s="144"/>
      <c r="B250" s="245">
        <v>1</v>
      </c>
      <c r="C250" s="152"/>
      <c r="D250" s="152"/>
      <c r="E250" s="195"/>
      <c r="F250" s="197"/>
      <c r="G250" s="266" t="str">
        <f t="shared" si="56"/>
        <v>X571GT</v>
      </c>
      <c r="H250" s="147" t="s">
        <v>20</v>
      </c>
      <c r="I250" s="196" t="s">
        <v>142</v>
      </c>
      <c r="J250" s="196" t="s">
        <v>153</v>
      </c>
      <c r="K250" s="202" t="s">
        <v>212</v>
      </c>
      <c r="L250" s="198">
        <v>1</v>
      </c>
      <c r="M250" s="204" t="s">
        <v>146</v>
      </c>
      <c r="N250" s="253"/>
      <c r="O250" s="253">
        <v>9136</v>
      </c>
      <c r="P250" s="253"/>
      <c r="Q250" s="129">
        <f t="shared" ref="Q250:Y256" si="57">(Q$242*$L250)-Q243</f>
        <v>0</v>
      </c>
      <c r="R250" s="129">
        <f t="shared" si="57"/>
        <v>0</v>
      </c>
      <c r="S250" s="129">
        <f t="shared" si="57"/>
        <v>0</v>
      </c>
      <c r="T250" s="129">
        <f t="shared" si="57"/>
        <v>0</v>
      </c>
      <c r="U250" s="129">
        <f t="shared" si="57"/>
        <v>0</v>
      </c>
      <c r="V250" s="129">
        <f t="shared" si="57"/>
        <v>0</v>
      </c>
      <c r="W250" s="129">
        <f t="shared" si="57"/>
        <v>0</v>
      </c>
      <c r="X250" s="129">
        <f t="shared" si="57"/>
        <v>0</v>
      </c>
      <c r="Y250" s="129" t="e">
        <f t="shared" si="57"/>
        <v>#REF!</v>
      </c>
      <c r="Z250" s="147" t="e">
        <f t="shared" si="55"/>
        <v>#REF!</v>
      </c>
    </row>
    <row r="251" spans="1:26" s="230" customFormat="1" ht="15" customHeight="1">
      <c r="A251" s="144"/>
      <c r="B251" s="245">
        <v>2</v>
      </c>
      <c r="C251" s="152"/>
      <c r="D251" s="152"/>
      <c r="E251" s="195"/>
      <c r="F251" s="197"/>
      <c r="G251" s="266" t="str">
        <f t="shared" si="56"/>
        <v>X571GT</v>
      </c>
      <c r="H251" s="147" t="s">
        <v>20</v>
      </c>
      <c r="I251" s="196" t="s">
        <v>142</v>
      </c>
      <c r="J251" s="196" t="s">
        <v>153</v>
      </c>
      <c r="K251" s="202" t="s">
        <v>213</v>
      </c>
      <c r="L251" s="198">
        <v>1</v>
      </c>
      <c r="M251" s="204" t="s">
        <v>149</v>
      </c>
      <c r="N251" s="253"/>
      <c r="O251" s="253">
        <v>86720</v>
      </c>
      <c r="P251" s="253"/>
      <c r="Q251" s="129">
        <f t="shared" si="57"/>
        <v>0</v>
      </c>
      <c r="R251" s="129">
        <f t="shared" si="57"/>
        <v>0</v>
      </c>
      <c r="S251" s="129">
        <f t="shared" si="57"/>
        <v>0</v>
      </c>
      <c r="T251" s="129">
        <f t="shared" si="57"/>
        <v>0</v>
      </c>
      <c r="U251" s="129">
        <f t="shared" si="57"/>
        <v>0</v>
      </c>
      <c r="V251" s="129">
        <f t="shared" si="57"/>
        <v>0</v>
      </c>
      <c r="W251" s="129">
        <f t="shared" si="57"/>
        <v>0</v>
      </c>
      <c r="X251" s="129">
        <f t="shared" si="57"/>
        <v>0</v>
      </c>
      <c r="Y251" s="129" t="e">
        <f t="shared" si="57"/>
        <v>#REF!</v>
      </c>
      <c r="Z251" s="147" t="e">
        <f t="shared" si="55"/>
        <v>#REF!</v>
      </c>
    </row>
    <row r="252" spans="1:26" s="230" customFormat="1" ht="15" customHeight="1">
      <c r="A252" s="144"/>
      <c r="B252" s="245">
        <v>3</v>
      </c>
      <c r="C252" s="152"/>
      <c r="D252" s="152"/>
      <c r="E252" s="195"/>
      <c r="F252" s="197"/>
      <c r="G252" s="266" t="str">
        <f t="shared" si="56"/>
        <v>X571GT</v>
      </c>
      <c r="H252" s="147" t="s">
        <v>20</v>
      </c>
      <c r="I252" s="196" t="s">
        <v>142</v>
      </c>
      <c r="J252" s="196" t="s">
        <v>153</v>
      </c>
      <c r="K252" s="202" t="s">
        <v>214</v>
      </c>
      <c r="L252" s="198">
        <v>1</v>
      </c>
      <c r="M252" s="204" t="s">
        <v>144</v>
      </c>
      <c r="N252" s="253"/>
      <c r="O252" s="253">
        <v>11770</v>
      </c>
      <c r="P252" s="253"/>
      <c r="Q252" s="129">
        <f t="shared" si="57"/>
        <v>0</v>
      </c>
      <c r="R252" s="129">
        <f t="shared" si="57"/>
        <v>0</v>
      </c>
      <c r="S252" s="129">
        <f t="shared" si="57"/>
        <v>0</v>
      </c>
      <c r="T252" s="129">
        <f t="shared" si="57"/>
        <v>0</v>
      </c>
      <c r="U252" s="129">
        <f t="shared" si="57"/>
        <v>0</v>
      </c>
      <c r="V252" s="129">
        <f t="shared" si="57"/>
        <v>0</v>
      </c>
      <c r="W252" s="129">
        <f t="shared" si="57"/>
        <v>0</v>
      </c>
      <c r="X252" s="129">
        <f t="shared" si="57"/>
        <v>0</v>
      </c>
      <c r="Y252" s="129" t="e">
        <f t="shared" si="57"/>
        <v>#REF!</v>
      </c>
      <c r="Z252" s="147" t="e">
        <f t="shared" si="55"/>
        <v>#REF!</v>
      </c>
    </row>
    <row r="253" spans="1:26" s="230" customFormat="1" ht="15" customHeight="1">
      <c r="A253" s="144"/>
      <c r="B253" s="245">
        <v>4</v>
      </c>
      <c r="C253" s="152"/>
      <c r="D253" s="152"/>
      <c r="E253" s="195"/>
      <c r="F253" s="197"/>
      <c r="G253" s="266" t="str">
        <f t="shared" si="56"/>
        <v>X571GT</v>
      </c>
      <c r="H253" s="147" t="s">
        <v>20</v>
      </c>
      <c r="I253" s="196" t="s">
        <v>142</v>
      </c>
      <c r="J253" s="196" t="s">
        <v>153</v>
      </c>
      <c r="K253" s="202" t="s">
        <v>154</v>
      </c>
      <c r="L253" s="198">
        <v>1</v>
      </c>
      <c r="M253" s="204" t="s">
        <v>150</v>
      </c>
      <c r="N253" s="253"/>
      <c r="O253" s="253">
        <v>12554</v>
      </c>
      <c r="P253" s="253"/>
      <c r="Q253" s="129">
        <f t="shared" si="57"/>
        <v>0</v>
      </c>
      <c r="R253" s="129">
        <f t="shared" si="57"/>
        <v>0</v>
      </c>
      <c r="S253" s="129">
        <f t="shared" si="57"/>
        <v>0</v>
      </c>
      <c r="T253" s="129">
        <f t="shared" si="57"/>
        <v>0</v>
      </c>
      <c r="U253" s="129">
        <f t="shared" si="57"/>
        <v>0</v>
      </c>
      <c r="V253" s="129">
        <f t="shared" si="57"/>
        <v>0</v>
      </c>
      <c r="W253" s="129">
        <f t="shared" si="57"/>
        <v>0</v>
      </c>
      <c r="X253" s="129">
        <f t="shared" si="57"/>
        <v>0</v>
      </c>
      <c r="Y253" s="129" t="e">
        <f t="shared" si="57"/>
        <v>#REF!</v>
      </c>
      <c r="Z253" s="147" t="e">
        <f t="shared" si="55"/>
        <v>#REF!</v>
      </c>
    </row>
    <row r="254" spans="1:26" s="230" customFormat="1" ht="15" customHeight="1">
      <c r="A254" s="144"/>
      <c r="B254" s="245">
        <v>5</v>
      </c>
      <c r="C254" s="152"/>
      <c r="D254" s="152"/>
      <c r="E254" s="195"/>
      <c r="F254" s="197"/>
      <c r="G254" s="266" t="str">
        <f t="shared" si="56"/>
        <v>X571GT</v>
      </c>
      <c r="H254" s="147" t="s">
        <v>20</v>
      </c>
      <c r="I254" s="196" t="s">
        <v>142</v>
      </c>
      <c r="J254" s="196" t="s">
        <v>153</v>
      </c>
      <c r="K254" s="202" t="s">
        <v>215</v>
      </c>
      <c r="L254" s="198">
        <v>1</v>
      </c>
      <c r="M254" s="204" t="s">
        <v>147</v>
      </c>
      <c r="N254" s="253"/>
      <c r="O254" s="253">
        <v>4568</v>
      </c>
      <c r="P254" s="253"/>
      <c r="Q254" s="129">
        <f t="shared" si="57"/>
        <v>0</v>
      </c>
      <c r="R254" s="129">
        <f t="shared" si="57"/>
        <v>0</v>
      </c>
      <c r="S254" s="129">
        <f t="shared" si="57"/>
        <v>0</v>
      </c>
      <c r="T254" s="129">
        <f t="shared" si="57"/>
        <v>0</v>
      </c>
      <c r="U254" s="129">
        <f t="shared" si="57"/>
        <v>0</v>
      </c>
      <c r="V254" s="129">
        <f t="shared" si="57"/>
        <v>0</v>
      </c>
      <c r="W254" s="129">
        <f t="shared" si="57"/>
        <v>0</v>
      </c>
      <c r="X254" s="129">
        <f t="shared" si="57"/>
        <v>0</v>
      </c>
      <c r="Y254" s="129" t="e">
        <f t="shared" si="57"/>
        <v>#REF!</v>
      </c>
      <c r="Z254" s="147" t="e">
        <f t="shared" si="55"/>
        <v>#REF!</v>
      </c>
    </row>
    <row r="255" spans="1:26" s="230" customFormat="1" ht="15" customHeight="1">
      <c r="A255" s="144"/>
      <c r="B255" s="245">
        <v>6</v>
      </c>
      <c r="C255" s="152"/>
      <c r="D255" s="152"/>
      <c r="E255" s="195"/>
      <c r="F255" s="197"/>
      <c r="G255" s="266" t="str">
        <f t="shared" si="56"/>
        <v>X571GT</v>
      </c>
      <c r="H255" s="147" t="s">
        <v>20</v>
      </c>
      <c r="I255" s="196" t="s">
        <v>142</v>
      </c>
      <c r="J255" s="196" t="s">
        <v>153</v>
      </c>
      <c r="K255" s="202" t="s">
        <v>217</v>
      </c>
      <c r="L255" s="198">
        <v>1</v>
      </c>
      <c r="M255" s="260" t="s">
        <v>223</v>
      </c>
      <c r="N255" s="253"/>
      <c r="O255" s="253">
        <v>0</v>
      </c>
      <c r="P255" s="253"/>
      <c r="Q255" s="129">
        <f t="shared" si="57"/>
        <v>0</v>
      </c>
      <c r="R255" s="129">
        <f t="shared" si="57"/>
        <v>0</v>
      </c>
      <c r="S255" s="129">
        <f t="shared" si="57"/>
        <v>0</v>
      </c>
      <c r="T255" s="129">
        <f t="shared" si="57"/>
        <v>-300</v>
      </c>
      <c r="U255" s="129">
        <f t="shared" si="57"/>
        <v>-300</v>
      </c>
      <c r="V255" s="129">
        <f t="shared" si="57"/>
        <v>-200</v>
      </c>
      <c r="W255" s="129">
        <f t="shared" si="57"/>
        <v>-500</v>
      </c>
      <c r="X255" s="129">
        <f t="shared" si="57"/>
        <v>-500</v>
      </c>
      <c r="Y255" s="129" t="e">
        <f t="shared" si="57"/>
        <v>#REF!</v>
      </c>
      <c r="Z255" s="147" t="e">
        <f t="shared" si="55"/>
        <v>#REF!</v>
      </c>
    </row>
    <row r="256" spans="1:26" s="230" customFormat="1" ht="15" customHeight="1">
      <c r="A256" s="144"/>
      <c r="B256" s="245">
        <v>7</v>
      </c>
      <c r="C256" s="152"/>
      <c r="D256" s="152"/>
      <c r="E256" s="195"/>
      <c r="F256" s="197"/>
      <c r="G256" s="266" t="str">
        <f t="shared" si="56"/>
        <v>X571GT</v>
      </c>
      <c r="H256" s="147" t="s">
        <v>20</v>
      </c>
      <c r="I256" s="196" t="s">
        <v>142</v>
      </c>
      <c r="J256" s="196" t="s">
        <v>153</v>
      </c>
      <c r="K256" s="202" t="s">
        <v>216</v>
      </c>
      <c r="L256" s="198">
        <v>3</v>
      </c>
      <c r="M256" s="260" t="s">
        <v>220</v>
      </c>
      <c r="N256" s="253"/>
      <c r="O256" s="253">
        <v>0</v>
      </c>
      <c r="P256" s="253"/>
      <c r="Q256" s="129">
        <f t="shared" si="57"/>
        <v>0</v>
      </c>
      <c r="R256" s="129">
        <f t="shared" si="57"/>
        <v>0</v>
      </c>
      <c r="S256" s="129">
        <f t="shared" si="57"/>
        <v>0</v>
      </c>
      <c r="T256" s="129">
        <f t="shared" si="57"/>
        <v>-900</v>
      </c>
      <c r="U256" s="129">
        <f t="shared" si="57"/>
        <v>-900</v>
      </c>
      <c r="V256" s="129">
        <f t="shared" si="57"/>
        <v>-600</v>
      </c>
      <c r="W256" s="129">
        <f t="shared" si="57"/>
        <v>-1500</v>
      </c>
      <c r="X256" s="129">
        <f t="shared" si="57"/>
        <v>-1500</v>
      </c>
      <c r="Y256" s="129" t="e">
        <f t="shared" si="57"/>
        <v>#REF!</v>
      </c>
      <c r="Z256" s="147" t="e">
        <f t="shared" si="55"/>
        <v>#REF!</v>
      </c>
    </row>
    <row r="257" spans="1:26" s="230" customFormat="1">
      <c r="A257" s="144"/>
      <c r="B257" s="244" t="e">
        <f>SUM(Q257:Y257)</f>
        <v>#REF!</v>
      </c>
      <c r="C257" s="244" t="s">
        <v>237</v>
      </c>
      <c r="D257" s="244" t="s">
        <v>229</v>
      </c>
      <c r="E257" s="244" t="s">
        <v>22</v>
      </c>
      <c r="F257" s="244" t="e">
        <f>SUM(N257:Y257)</f>
        <v>#REF!</v>
      </c>
      <c r="G257" s="244" t="s">
        <v>206</v>
      </c>
      <c r="H257" s="244"/>
      <c r="I257" s="244"/>
      <c r="J257" s="244"/>
      <c r="K257" s="244"/>
      <c r="L257" s="244"/>
      <c r="M257" s="244"/>
      <c r="N257" s="244"/>
      <c r="O257" s="244"/>
      <c r="P257" s="244"/>
      <c r="Q257" s="244">
        <f>SUMIFS(MB!R:R,MB!$F:$F,$G:$G,MB!$D:$D,"FCST")</f>
        <v>0</v>
      </c>
      <c r="R257" s="244">
        <f>SUMIFS(MB!S:S,MB!$F:$F,$G:$G,MB!$D:$D,"FCST")</f>
        <v>0</v>
      </c>
      <c r="S257" s="244">
        <f>SUMIFS(MB!T:T,MB!$F:$F,$G:$G,MB!$D:$D,"FCST")</f>
        <v>0</v>
      </c>
      <c r="T257" s="244">
        <f>SUMIFS(MB!U:U,MB!$F:$F,$G:$G,MB!$D:$D,"FCST")</f>
        <v>0</v>
      </c>
      <c r="U257" s="244">
        <f>SUMIFS(MB!V:V,MB!$F:$F,$G:$G,MB!$D:$D,"FCST")</f>
        <v>0</v>
      </c>
      <c r="V257" s="244">
        <f>SUMIFS(MB!W:W,MB!$F:$F,$G:$G,MB!$D:$D,"FCST")</f>
        <v>0</v>
      </c>
      <c r="W257" s="244">
        <f>SUMIFS(MB!X:X,MB!$F:$F,$G:$G,MB!$D:$D,"FCST")</f>
        <v>0</v>
      </c>
      <c r="X257" s="244">
        <f>SUMIFS(MB!Y:Y,MB!$F:$F,$G:$G,MB!$D:$D,"FCST")</f>
        <v>0</v>
      </c>
      <c r="Y257" s="244" t="e">
        <f>SUMIFS(MB!#REF!,MB!$F:$F,$G:$G,MB!$D:$D,"FCST")</f>
        <v>#REF!</v>
      </c>
      <c r="Z257" s="244"/>
    </row>
    <row r="258" spans="1:26" s="230" customFormat="1" ht="15" customHeight="1">
      <c r="A258" s="144"/>
      <c r="B258" s="245">
        <v>1</v>
      </c>
      <c r="C258" s="246"/>
      <c r="D258" s="246"/>
      <c r="E258" s="247"/>
      <c r="F258" s="261"/>
      <c r="G258" s="266" t="str">
        <f>$G$257</f>
        <v>X513EA (i7-1165G7)</v>
      </c>
      <c r="H258" s="248" t="s">
        <v>103</v>
      </c>
      <c r="I258" s="250" t="s">
        <v>103</v>
      </c>
      <c r="J258" s="250" t="s">
        <v>153</v>
      </c>
      <c r="K258" s="255" t="s">
        <v>212</v>
      </c>
      <c r="L258" s="262">
        <v>1</v>
      </c>
      <c r="M258" s="263" t="s">
        <v>146</v>
      </c>
      <c r="N258" s="253"/>
      <c r="O258" s="253">
        <v>9136</v>
      </c>
      <c r="P258" s="253"/>
      <c r="Q258" s="254">
        <v>0</v>
      </c>
      <c r="R258" s="254">
        <v>0</v>
      </c>
      <c r="S258" s="254">
        <v>0</v>
      </c>
      <c r="T258" s="254">
        <v>0</v>
      </c>
      <c r="U258" s="254">
        <v>0</v>
      </c>
      <c r="V258" s="254">
        <v>0</v>
      </c>
      <c r="W258" s="254">
        <v>0</v>
      </c>
      <c r="X258" s="254">
        <v>0</v>
      </c>
      <c r="Y258" s="254">
        <v>0</v>
      </c>
      <c r="Z258" s="248">
        <f t="shared" ref="Z258:Z271" si="58">SUM(Q258:Y258)</f>
        <v>0</v>
      </c>
    </row>
    <row r="259" spans="1:26" s="230" customFormat="1" ht="15" customHeight="1">
      <c r="A259" s="144"/>
      <c r="B259" s="245">
        <v>2</v>
      </c>
      <c r="C259" s="246"/>
      <c r="D259" s="246"/>
      <c r="E259" s="247"/>
      <c r="F259" s="261"/>
      <c r="G259" s="266" t="str">
        <f t="shared" ref="G259:G271" si="59">$G$257</f>
        <v>X513EA (i7-1165G7)</v>
      </c>
      <c r="H259" s="248" t="s">
        <v>103</v>
      </c>
      <c r="I259" s="250" t="s">
        <v>103</v>
      </c>
      <c r="J259" s="250" t="s">
        <v>153</v>
      </c>
      <c r="K259" s="255" t="s">
        <v>213</v>
      </c>
      <c r="L259" s="262">
        <v>1</v>
      </c>
      <c r="M259" s="263" t="s">
        <v>149</v>
      </c>
      <c r="N259" s="253"/>
      <c r="O259" s="253">
        <v>86720</v>
      </c>
      <c r="P259" s="253"/>
      <c r="Q259" s="254">
        <v>0</v>
      </c>
      <c r="R259" s="254">
        <v>0</v>
      </c>
      <c r="S259" s="254">
        <v>0</v>
      </c>
      <c r="T259" s="254">
        <v>0</v>
      </c>
      <c r="U259" s="254">
        <v>0</v>
      </c>
      <c r="V259" s="254">
        <v>0</v>
      </c>
      <c r="W259" s="254">
        <v>0</v>
      </c>
      <c r="X259" s="254">
        <v>0</v>
      </c>
      <c r="Y259" s="254">
        <v>0</v>
      </c>
      <c r="Z259" s="248">
        <f t="shared" si="58"/>
        <v>0</v>
      </c>
    </row>
    <row r="260" spans="1:26" s="230" customFormat="1" ht="15" customHeight="1">
      <c r="A260" s="144"/>
      <c r="B260" s="245">
        <v>3</v>
      </c>
      <c r="C260" s="246"/>
      <c r="D260" s="246"/>
      <c r="E260" s="247"/>
      <c r="F260" s="261"/>
      <c r="G260" s="266" t="str">
        <f t="shared" si="59"/>
        <v>X513EA (i7-1165G7)</v>
      </c>
      <c r="H260" s="248" t="s">
        <v>103</v>
      </c>
      <c r="I260" s="250" t="s">
        <v>103</v>
      </c>
      <c r="J260" s="250" t="s">
        <v>153</v>
      </c>
      <c r="K260" s="255" t="s">
        <v>214</v>
      </c>
      <c r="L260" s="262">
        <v>1</v>
      </c>
      <c r="M260" s="263" t="s">
        <v>144</v>
      </c>
      <c r="N260" s="253"/>
      <c r="O260" s="253">
        <v>11770</v>
      </c>
      <c r="P260" s="253"/>
      <c r="Q260" s="254">
        <v>0</v>
      </c>
      <c r="R260" s="254">
        <v>0</v>
      </c>
      <c r="S260" s="254">
        <v>0</v>
      </c>
      <c r="T260" s="254">
        <v>0</v>
      </c>
      <c r="U260" s="254">
        <v>0</v>
      </c>
      <c r="V260" s="254">
        <v>0</v>
      </c>
      <c r="W260" s="254">
        <v>0</v>
      </c>
      <c r="X260" s="254">
        <v>0</v>
      </c>
      <c r="Y260" s="254">
        <v>0</v>
      </c>
      <c r="Z260" s="248">
        <f t="shared" si="58"/>
        <v>0</v>
      </c>
    </row>
    <row r="261" spans="1:26" s="230" customFormat="1" ht="15" customHeight="1">
      <c r="A261" s="144"/>
      <c r="B261" s="245">
        <v>4</v>
      </c>
      <c r="C261" s="246"/>
      <c r="D261" s="246"/>
      <c r="E261" s="247"/>
      <c r="F261" s="261"/>
      <c r="G261" s="266" t="str">
        <f t="shared" si="59"/>
        <v>X513EA (i7-1165G7)</v>
      </c>
      <c r="H261" s="248" t="s">
        <v>103</v>
      </c>
      <c r="I261" s="250" t="s">
        <v>103</v>
      </c>
      <c r="J261" s="250" t="s">
        <v>153</v>
      </c>
      <c r="K261" s="255" t="s">
        <v>154</v>
      </c>
      <c r="L261" s="262">
        <v>1</v>
      </c>
      <c r="M261" s="263" t="s">
        <v>150</v>
      </c>
      <c r="N261" s="253"/>
      <c r="O261" s="253">
        <v>12554</v>
      </c>
      <c r="P261" s="253"/>
      <c r="Q261" s="254">
        <v>0</v>
      </c>
      <c r="R261" s="254">
        <v>0</v>
      </c>
      <c r="S261" s="254">
        <v>0</v>
      </c>
      <c r="T261" s="254">
        <v>0</v>
      </c>
      <c r="U261" s="254">
        <v>0</v>
      </c>
      <c r="V261" s="254">
        <v>0</v>
      </c>
      <c r="W261" s="254">
        <v>0</v>
      </c>
      <c r="X261" s="254">
        <v>0</v>
      </c>
      <c r="Y261" s="254">
        <v>0</v>
      </c>
      <c r="Z261" s="248">
        <f t="shared" si="58"/>
        <v>0</v>
      </c>
    </row>
    <row r="262" spans="1:26" s="230" customFormat="1" ht="15" customHeight="1">
      <c r="A262" s="144"/>
      <c r="B262" s="245">
        <v>5</v>
      </c>
      <c r="C262" s="246"/>
      <c r="D262" s="246"/>
      <c r="E262" s="247"/>
      <c r="F262" s="261"/>
      <c r="G262" s="266" t="str">
        <f t="shared" si="59"/>
        <v>X513EA (i7-1165G7)</v>
      </c>
      <c r="H262" s="248" t="s">
        <v>103</v>
      </c>
      <c r="I262" s="250" t="s">
        <v>103</v>
      </c>
      <c r="J262" s="250" t="s">
        <v>153</v>
      </c>
      <c r="K262" s="255" t="s">
        <v>215</v>
      </c>
      <c r="L262" s="262">
        <v>1</v>
      </c>
      <c r="M262" s="263" t="s">
        <v>147</v>
      </c>
      <c r="N262" s="253"/>
      <c r="O262" s="253">
        <v>4568</v>
      </c>
      <c r="P262" s="253"/>
      <c r="Q262" s="254">
        <v>0</v>
      </c>
      <c r="R262" s="254">
        <v>0</v>
      </c>
      <c r="S262" s="254">
        <v>0</v>
      </c>
      <c r="T262" s="254">
        <v>0</v>
      </c>
      <c r="U262" s="254">
        <v>0</v>
      </c>
      <c r="V262" s="254">
        <v>0</v>
      </c>
      <c r="W262" s="254">
        <v>0</v>
      </c>
      <c r="X262" s="254">
        <v>0</v>
      </c>
      <c r="Y262" s="254">
        <v>0</v>
      </c>
      <c r="Z262" s="248">
        <f t="shared" si="58"/>
        <v>0</v>
      </c>
    </row>
    <row r="263" spans="1:26" s="230" customFormat="1" ht="15" customHeight="1">
      <c r="A263" s="144"/>
      <c r="B263" s="245">
        <v>6</v>
      </c>
      <c r="C263" s="246"/>
      <c r="D263" s="246"/>
      <c r="E263" s="247"/>
      <c r="F263" s="261"/>
      <c r="G263" s="266" t="str">
        <f t="shared" si="59"/>
        <v>X513EA (i7-1165G7)</v>
      </c>
      <c r="H263" s="248" t="s">
        <v>103</v>
      </c>
      <c r="I263" s="250" t="s">
        <v>103</v>
      </c>
      <c r="J263" s="250" t="s">
        <v>153</v>
      </c>
      <c r="K263" s="255" t="s">
        <v>217</v>
      </c>
      <c r="L263" s="262">
        <v>1</v>
      </c>
      <c r="M263" s="263" t="s">
        <v>163</v>
      </c>
      <c r="N263" s="253"/>
      <c r="O263" s="253">
        <v>286</v>
      </c>
      <c r="P263" s="253"/>
      <c r="Q263" s="254">
        <v>0</v>
      </c>
      <c r="R263" s="254">
        <v>0</v>
      </c>
      <c r="S263" s="254">
        <v>0</v>
      </c>
      <c r="T263" s="254">
        <v>0</v>
      </c>
      <c r="U263" s="254">
        <v>0</v>
      </c>
      <c r="V263" s="254">
        <v>0</v>
      </c>
      <c r="W263" s="254">
        <v>0</v>
      </c>
      <c r="X263" s="254">
        <v>0</v>
      </c>
      <c r="Y263" s="254">
        <v>0</v>
      </c>
      <c r="Z263" s="248">
        <f t="shared" si="58"/>
        <v>0</v>
      </c>
    </row>
    <row r="264" spans="1:26" s="230" customFormat="1" ht="15" customHeight="1">
      <c r="A264" s="144"/>
      <c r="B264" s="245">
        <v>7</v>
      </c>
      <c r="C264" s="246"/>
      <c r="D264" s="246"/>
      <c r="E264" s="247"/>
      <c r="F264" s="261"/>
      <c r="G264" s="266" t="str">
        <f t="shared" si="59"/>
        <v>X513EA (i7-1165G7)</v>
      </c>
      <c r="H264" s="248" t="s">
        <v>103</v>
      </c>
      <c r="I264" s="250" t="s">
        <v>103</v>
      </c>
      <c r="J264" s="250" t="s">
        <v>153</v>
      </c>
      <c r="K264" s="255" t="s">
        <v>216</v>
      </c>
      <c r="L264" s="262">
        <v>3</v>
      </c>
      <c r="M264" s="263" t="s">
        <v>143</v>
      </c>
      <c r="N264" s="253"/>
      <c r="O264" s="253">
        <v>25000</v>
      </c>
      <c r="P264" s="253"/>
      <c r="Q264" s="254">
        <v>0</v>
      </c>
      <c r="R264" s="254">
        <v>0</v>
      </c>
      <c r="S264" s="254">
        <v>0</v>
      </c>
      <c r="T264" s="254">
        <v>6000</v>
      </c>
      <c r="U264" s="254">
        <v>4450</v>
      </c>
      <c r="V264" s="254">
        <v>0</v>
      </c>
      <c r="W264" s="254">
        <v>0</v>
      </c>
      <c r="X264" s="254">
        <v>0</v>
      </c>
      <c r="Y264" s="254">
        <v>0</v>
      </c>
      <c r="Z264" s="248">
        <f t="shared" si="58"/>
        <v>10450</v>
      </c>
    </row>
    <row r="265" spans="1:26" s="230" customFormat="1" ht="15" customHeight="1">
      <c r="A265" s="144"/>
      <c r="B265" s="245">
        <v>1</v>
      </c>
      <c r="C265" s="152"/>
      <c r="D265" s="152"/>
      <c r="E265" s="195"/>
      <c r="F265" s="197"/>
      <c r="G265" s="266" t="str">
        <f t="shared" si="59"/>
        <v>X513EA (i7-1165G7)</v>
      </c>
      <c r="H265" s="147" t="s">
        <v>20</v>
      </c>
      <c r="I265" s="196" t="s">
        <v>142</v>
      </c>
      <c r="J265" s="196" t="s">
        <v>153</v>
      </c>
      <c r="K265" s="202" t="s">
        <v>212</v>
      </c>
      <c r="L265" s="198">
        <v>1</v>
      </c>
      <c r="M265" s="204" t="s">
        <v>146</v>
      </c>
      <c r="N265" s="253"/>
      <c r="O265" s="253">
        <v>9136</v>
      </c>
      <c r="P265" s="253"/>
      <c r="Q265" s="129">
        <f t="shared" ref="Q265:Y271" si="60">(Q$257*$L265)-Q258</f>
        <v>0</v>
      </c>
      <c r="R265" s="129">
        <f t="shared" si="60"/>
        <v>0</v>
      </c>
      <c r="S265" s="129">
        <f t="shared" si="60"/>
        <v>0</v>
      </c>
      <c r="T265" s="129">
        <f t="shared" si="60"/>
        <v>0</v>
      </c>
      <c r="U265" s="129">
        <f t="shared" si="60"/>
        <v>0</v>
      </c>
      <c r="V265" s="129">
        <f t="shared" si="60"/>
        <v>0</v>
      </c>
      <c r="W265" s="129">
        <f t="shared" si="60"/>
        <v>0</v>
      </c>
      <c r="X265" s="129">
        <f t="shared" si="60"/>
        <v>0</v>
      </c>
      <c r="Y265" s="129" t="e">
        <f t="shared" si="60"/>
        <v>#REF!</v>
      </c>
      <c r="Z265" s="147" t="e">
        <f t="shared" si="58"/>
        <v>#REF!</v>
      </c>
    </row>
    <row r="266" spans="1:26" s="230" customFormat="1" ht="15" customHeight="1">
      <c r="A266" s="144"/>
      <c r="B266" s="245">
        <v>2</v>
      </c>
      <c r="C266" s="152"/>
      <c r="D266" s="152"/>
      <c r="E266" s="195"/>
      <c r="F266" s="197"/>
      <c r="G266" s="266" t="str">
        <f t="shared" si="59"/>
        <v>X513EA (i7-1165G7)</v>
      </c>
      <c r="H266" s="147" t="s">
        <v>20</v>
      </c>
      <c r="I266" s="196" t="s">
        <v>142</v>
      </c>
      <c r="J266" s="196" t="s">
        <v>153</v>
      </c>
      <c r="K266" s="202" t="s">
        <v>213</v>
      </c>
      <c r="L266" s="198">
        <v>1</v>
      </c>
      <c r="M266" s="204" t="s">
        <v>149</v>
      </c>
      <c r="N266" s="253"/>
      <c r="O266" s="253">
        <v>86720</v>
      </c>
      <c r="P266" s="253"/>
      <c r="Q266" s="129">
        <f t="shared" si="60"/>
        <v>0</v>
      </c>
      <c r="R266" s="129">
        <f t="shared" si="60"/>
        <v>0</v>
      </c>
      <c r="S266" s="129">
        <f t="shared" si="60"/>
        <v>0</v>
      </c>
      <c r="T266" s="129">
        <f t="shared" si="60"/>
        <v>0</v>
      </c>
      <c r="U266" s="129">
        <f t="shared" si="60"/>
        <v>0</v>
      </c>
      <c r="V266" s="129">
        <f t="shared" si="60"/>
        <v>0</v>
      </c>
      <c r="W266" s="129">
        <f t="shared" si="60"/>
        <v>0</v>
      </c>
      <c r="X266" s="129">
        <f t="shared" si="60"/>
        <v>0</v>
      </c>
      <c r="Y266" s="129" t="e">
        <f t="shared" si="60"/>
        <v>#REF!</v>
      </c>
      <c r="Z266" s="147" t="e">
        <f t="shared" si="58"/>
        <v>#REF!</v>
      </c>
    </row>
    <row r="267" spans="1:26" s="230" customFormat="1" ht="15" customHeight="1">
      <c r="A267" s="144"/>
      <c r="B267" s="245">
        <v>3</v>
      </c>
      <c r="C267" s="152"/>
      <c r="D267" s="152"/>
      <c r="E267" s="195"/>
      <c r="F267" s="197"/>
      <c r="G267" s="266" t="str">
        <f t="shared" si="59"/>
        <v>X513EA (i7-1165G7)</v>
      </c>
      <c r="H267" s="147" t="s">
        <v>20</v>
      </c>
      <c r="I267" s="196" t="s">
        <v>142</v>
      </c>
      <c r="J267" s="196" t="s">
        <v>153</v>
      </c>
      <c r="K267" s="202" t="s">
        <v>214</v>
      </c>
      <c r="L267" s="198">
        <v>1</v>
      </c>
      <c r="M267" s="204" t="s">
        <v>144</v>
      </c>
      <c r="N267" s="253"/>
      <c r="O267" s="253">
        <v>11770</v>
      </c>
      <c r="P267" s="253"/>
      <c r="Q267" s="129">
        <f t="shared" si="60"/>
        <v>0</v>
      </c>
      <c r="R267" s="129">
        <f t="shared" si="60"/>
        <v>0</v>
      </c>
      <c r="S267" s="129">
        <f t="shared" si="60"/>
        <v>0</v>
      </c>
      <c r="T267" s="129">
        <f t="shared" si="60"/>
        <v>0</v>
      </c>
      <c r="U267" s="129">
        <f t="shared" si="60"/>
        <v>0</v>
      </c>
      <c r="V267" s="129">
        <f t="shared" si="60"/>
        <v>0</v>
      </c>
      <c r="W267" s="129">
        <f t="shared" si="60"/>
        <v>0</v>
      </c>
      <c r="X267" s="129">
        <f t="shared" si="60"/>
        <v>0</v>
      </c>
      <c r="Y267" s="129" t="e">
        <f t="shared" si="60"/>
        <v>#REF!</v>
      </c>
      <c r="Z267" s="147" t="e">
        <f t="shared" si="58"/>
        <v>#REF!</v>
      </c>
    </row>
    <row r="268" spans="1:26" s="230" customFormat="1" ht="15" customHeight="1">
      <c r="A268" s="144"/>
      <c r="B268" s="245">
        <v>4</v>
      </c>
      <c r="C268" s="152"/>
      <c r="D268" s="152"/>
      <c r="E268" s="195"/>
      <c r="F268" s="197"/>
      <c r="G268" s="266" t="str">
        <f t="shared" si="59"/>
        <v>X513EA (i7-1165G7)</v>
      </c>
      <c r="H268" s="147" t="s">
        <v>20</v>
      </c>
      <c r="I268" s="196" t="s">
        <v>142</v>
      </c>
      <c r="J268" s="196" t="s">
        <v>153</v>
      </c>
      <c r="K268" s="202" t="s">
        <v>154</v>
      </c>
      <c r="L268" s="198">
        <v>1</v>
      </c>
      <c r="M268" s="204" t="s">
        <v>150</v>
      </c>
      <c r="N268" s="253"/>
      <c r="O268" s="253">
        <v>12554</v>
      </c>
      <c r="P268" s="253"/>
      <c r="Q268" s="129">
        <f t="shared" si="60"/>
        <v>0</v>
      </c>
      <c r="R268" s="129">
        <f t="shared" si="60"/>
        <v>0</v>
      </c>
      <c r="S268" s="129">
        <f t="shared" si="60"/>
        <v>0</v>
      </c>
      <c r="T268" s="129">
        <f t="shared" si="60"/>
        <v>0</v>
      </c>
      <c r="U268" s="129">
        <f t="shared" si="60"/>
        <v>0</v>
      </c>
      <c r="V268" s="129">
        <f t="shared" si="60"/>
        <v>0</v>
      </c>
      <c r="W268" s="129">
        <f t="shared" si="60"/>
        <v>0</v>
      </c>
      <c r="X268" s="129">
        <f t="shared" si="60"/>
        <v>0</v>
      </c>
      <c r="Y268" s="129" t="e">
        <f t="shared" si="60"/>
        <v>#REF!</v>
      </c>
      <c r="Z268" s="147" t="e">
        <f t="shared" si="58"/>
        <v>#REF!</v>
      </c>
    </row>
    <row r="269" spans="1:26" s="230" customFormat="1" ht="15" customHeight="1">
      <c r="A269" s="144"/>
      <c r="B269" s="245">
        <v>5</v>
      </c>
      <c r="C269" s="152"/>
      <c r="D269" s="152"/>
      <c r="E269" s="195"/>
      <c r="F269" s="197"/>
      <c r="G269" s="266" t="str">
        <f t="shared" si="59"/>
        <v>X513EA (i7-1165G7)</v>
      </c>
      <c r="H269" s="147" t="s">
        <v>20</v>
      </c>
      <c r="I269" s="196" t="s">
        <v>142</v>
      </c>
      <c r="J269" s="196" t="s">
        <v>153</v>
      </c>
      <c r="K269" s="202" t="s">
        <v>215</v>
      </c>
      <c r="L269" s="198">
        <v>1</v>
      </c>
      <c r="M269" s="204" t="s">
        <v>147</v>
      </c>
      <c r="N269" s="253"/>
      <c r="O269" s="253">
        <v>4568</v>
      </c>
      <c r="P269" s="253"/>
      <c r="Q269" s="129">
        <f t="shared" si="60"/>
        <v>0</v>
      </c>
      <c r="R269" s="129">
        <f t="shared" si="60"/>
        <v>0</v>
      </c>
      <c r="S269" s="129">
        <f t="shared" si="60"/>
        <v>0</v>
      </c>
      <c r="T269" s="129">
        <f t="shared" si="60"/>
        <v>0</v>
      </c>
      <c r="U269" s="129">
        <f t="shared" si="60"/>
        <v>0</v>
      </c>
      <c r="V269" s="129">
        <f t="shared" si="60"/>
        <v>0</v>
      </c>
      <c r="W269" s="129">
        <f t="shared" si="60"/>
        <v>0</v>
      </c>
      <c r="X269" s="129">
        <f t="shared" si="60"/>
        <v>0</v>
      </c>
      <c r="Y269" s="129" t="e">
        <f t="shared" si="60"/>
        <v>#REF!</v>
      </c>
      <c r="Z269" s="147" t="e">
        <f t="shared" si="58"/>
        <v>#REF!</v>
      </c>
    </row>
    <row r="270" spans="1:26" s="230" customFormat="1" ht="15" customHeight="1">
      <c r="A270" s="144"/>
      <c r="B270" s="245">
        <v>6</v>
      </c>
      <c r="C270" s="152"/>
      <c r="D270" s="152"/>
      <c r="E270" s="195"/>
      <c r="F270" s="197"/>
      <c r="G270" s="266" t="str">
        <f t="shared" si="59"/>
        <v>X513EA (i7-1165G7)</v>
      </c>
      <c r="H270" s="147" t="s">
        <v>20</v>
      </c>
      <c r="I270" s="196" t="s">
        <v>142</v>
      </c>
      <c r="J270" s="196" t="s">
        <v>153</v>
      </c>
      <c r="K270" s="202" t="s">
        <v>217</v>
      </c>
      <c r="L270" s="198">
        <v>1</v>
      </c>
      <c r="M270" s="204" t="s">
        <v>163</v>
      </c>
      <c r="N270" s="253"/>
      <c r="O270" s="253">
        <v>286</v>
      </c>
      <c r="P270" s="253"/>
      <c r="Q270" s="129">
        <f t="shared" si="60"/>
        <v>0</v>
      </c>
      <c r="R270" s="129">
        <f t="shared" si="60"/>
        <v>0</v>
      </c>
      <c r="S270" s="129">
        <f t="shared" si="60"/>
        <v>0</v>
      </c>
      <c r="T270" s="129">
        <f t="shared" si="60"/>
        <v>0</v>
      </c>
      <c r="U270" s="129">
        <f t="shared" si="60"/>
        <v>0</v>
      </c>
      <c r="V270" s="129">
        <f t="shared" si="60"/>
        <v>0</v>
      </c>
      <c r="W270" s="129">
        <f t="shared" si="60"/>
        <v>0</v>
      </c>
      <c r="X270" s="129">
        <f t="shared" si="60"/>
        <v>0</v>
      </c>
      <c r="Y270" s="129" t="e">
        <f t="shared" si="60"/>
        <v>#REF!</v>
      </c>
      <c r="Z270" s="147" t="e">
        <f t="shared" si="58"/>
        <v>#REF!</v>
      </c>
    </row>
    <row r="271" spans="1:26" s="230" customFormat="1" ht="15" customHeight="1">
      <c r="A271" s="144"/>
      <c r="B271" s="245">
        <v>7</v>
      </c>
      <c r="C271" s="152"/>
      <c r="D271" s="152"/>
      <c r="E271" s="195"/>
      <c r="F271" s="197"/>
      <c r="G271" s="266" t="str">
        <f t="shared" si="59"/>
        <v>X513EA (i7-1165G7)</v>
      </c>
      <c r="H271" s="147" t="s">
        <v>20</v>
      </c>
      <c r="I271" s="196" t="s">
        <v>142</v>
      </c>
      <c r="J271" s="196" t="s">
        <v>153</v>
      </c>
      <c r="K271" s="202" t="s">
        <v>216</v>
      </c>
      <c r="L271" s="198">
        <v>3</v>
      </c>
      <c r="M271" s="204" t="s">
        <v>143</v>
      </c>
      <c r="N271" s="253"/>
      <c r="O271" s="253">
        <v>25000</v>
      </c>
      <c r="P271" s="253"/>
      <c r="Q271" s="129">
        <f t="shared" si="60"/>
        <v>0</v>
      </c>
      <c r="R271" s="129">
        <f t="shared" si="60"/>
        <v>0</v>
      </c>
      <c r="S271" s="129">
        <f t="shared" si="60"/>
        <v>0</v>
      </c>
      <c r="T271" s="129">
        <f t="shared" si="60"/>
        <v>-6000</v>
      </c>
      <c r="U271" s="129">
        <f t="shared" si="60"/>
        <v>-4450</v>
      </c>
      <c r="V271" s="129">
        <f t="shared" si="60"/>
        <v>0</v>
      </c>
      <c r="W271" s="129">
        <f t="shared" si="60"/>
        <v>0</v>
      </c>
      <c r="X271" s="129">
        <f t="shared" si="60"/>
        <v>0</v>
      </c>
      <c r="Y271" s="129" t="e">
        <f t="shared" si="60"/>
        <v>#REF!</v>
      </c>
      <c r="Z271" s="147" t="e">
        <f t="shared" si="58"/>
        <v>#REF!</v>
      </c>
    </row>
    <row r="272" spans="1:26" s="230" customFormat="1">
      <c r="A272" s="144"/>
      <c r="B272" s="244" t="e">
        <f>SUM(Q272:Y272)</f>
        <v>#REF!</v>
      </c>
      <c r="C272" s="244" t="s">
        <v>238</v>
      </c>
      <c r="D272" s="244" t="s">
        <v>229</v>
      </c>
      <c r="E272" s="244" t="s">
        <v>22</v>
      </c>
      <c r="F272" s="244" t="e">
        <f>SUM(N272:Y272)</f>
        <v>#REF!</v>
      </c>
      <c r="G272" s="244" t="s">
        <v>205</v>
      </c>
      <c r="H272" s="244"/>
      <c r="I272" s="244"/>
      <c r="J272" s="244"/>
      <c r="K272" s="244"/>
      <c r="L272" s="244"/>
      <c r="M272" s="244"/>
      <c r="N272" s="244"/>
      <c r="O272" s="244"/>
      <c r="P272" s="244"/>
      <c r="Q272" s="244">
        <f>SUMIFS(MB!R:R,MB!$F:$F,$G:$G,MB!$D:$D,"FCST")</f>
        <v>0</v>
      </c>
      <c r="R272" s="244">
        <f>SUMIFS(MB!S:S,MB!$F:$F,$G:$G,MB!$D:$D,"FCST")</f>
        <v>0</v>
      </c>
      <c r="S272" s="244">
        <f>SUMIFS(MB!T:T,MB!$F:$F,$G:$G,MB!$D:$D,"FCST")</f>
        <v>0</v>
      </c>
      <c r="T272" s="244">
        <f>SUMIFS(MB!U:U,MB!$F:$F,$G:$G,MB!$D:$D,"FCST")</f>
        <v>0</v>
      </c>
      <c r="U272" s="244">
        <f>SUMIFS(MB!V:V,MB!$F:$F,$G:$G,MB!$D:$D,"FCST")</f>
        <v>0</v>
      </c>
      <c r="V272" s="244">
        <f>SUMIFS(MB!W:W,MB!$F:$F,$G:$G,MB!$D:$D,"FCST")</f>
        <v>0</v>
      </c>
      <c r="W272" s="244">
        <f>SUMIFS(MB!X:X,MB!$F:$F,$G:$G,MB!$D:$D,"FCST")</f>
        <v>0</v>
      </c>
      <c r="X272" s="244">
        <f>SUMIFS(MB!Y:Y,MB!$F:$F,$G:$G,MB!$D:$D,"FCST")</f>
        <v>0</v>
      </c>
      <c r="Y272" s="244" t="e">
        <f>SUMIFS(MB!#REF!,MB!$F:$F,$G:$G,MB!$D:$D,"FCST")</f>
        <v>#REF!</v>
      </c>
      <c r="Z272" s="244"/>
    </row>
    <row r="273" spans="1:26" s="230" customFormat="1" ht="15" customHeight="1">
      <c r="A273" s="144"/>
      <c r="B273" s="245">
        <v>1</v>
      </c>
      <c r="C273" s="246"/>
      <c r="D273" s="246"/>
      <c r="E273" s="247"/>
      <c r="F273" s="261"/>
      <c r="G273" s="266" t="str">
        <f>$G$272</f>
        <v>X513EA(i5-1135G7)</v>
      </c>
      <c r="H273" s="248" t="s">
        <v>103</v>
      </c>
      <c r="I273" s="250" t="s">
        <v>103</v>
      </c>
      <c r="J273" s="250" t="s">
        <v>153</v>
      </c>
      <c r="K273" s="255" t="s">
        <v>212</v>
      </c>
      <c r="L273" s="262">
        <v>1</v>
      </c>
      <c r="M273" s="263" t="s">
        <v>146</v>
      </c>
      <c r="N273" s="253"/>
      <c r="O273" s="253">
        <v>9136</v>
      </c>
      <c r="P273" s="253"/>
      <c r="Q273" s="254">
        <v>0</v>
      </c>
      <c r="R273" s="254">
        <v>0</v>
      </c>
      <c r="S273" s="254">
        <v>0</v>
      </c>
      <c r="T273" s="254">
        <v>0</v>
      </c>
      <c r="U273" s="254">
        <v>0</v>
      </c>
      <c r="V273" s="254">
        <v>0</v>
      </c>
      <c r="W273" s="254">
        <v>0</v>
      </c>
      <c r="X273" s="254">
        <v>0</v>
      </c>
      <c r="Y273" s="254">
        <v>0</v>
      </c>
      <c r="Z273" s="248">
        <f t="shared" ref="Z273:Z286" si="61">SUM(Q273:Y273)</f>
        <v>0</v>
      </c>
    </row>
    <row r="274" spans="1:26" s="230" customFormat="1" ht="15" customHeight="1">
      <c r="A274" s="144"/>
      <c r="B274" s="245">
        <v>2</v>
      </c>
      <c r="C274" s="246"/>
      <c r="D274" s="246"/>
      <c r="E274" s="247"/>
      <c r="F274" s="261"/>
      <c r="G274" s="266" t="str">
        <f t="shared" ref="G274:G286" si="62">$G$272</f>
        <v>X513EA(i5-1135G7)</v>
      </c>
      <c r="H274" s="248" t="s">
        <v>103</v>
      </c>
      <c r="I274" s="250" t="s">
        <v>103</v>
      </c>
      <c r="J274" s="250" t="s">
        <v>153</v>
      </c>
      <c r="K274" s="255" t="s">
        <v>213</v>
      </c>
      <c r="L274" s="262">
        <v>1</v>
      </c>
      <c r="M274" s="263" t="s">
        <v>149</v>
      </c>
      <c r="N274" s="253"/>
      <c r="O274" s="253">
        <v>86720</v>
      </c>
      <c r="P274" s="253"/>
      <c r="Q274" s="254">
        <v>0</v>
      </c>
      <c r="R274" s="254">
        <v>0</v>
      </c>
      <c r="S274" s="254">
        <v>0</v>
      </c>
      <c r="T274" s="254">
        <v>0</v>
      </c>
      <c r="U274" s="254">
        <v>0</v>
      </c>
      <c r="V274" s="254">
        <v>0</v>
      </c>
      <c r="W274" s="254">
        <v>0</v>
      </c>
      <c r="X274" s="254">
        <v>0</v>
      </c>
      <c r="Y274" s="254">
        <v>0</v>
      </c>
      <c r="Z274" s="248">
        <f t="shared" si="61"/>
        <v>0</v>
      </c>
    </row>
    <row r="275" spans="1:26" s="230" customFormat="1" ht="15" customHeight="1">
      <c r="A275" s="144"/>
      <c r="B275" s="245">
        <v>3</v>
      </c>
      <c r="C275" s="246"/>
      <c r="D275" s="246"/>
      <c r="E275" s="247"/>
      <c r="F275" s="261"/>
      <c r="G275" s="266" t="str">
        <f t="shared" si="62"/>
        <v>X513EA(i5-1135G7)</v>
      </c>
      <c r="H275" s="248" t="s">
        <v>103</v>
      </c>
      <c r="I275" s="250" t="s">
        <v>103</v>
      </c>
      <c r="J275" s="250" t="s">
        <v>153</v>
      </c>
      <c r="K275" s="255" t="s">
        <v>214</v>
      </c>
      <c r="L275" s="262">
        <v>1</v>
      </c>
      <c r="M275" s="263" t="s">
        <v>144</v>
      </c>
      <c r="N275" s="253"/>
      <c r="O275" s="253">
        <v>11770</v>
      </c>
      <c r="P275" s="253"/>
      <c r="Q275" s="254">
        <v>0</v>
      </c>
      <c r="R275" s="254">
        <v>0</v>
      </c>
      <c r="S275" s="254">
        <v>0</v>
      </c>
      <c r="T275" s="254">
        <v>0</v>
      </c>
      <c r="U275" s="254">
        <v>0</v>
      </c>
      <c r="V275" s="254">
        <v>0</v>
      </c>
      <c r="W275" s="254">
        <v>0</v>
      </c>
      <c r="X275" s="254">
        <v>0</v>
      </c>
      <c r="Y275" s="254">
        <v>0</v>
      </c>
      <c r="Z275" s="248">
        <f t="shared" si="61"/>
        <v>0</v>
      </c>
    </row>
    <row r="276" spans="1:26" s="230" customFormat="1" ht="15" customHeight="1">
      <c r="A276" s="144"/>
      <c r="B276" s="245">
        <v>4</v>
      </c>
      <c r="C276" s="246"/>
      <c r="D276" s="246"/>
      <c r="E276" s="247"/>
      <c r="F276" s="261"/>
      <c r="G276" s="266" t="str">
        <f t="shared" si="62"/>
        <v>X513EA(i5-1135G7)</v>
      </c>
      <c r="H276" s="248" t="s">
        <v>103</v>
      </c>
      <c r="I276" s="250" t="s">
        <v>103</v>
      </c>
      <c r="J276" s="250" t="s">
        <v>153</v>
      </c>
      <c r="K276" s="255" t="s">
        <v>154</v>
      </c>
      <c r="L276" s="262">
        <v>1</v>
      </c>
      <c r="M276" s="263" t="s">
        <v>150</v>
      </c>
      <c r="N276" s="253"/>
      <c r="O276" s="253">
        <v>12554</v>
      </c>
      <c r="P276" s="253"/>
      <c r="Q276" s="254">
        <v>0</v>
      </c>
      <c r="R276" s="254">
        <v>0</v>
      </c>
      <c r="S276" s="254">
        <v>0</v>
      </c>
      <c r="T276" s="254">
        <v>0</v>
      </c>
      <c r="U276" s="254">
        <v>0</v>
      </c>
      <c r="V276" s="254">
        <v>0</v>
      </c>
      <c r="W276" s="254">
        <v>0</v>
      </c>
      <c r="X276" s="254">
        <v>0</v>
      </c>
      <c r="Y276" s="254">
        <v>0</v>
      </c>
      <c r="Z276" s="248">
        <f t="shared" si="61"/>
        <v>0</v>
      </c>
    </row>
    <row r="277" spans="1:26" s="230" customFormat="1" ht="15" customHeight="1">
      <c r="A277" s="144"/>
      <c r="B277" s="245">
        <v>5</v>
      </c>
      <c r="C277" s="246"/>
      <c r="D277" s="246"/>
      <c r="E277" s="247"/>
      <c r="F277" s="261"/>
      <c r="G277" s="266" t="str">
        <f t="shared" si="62"/>
        <v>X513EA(i5-1135G7)</v>
      </c>
      <c r="H277" s="248" t="s">
        <v>103</v>
      </c>
      <c r="I277" s="250" t="s">
        <v>103</v>
      </c>
      <c r="J277" s="250" t="s">
        <v>153</v>
      </c>
      <c r="K277" s="255" t="s">
        <v>215</v>
      </c>
      <c r="L277" s="262">
        <v>1</v>
      </c>
      <c r="M277" s="263" t="s">
        <v>147</v>
      </c>
      <c r="N277" s="253"/>
      <c r="O277" s="253">
        <v>4568</v>
      </c>
      <c r="P277" s="253"/>
      <c r="Q277" s="254">
        <v>0</v>
      </c>
      <c r="R277" s="254">
        <v>0</v>
      </c>
      <c r="S277" s="254">
        <v>0</v>
      </c>
      <c r="T277" s="254">
        <v>0</v>
      </c>
      <c r="U277" s="254">
        <v>0</v>
      </c>
      <c r="V277" s="254">
        <v>0</v>
      </c>
      <c r="W277" s="254">
        <v>0</v>
      </c>
      <c r="X277" s="254">
        <v>0</v>
      </c>
      <c r="Y277" s="254">
        <v>0</v>
      </c>
      <c r="Z277" s="248">
        <f t="shared" si="61"/>
        <v>0</v>
      </c>
    </row>
    <row r="278" spans="1:26" s="230" customFormat="1" ht="15" customHeight="1">
      <c r="A278" s="144"/>
      <c r="B278" s="245">
        <v>6</v>
      </c>
      <c r="C278" s="246"/>
      <c r="D278" s="246"/>
      <c r="E278" s="247"/>
      <c r="F278" s="261"/>
      <c r="G278" s="266" t="str">
        <f t="shared" si="62"/>
        <v>X513EA(i5-1135G7)</v>
      </c>
      <c r="H278" s="248" t="s">
        <v>103</v>
      </c>
      <c r="I278" s="250" t="s">
        <v>103</v>
      </c>
      <c r="J278" s="250" t="s">
        <v>153</v>
      </c>
      <c r="K278" s="255" t="s">
        <v>217</v>
      </c>
      <c r="L278" s="262">
        <v>1</v>
      </c>
      <c r="M278" s="263" t="s">
        <v>163</v>
      </c>
      <c r="N278" s="253"/>
      <c r="O278" s="253">
        <v>286</v>
      </c>
      <c r="P278" s="253"/>
      <c r="Q278" s="254">
        <v>0</v>
      </c>
      <c r="R278" s="254">
        <v>0</v>
      </c>
      <c r="S278" s="254">
        <v>0</v>
      </c>
      <c r="T278" s="254">
        <v>0</v>
      </c>
      <c r="U278" s="254">
        <v>0</v>
      </c>
      <c r="V278" s="254">
        <v>0</v>
      </c>
      <c r="W278" s="254">
        <v>0</v>
      </c>
      <c r="X278" s="254">
        <v>0</v>
      </c>
      <c r="Y278" s="254">
        <v>0</v>
      </c>
      <c r="Z278" s="248">
        <f t="shared" si="61"/>
        <v>0</v>
      </c>
    </row>
    <row r="279" spans="1:26" s="230" customFormat="1" ht="15" customHeight="1">
      <c r="A279" s="144"/>
      <c r="B279" s="245">
        <v>7</v>
      </c>
      <c r="C279" s="246"/>
      <c r="D279" s="246"/>
      <c r="E279" s="247"/>
      <c r="F279" s="261"/>
      <c r="G279" s="266" t="str">
        <f t="shared" si="62"/>
        <v>X513EA(i5-1135G7)</v>
      </c>
      <c r="H279" s="248" t="s">
        <v>103</v>
      </c>
      <c r="I279" s="250" t="s">
        <v>103</v>
      </c>
      <c r="J279" s="250" t="s">
        <v>153</v>
      </c>
      <c r="K279" s="255" t="s">
        <v>216</v>
      </c>
      <c r="L279" s="262">
        <v>3</v>
      </c>
      <c r="M279" s="263" t="s">
        <v>143</v>
      </c>
      <c r="N279" s="253"/>
      <c r="O279" s="253">
        <v>25000</v>
      </c>
      <c r="P279" s="253"/>
      <c r="Q279" s="254">
        <v>0</v>
      </c>
      <c r="R279" s="254">
        <v>0</v>
      </c>
      <c r="S279" s="254">
        <v>0</v>
      </c>
      <c r="T279" s="254">
        <v>0</v>
      </c>
      <c r="U279" s="254">
        <v>0</v>
      </c>
      <c r="V279" s="254">
        <v>0</v>
      </c>
      <c r="W279" s="254">
        <v>0</v>
      </c>
      <c r="X279" s="254">
        <v>0</v>
      </c>
      <c r="Y279" s="254">
        <v>0</v>
      </c>
      <c r="Z279" s="248">
        <f t="shared" si="61"/>
        <v>0</v>
      </c>
    </row>
    <row r="280" spans="1:26" s="230" customFormat="1" ht="15" customHeight="1">
      <c r="A280" s="144"/>
      <c r="B280" s="245">
        <v>1</v>
      </c>
      <c r="C280" s="152"/>
      <c r="D280" s="152"/>
      <c r="E280" s="195"/>
      <c r="F280" s="197"/>
      <c r="G280" s="266" t="str">
        <f t="shared" si="62"/>
        <v>X513EA(i5-1135G7)</v>
      </c>
      <c r="H280" s="147" t="s">
        <v>20</v>
      </c>
      <c r="I280" s="196" t="s">
        <v>142</v>
      </c>
      <c r="J280" s="196" t="s">
        <v>153</v>
      </c>
      <c r="K280" s="202" t="s">
        <v>212</v>
      </c>
      <c r="L280" s="198">
        <v>1</v>
      </c>
      <c r="M280" s="204" t="s">
        <v>146</v>
      </c>
      <c r="N280" s="253"/>
      <c r="O280" s="253">
        <v>9136</v>
      </c>
      <c r="P280" s="253"/>
      <c r="Q280" s="129">
        <f t="shared" ref="Q280:Y286" si="63">(Q$272*$L280)-Q273</f>
        <v>0</v>
      </c>
      <c r="R280" s="129">
        <f t="shared" si="63"/>
        <v>0</v>
      </c>
      <c r="S280" s="129">
        <f t="shared" si="63"/>
        <v>0</v>
      </c>
      <c r="T280" s="129">
        <f t="shared" si="63"/>
        <v>0</v>
      </c>
      <c r="U280" s="129">
        <f t="shared" si="63"/>
        <v>0</v>
      </c>
      <c r="V280" s="129">
        <f t="shared" si="63"/>
        <v>0</v>
      </c>
      <c r="W280" s="129">
        <f t="shared" si="63"/>
        <v>0</v>
      </c>
      <c r="X280" s="129">
        <f t="shared" si="63"/>
        <v>0</v>
      </c>
      <c r="Y280" s="129" t="e">
        <f t="shared" si="63"/>
        <v>#REF!</v>
      </c>
      <c r="Z280" s="147" t="e">
        <f t="shared" si="61"/>
        <v>#REF!</v>
      </c>
    </row>
    <row r="281" spans="1:26" s="230" customFormat="1" ht="15" customHeight="1">
      <c r="A281" s="144"/>
      <c r="B281" s="245">
        <v>2</v>
      </c>
      <c r="C281" s="152"/>
      <c r="D281" s="152"/>
      <c r="E281" s="195"/>
      <c r="F281" s="197"/>
      <c r="G281" s="266" t="str">
        <f t="shared" si="62"/>
        <v>X513EA(i5-1135G7)</v>
      </c>
      <c r="H281" s="147" t="s">
        <v>20</v>
      </c>
      <c r="I281" s="196" t="s">
        <v>142</v>
      </c>
      <c r="J281" s="196" t="s">
        <v>153</v>
      </c>
      <c r="K281" s="202" t="s">
        <v>213</v>
      </c>
      <c r="L281" s="198">
        <v>1</v>
      </c>
      <c r="M281" s="204" t="s">
        <v>149</v>
      </c>
      <c r="N281" s="253"/>
      <c r="O281" s="253">
        <v>86720</v>
      </c>
      <c r="P281" s="253"/>
      <c r="Q281" s="129">
        <f t="shared" si="63"/>
        <v>0</v>
      </c>
      <c r="R281" s="129">
        <f t="shared" si="63"/>
        <v>0</v>
      </c>
      <c r="S281" s="129">
        <f t="shared" si="63"/>
        <v>0</v>
      </c>
      <c r="T281" s="129">
        <f t="shared" si="63"/>
        <v>0</v>
      </c>
      <c r="U281" s="129">
        <f t="shared" si="63"/>
        <v>0</v>
      </c>
      <c r="V281" s="129">
        <f t="shared" si="63"/>
        <v>0</v>
      </c>
      <c r="W281" s="129">
        <f t="shared" si="63"/>
        <v>0</v>
      </c>
      <c r="X281" s="129">
        <f t="shared" si="63"/>
        <v>0</v>
      </c>
      <c r="Y281" s="129" t="e">
        <f t="shared" si="63"/>
        <v>#REF!</v>
      </c>
      <c r="Z281" s="147" t="e">
        <f t="shared" si="61"/>
        <v>#REF!</v>
      </c>
    </row>
    <row r="282" spans="1:26" s="230" customFormat="1" ht="15" customHeight="1">
      <c r="A282" s="144"/>
      <c r="B282" s="245">
        <v>3</v>
      </c>
      <c r="C282" s="152"/>
      <c r="D282" s="152"/>
      <c r="E282" s="195"/>
      <c r="F282" s="197"/>
      <c r="G282" s="266" t="str">
        <f t="shared" si="62"/>
        <v>X513EA(i5-1135G7)</v>
      </c>
      <c r="H282" s="147" t="s">
        <v>20</v>
      </c>
      <c r="I282" s="196" t="s">
        <v>142</v>
      </c>
      <c r="J282" s="196" t="s">
        <v>153</v>
      </c>
      <c r="K282" s="202" t="s">
        <v>214</v>
      </c>
      <c r="L282" s="198">
        <v>1</v>
      </c>
      <c r="M282" s="204" t="s">
        <v>144</v>
      </c>
      <c r="N282" s="253"/>
      <c r="O282" s="253">
        <v>11770</v>
      </c>
      <c r="P282" s="253"/>
      <c r="Q282" s="129">
        <f t="shared" si="63"/>
        <v>0</v>
      </c>
      <c r="R282" s="129">
        <f t="shared" si="63"/>
        <v>0</v>
      </c>
      <c r="S282" s="129">
        <f t="shared" si="63"/>
        <v>0</v>
      </c>
      <c r="T282" s="129">
        <f t="shared" si="63"/>
        <v>0</v>
      </c>
      <c r="U282" s="129">
        <f t="shared" si="63"/>
        <v>0</v>
      </c>
      <c r="V282" s="129">
        <f t="shared" si="63"/>
        <v>0</v>
      </c>
      <c r="W282" s="129">
        <f t="shared" si="63"/>
        <v>0</v>
      </c>
      <c r="X282" s="129">
        <f t="shared" si="63"/>
        <v>0</v>
      </c>
      <c r="Y282" s="129" t="e">
        <f t="shared" si="63"/>
        <v>#REF!</v>
      </c>
      <c r="Z282" s="147" t="e">
        <f t="shared" si="61"/>
        <v>#REF!</v>
      </c>
    </row>
    <row r="283" spans="1:26" s="230" customFormat="1" ht="15" customHeight="1">
      <c r="A283" s="144"/>
      <c r="B283" s="245">
        <v>4</v>
      </c>
      <c r="C283" s="152"/>
      <c r="D283" s="152"/>
      <c r="E283" s="195"/>
      <c r="F283" s="197"/>
      <c r="G283" s="266" t="str">
        <f t="shared" si="62"/>
        <v>X513EA(i5-1135G7)</v>
      </c>
      <c r="H283" s="147" t="s">
        <v>20</v>
      </c>
      <c r="I283" s="196" t="s">
        <v>142</v>
      </c>
      <c r="J283" s="196" t="s">
        <v>153</v>
      </c>
      <c r="K283" s="202" t="s">
        <v>154</v>
      </c>
      <c r="L283" s="198">
        <v>1</v>
      </c>
      <c r="M283" s="204" t="s">
        <v>150</v>
      </c>
      <c r="N283" s="253"/>
      <c r="O283" s="253">
        <v>12554</v>
      </c>
      <c r="P283" s="253"/>
      <c r="Q283" s="129">
        <f t="shared" si="63"/>
        <v>0</v>
      </c>
      <c r="R283" s="129">
        <f t="shared" si="63"/>
        <v>0</v>
      </c>
      <c r="S283" s="129">
        <f t="shared" si="63"/>
        <v>0</v>
      </c>
      <c r="T283" s="129">
        <f t="shared" si="63"/>
        <v>0</v>
      </c>
      <c r="U283" s="129">
        <f t="shared" si="63"/>
        <v>0</v>
      </c>
      <c r="V283" s="129">
        <f t="shared" si="63"/>
        <v>0</v>
      </c>
      <c r="W283" s="129">
        <f t="shared" si="63"/>
        <v>0</v>
      </c>
      <c r="X283" s="129">
        <f t="shared" si="63"/>
        <v>0</v>
      </c>
      <c r="Y283" s="129" t="e">
        <f t="shared" si="63"/>
        <v>#REF!</v>
      </c>
      <c r="Z283" s="147" t="e">
        <f t="shared" si="61"/>
        <v>#REF!</v>
      </c>
    </row>
    <row r="284" spans="1:26" s="230" customFormat="1" ht="15" customHeight="1">
      <c r="A284" s="144"/>
      <c r="B284" s="245">
        <v>5</v>
      </c>
      <c r="C284" s="152"/>
      <c r="D284" s="152"/>
      <c r="E284" s="195"/>
      <c r="F284" s="197"/>
      <c r="G284" s="266" t="str">
        <f t="shared" si="62"/>
        <v>X513EA(i5-1135G7)</v>
      </c>
      <c r="H284" s="147" t="s">
        <v>20</v>
      </c>
      <c r="I284" s="196" t="s">
        <v>142</v>
      </c>
      <c r="J284" s="196" t="s">
        <v>153</v>
      </c>
      <c r="K284" s="202" t="s">
        <v>215</v>
      </c>
      <c r="L284" s="198">
        <v>1</v>
      </c>
      <c r="M284" s="204" t="s">
        <v>147</v>
      </c>
      <c r="N284" s="253"/>
      <c r="O284" s="253">
        <v>4568</v>
      </c>
      <c r="P284" s="253"/>
      <c r="Q284" s="129">
        <f t="shared" si="63"/>
        <v>0</v>
      </c>
      <c r="R284" s="129">
        <f t="shared" si="63"/>
        <v>0</v>
      </c>
      <c r="S284" s="129">
        <f t="shared" si="63"/>
        <v>0</v>
      </c>
      <c r="T284" s="129">
        <f t="shared" si="63"/>
        <v>0</v>
      </c>
      <c r="U284" s="129">
        <f t="shared" si="63"/>
        <v>0</v>
      </c>
      <c r="V284" s="129">
        <f t="shared" si="63"/>
        <v>0</v>
      </c>
      <c r="W284" s="129">
        <f t="shared" si="63"/>
        <v>0</v>
      </c>
      <c r="X284" s="129">
        <f t="shared" si="63"/>
        <v>0</v>
      </c>
      <c r="Y284" s="129" t="e">
        <f t="shared" si="63"/>
        <v>#REF!</v>
      </c>
      <c r="Z284" s="147" t="e">
        <f t="shared" si="61"/>
        <v>#REF!</v>
      </c>
    </row>
    <row r="285" spans="1:26" s="230" customFormat="1" ht="15" customHeight="1">
      <c r="A285" s="144"/>
      <c r="B285" s="245">
        <v>6</v>
      </c>
      <c r="C285" s="152"/>
      <c r="D285" s="152"/>
      <c r="E285" s="195"/>
      <c r="F285" s="197"/>
      <c r="G285" s="266" t="str">
        <f t="shared" si="62"/>
        <v>X513EA(i5-1135G7)</v>
      </c>
      <c r="H285" s="147" t="s">
        <v>20</v>
      </c>
      <c r="I285" s="196" t="s">
        <v>142</v>
      </c>
      <c r="J285" s="196" t="s">
        <v>153</v>
      </c>
      <c r="K285" s="202" t="s">
        <v>217</v>
      </c>
      <c r="L285" s="198">
        <v>1</v>
      </c>
      <c r="M285" s="204" t="s">
        <v>163</v>
      </c>
      <c r="N285" s="253"/>
      <c r="O285" s="253">
        <v>286</v>
      </c>
      <c r="P285" s="253"/>
      <c r="Q285" s="129">
        <f t="shared" si="63"/>
        <v>0</v>
      </c>
      <c r="R285" s="129">
        <f t="shared" si="63"/>
        <v>0</v>
      </c>
      <c r="S285" s="129">
        <f t="shared" si="63"/>
        <v>0</v>
      </c>
      <c r="T285" s="129">
        <f t="shared" si="63"/>
        <v>0</v>
      </c>
      <c r="U285" s="129">
        <f t="shared" si="63"/>
        <v>0</v>
      </c>
      <c r="V285" s="129">
        <f t="shared" si="63"/>
        <v>0</v>
      </c>
      <c r="W285" s="129">
        <f t="shared" si="63"/>
        <v>0</v>
      </c>
      <c r="X285" s="129">
        <f t="shared" si="63"/>
        <v>0</v>
      </c>
      <c r="Y285" s="129" t="e">
        <f t="shared" si="63"/>
        <v>#REF!</v>
      </c>
      <c r="Z285" s="147" t="e">
        <f t="shared" si="61"/>
        <v>#REF!</v>
      </c>
    </row>
    <row r="286" spans="1:26" s="230" customFormat="1" ht="15" customHeight="1">
      <c r="A286" s="144"/>
      <c r="B286" s="245">
        <v>7</v>
      </c>
      <c r="C286" s="152"/>
      <c r="D286" s="152"/>
      <c r="E286" s="195"/>
      <c r="F286" s="197"/>
      <c r="G286" s="266" t="str">
        <f t="shared" si="62"/>
        <v>X513EA(i5-1135G7)</v>
      </c>
      <c r="H286" s="147" t="s">
        <v>20</v>
      </c>
      <c r="I286" s="196" t="s">
        <v>142</v>
      </c>
      <c r="J286" s="196" t="s">
        <v>153</v>
      </c>
      <c r="K286" s="202" t="s">
        <v>216</v>
      </c>
      <c r="L286" s="198">
        <v>3</v>
      </c>
      <c r="M286" s="204" t="s">
        <v>143</v>
      </c>
      <c r="N286" s="253"/>
      <c r="O286" s="253">
        <v>25000</v>
      </c>
      <c r="P286" s="253"/>
      <c r="Q286" s="129">
        <f t="shared" si="63"/>
        <v>0</v>
      </c>
      <c r="R286" s="129">
        <f t="shared" si="63"/>
        <v>0</v>
      </c>
      <c r="S286" s="129">
        <f t="shared" si="63"/>
        <v>0</v>
      </c>
      <c r="T286" s="129">
        <f t="shared" si="63"/>
        <v>0</v>
      </c>
      <c r="U286" s="129">
        <f t="shared" si="63"/>
        <v>0</v>
      </c>
      <c r="V286" s="129">
        <f t="shared" si="63"/>
        <v>0</v>
      </c>
      <c r="W286" s="129">
        <f t="shared" si="63"/>
        <v>0</v>
      </c>
      <c r="X286" s="129">
        <f t="shared" si="63"/>
        <v>0</v>
      </c>
      <c r="Y286" s="129" t="e">
        <f t="shared" si="63"/>
        <v>#REF!</v>
      </c>
      <c r="Z286" s="147" t="e">
        <f t="shared" si="61"/>
        <v>#REF!</v>
      </c>
    </row>
    <row r="287" spans="1:26" s="230" customFormat="1">
      <c r="A287" s="144"/>
      <c r="B287" s="244" t="e">
        <f>SUM(Q287:Y287)</f>
        <v>#REF!</v>
      </c>
      <c r="C287" s="244" t="s">
        <v>237</v>
      </c>
      <c r="D287" s="244" t="s">
        <v>229</v>
      </c>
      <c r="E287" s="244" t="s">
        <v>22</v>
      </c>
      <c r="F287" s="244" t="e">
        <f>SUM(N287:Y287)</f>
        <v>#REF!</v>
      </c>
      <c r="G287" s="278" t="s">
        <v>200</v>
      </c>
      <c r="H287" s="244"/>
      <c r="I287" s="244"/>
      <c r="J287" s="244"/>
      <c r="K287" s="244" t="s">
        <v>204</v>
      </c>
      <c r="L287" s="244"/>
      <c r="M287" s="244"/>
      <c r="N287" s="244"/>
      <c r="O287" s="244"/>
      <c r="P287" s="244"/>
      <c r="Q287" s="244">
        <f>SUMIFS(MB!R:R,MB!$F:$F,$G:$G,MB!$D:$D,"FCST")</f>
        <v>0</v>
      </c>
      <c r="R287" s="244">
        <f>SUMIFS(MB!S:S,MB!$F:$F,$G:$G,MB!$D:$D,"FCST")</f>
        <v>0</v>
      </c>
      <c r="S287" s="244">
        <f>SUMIFS(MB!T:T,MB!$F:$F,$G:$G,MB!$D:$D,"FCST")</f>
        <v>0</v>
      </c>
      <c r="T287" s="244">
        <f>SUMIFS(MB!U:U,MB!$F:$F,$G:$G,MB!$D:$D,"FCST")</f>
        <v>0</v>
      </c>
      <c r="U287" s="244">
        <f>SUMIFS(MB!V:V,MB!$F:$F,$G:$G,MB!$D:$D,"FCST")</f>
        <v>0</v>
      </c>
      <c r="V287" s="244">
        <f>SUMIFS(MB!W:W,MB!$F:$F,$G:$G,MB!$D:$D,"FCST")</f>
        <v>0</v>
      </c>
      <c r="W287" s="244">
        <f>SUMIFS(MB!X:X,MB!$F:$F,$G:$G,MB!$D:$D,"FCST")</f>
        <v>0</v>
      </c>
      <c r="X287" s="244">
        <f>SUMIFS(MB!Y:Y,MB!$F:$F,$G:$G,MB!$D:$D,"FCST")</f>
        <v>0</v>
      </c>
      <c r="Y287" s="244" t="e">
        <f>SUMIFS(MB!#REF!,MB!$F:$F,$G:$G,MB!$D:$D,"FCST")</f>
        <v>#REF!</v>
      </c>
      <c r="Z287" s="244"/>
    </row>
    <row r="288" spans="1:26" s="230" customFormat="1" ht="15" customHeight="1">
      <c r="A288" s="144"/>
      <c r="B288" s="245">
        <v>1</v>
      </c>
      <c r="C288" s="246"/>
      <c r="D288" s="246"/>
      <c r="E288" s="247"/>
      <c r="F288" s="261"/>
      <c r="G288" s="266" t="str">
        <f>$G$287</f>
        <v>X515EA</v>
      </c>
      <c r="H288" s="248" t="s">
        <v>103</v>
      </c>
      <c r="I288" s="250" t="s">
        <v>103</v>
      </c>
      <c r="J288" s="250" t="s">
        <v>153</v>
      </c>
      <c r="K288" s="255" t="s">
        <v>212</v>
      </c>
      <c r="L288" s="262">
        <v>1</v>
      </c>
      <c r="M288" s="263" t="s">
        <v>146</v>
      </c>
      <c r="N288" s="253"/>
      <c r="O288" s="253">
        <v>9136</v>
      </c>
      <c r="P288" s="253"/>
      <c r="Q288" s="254">
        <v>0</v>
      </c>
      <c r="R288" s="254">
        <v>0</v>
      </c>
      <c r="S288" s="254">
        <v>0</v>
      </c>
      <c r="T288" s="254">
        <v>0</v>
      </c>
      <c r="U288" s="254">
        <v>0</v>
      </c>
      <c r="V288" s="254">
        <v>0</v>
      </c>
      <c r="W288" s="254">
        <v>0</v>
      </c>
      <c r="X288" s="254">
        <v>0</v>
      </c>
      <c r="Y288" s="254">
        <v>0</v>
      </c>
      <c r="Z288" s="248">
        <f t="shared" ref="Z288:Z301" si="64">SUM(Q288:Y288)</f>
        <v>0</v>
      </c>
    </row>
    <row r="289" spans="1:26" s="230" customFormat="1" ht="15" customHeight="1">
      <c r="A289" s="144"/>
      <c r="B289" s="245">
        <v>2</v>
      </c>
      <c r="C289" s="246"/>
      <c r="D289" s="246"/>
      <c r="E289" s="247"/>
      <c r="F289" s="261"/>
      <c r="G289" s="266" t="str">
        <f t="shared" ref="G289:G301" si="65">$G$287</f>
        <v>X515EA</v>
      </c>
      <c r="H289" s="248" t="s">
        <v>103</v>
      </c>
      <c r="I289" s="250" t="s">
        <v>103</v>
      </c>
      <c r="J289" s="250" t="s">
        <v>153</v>
      </c>
      <c r="K289" s="255" t="s">
        <v>213</v>
      </c>
      <c r="L289" s="262">
        <v>1</v>
      </c>
      <c r="M289" s="263" t="s">
        <v>149</v>
      </c>
      <c r="N289" s="253"/>
      <c r="O289" s="253">
        <v>86720</v>
      </c>
      <c r="P289" s="253"/>
      <c r="Q289" s="254">
        <v>0</v>
      </c>
      <c r="R289" s="254">
        <v>0</v>
      </c>
      <c r="S289" s="254">
        <v>0</v>
      </c>
      <c r="T289" s="254">
        <v>0</v>
      </c>
      <c r="U289" s="254">
        <v>0</v>
      </c>
      <c r="V289" s="254">
        <v>0</v>
      </c>
      <c r="W289" s="254">
        <v>0</v>
      </c>
      <c r="X289" s="254">
        <v>0</v>
      </c>
      <c r="Y289" s="254">
        <v>0</v>
      </c>
      <c r="Z289" s="248">
        <f t="shared" si="64"/>
        <v>0</v>
      </c>
    </row>
    <row r="290" spans="1:26" s="230" customFormat="1" ht="15" customHeight="1">
      <c r="A290" s="144"/>
      <c r="B290" s="245">
        <v>3</v>
      </c>
      <c r="C290" s="246"/>
      <c r="D290" s="246"/>
      <c r="E290" s="247"/>
      <c r="F290" s="261"/>
      <c r="G290" s="266" t="str">
        <f t="shared" si="65"/>
        <v>X515EA</v>
      </c>
      <c r="H290" s="248" t="s">
        <v>103</v>
      </c>
      <c r="I290" s="250" t="s">
        <v>103</v>
      </c>
      <c r="J290" s="250" t="s">
        <v>153</v>
      </c>
      <c r="K290" s="255" t="s">
        <v>214</v>
      </c>
      <c r="L290" s="262">
        <v>1</v>
      </c>
      <c r="M290" s="263" t="s">
        <v>144</v>
      </c>
      <c r="N290" s="253"/>
      <c r="O290" s="253">
        <v>11770</v>
      </c>
      <c r="P290" s="253"/>
      <c r="Q290" s="254">
        <v>0</v>
      </c>
      <c r="R290" s="254">
        <v>0</v>
      </c>
      <c r="S290" s="254">
        <v>0</v>
      </c>
      <c r="T290" s="254">
        <v>0</v>
      </c>
      <c r="U290" s="254">
        <v>0</v>
      </c>
      <c r="V290" s="254">
        <v>0</v>
      </c>
      <c r="W290" s="254">
        <v>0</v>
      </c>
      <c r="X290" s="254">
        <v>0</v>
      </c>
      <c r="Y290" s="254">
        <v>0</v>
      </c>
      <c r="Z290" s="248">
        <f t="shared" si="64"/>
        <v>0</v>
      </c>
    </row>
    <row r="291" spans="1:26" s="230" customFormat="1" ht="15" customHeight="1">
      <c r="A291" s="144"/>
      <c r="B291" s="245">
        <v>4</v>
      </c>
      <c r="C291" s="246"/>
      <c r="D291" s="246"/>
      <c r="E291" s="247"/>
      <c r="F291" s="261"/>
      <c r="G291" s="266" t="str">
        <f t="shared" si="65"/>
        <v>X515EA</v>
      </c>
      <c r="H291" s="248" t="s">
        <v>103</v>
      </c>
      <c r="I291" s="250" t="s">
        <v>103</v>
      </c>
      <c r="J291" s="250" t="s">
        <v>153</v>
      </c>
      <c r="K291" s="255" t="s">
        <v>154</v>
      </c>
      <c r="L291" s="262">
        <v>1</v>
      </c>
      <c r="M291" s="263" t="s">
        <v>150</v>
      </c>
      <c r="N291" s="253"/>
      <c r="O291" s="253">
        <v>12554</v>
      </c>
      <c r="P291" s="253"/>
      <c r="Q291" s="254">
        <v>0</v>
      </c>
      <c r="R291" s="254">
        <v>0</v>
      </c>
      <c r="S291" s="254">
        <v>0</v>
      </c>
      <c r="T291" s="254">
        <v>0</v>
      </c>
      <c r="U291" s="254">
        <v>0</v>
      </c>
      <c r="V291" s="254">
        <v>0</v>
      </c>
      <c r="W291" s="254">
        <v>0</v>
      </c>
      <c r="X291" s="254">
        <v>0</v>
      </c>
      <c r="Y291" s="254">
        <v>0</v>
      </c>
      <c r="Z291" s="248">
        <f t="shared" si="64"/>
        <v>0</v>
      </c>
    </row>
    <row r="292" spans="1:26" s="230" customFormat="1" ht="15" customHeight="1">
      <c r="A292" s="144"/>
      <c r="B292" s="245">
        <v>5</v>
      </c>
      <c r="C292" s="246"/>
      <c r="D292" s="246"/>
      <c r="E292" s="247"/>
      <c r="F292" s="261"/>
      <c r="G292" s="266" t="str">
        <f t="shared" si="65"/>
        <v>X515EA</v>
      </c>
      <c r="H292" s="248" t="s">
        <v>103</v>
      </c>
      <c r="I292" s="250" t="s">
        <v>103</v>
      </c>
      <c r="J292" s="250" t="s">
        <v>153</v>
      </c>
      <c r="K292" s="255" t="s">
        <v>215</v>
      </c>
      <c r="L292" s="262">
        <v>1</v>
      </c>
      <c r="M292" s="263" t="s">
        <v>147</v>
      </c>
      <c r="N292" s="253"/>
      <c r="O292" s="253">
        <v>4568</v>
      </c>
      <c r="P292" s="253"/>
      <c r="Q292" s="254">
        <v>0</v>
      </c>
      <c r="R292" s="254">
        <v>0</v>
      </c>
      <c r="S292" s="254">
        <v>0</v>
      </c>
      <c r="T292" s="254">
        <v>0</v>
      </c>
      <c r="U292" s="254">
        <v>0</v>
      </c>
      <c r="V292" s="254">
        <v>0</v>
      </c>
      <c r="W292" s="254">
        <v>0</v>
      </c>
      <c r="X292" s="254">
        <v>0</v>
      </c>
      <c r="Y292" s="254">
        <v>0</v>
      </c>
      <c r="Z292" s="248">
        <f t="shared" si="64"/>
        <v>0</v>
      </c>
    </row>
    <row r="293" spans="1:26" s="230" customFormat="1" ht="15" customHeight="1">
      <c r="A293" s="144"/>
      <c r="B293" s="245">
        <v>6</v>
      </c>
      <c r="C293" s="246"/>
      <c r="D293" s="246"/>
      <c r="E293" s="247"/>
      <c r="F293" s="261"/>
      <c r="G293" s="266" t="str">
        <f t="shared" si="65"/>
        <v>X515EA</v>
      </c>
      <c r="H293" s="248" t="s">
        <v>103</v>
      </c>
      <c r="I293" s="250" t="s">
        <v>103</v>
      </c>
      <c r="J293" s="250" t="s">
        <v>153</v>
      </c>
      <c r="K293" s="255" t="s">
        <v>217</v>
      </c>
      <c r="L293" s="262">
        <v>1</v>
      </c>
      <c r="M293" s="260" t="s">
        <v>162</v>
      </c>
      <c r="N293" s="253"/>
      <c r="O293" s="253">
        <v>13198</v>
      </c>
      <c r="P293" s="253"/>
      <c r="Q293" s="254">
        <v>0</v>
      </c>
      <c r="R293" s="254">
        <v>0</v>
      </c>
      <c r="S293" s="254">
        <v>0</v>
      </c>
      <c r="T293" s="254">
        <v>0</v>
      </c>
      <c r="U293" s="254">
        <v>1150</v>
      </c>
      <c r="V293" s="254">
        <v>850</v>
      </c>
      <c r="W293" s="254">
        <v>4050</v>
      </c>
      <c r="X293" s="254">
        <v>4050</v>
      </c>
      <c r="Y293" s="254">
        <v>1800</v>
      </c>
      <c r="Z293" s="248">
        <f t="shared" si="64"/>
        <v>11900</v>
      </c>
    </row>
    <row r="294" spans="1:26" s="230" customFormat="1" ht="15" customHeight="1">
      <c r="A294" s="144"/>
      <c r="B294" s="245">
        <v>7</v>
      </c>
      <c r="C294" s="246"/>
      <c r="D294" s="246"/>
      <c r="E294" s="247"/>
      <c r="F294" s="261"/>
      <c r="G294" s="266" t="str">
        <f t="shared" si="65"/>
        <v>X515EA</v>
      </c>
      <c r="H294" s="248" t="s">
        <v>103</v>
      </c>
      <c r="I294" s="250" t="s">
        <v>103</v>
      </c>
      <c r="J294" s="250" t="s">
        <v>153</v>
      </c>
      <c r="K294" s="255" t="s">
        <v>216</v>
      </c>
      <c r="L294" s="262">
        <v>3</v>
      </c>
      <c r="M294" s="260" t="s">
        <v>151</v>
      </c>
      <c r="N294" s="253"/>
      <c r="O294" s="253">
        <v>29097</v>
      </c>
      <c r="P294" s="253"/>
      <c r="Q294" s="254">
        <v>0</v>
      </c>
      <c r="R294" s="254">
        <v>0</v>
      </c>
      <c r="S294" s="254">
        <v>0</v>
      </c>
      <c r="T294" s="254">
        <v>0</v>
      </c>
      <c r="U294" s="254">
        <v>3450</v>
      </c>
      <c r="V294" s="254">
        <v>2550</v>
      </c>
      <c r="W294" s="254">
        <v>12150</v>
      </c>
      <c r="X294" s="254">
        <v>12150</v>
      </c>
      <c r="Y294" s="254">
        <v>5400</v>
      </c>
      <c r="Z294" s="248">
        <f t="shared" si="64"/>
        <v>35700</v>
      </c>
    </row>
    <row r="295" spans="1:26" s="230" customFormat="1" ht="15" customHeight="1">
      <c r="A295" s="144"/>
      <c r="B295" s="245">
        <v>1</v>
      </c>
      <c r="C295" s="152"/>
      <c r="D295" s="152"/>
      <c r="E295" s="195"/>
      <c r="F295" s="197"/>
      <c r="G295" s="266" t="str">
        <f t="shared" si="65"/>
        <v>X515EA</v>
      </c>
      <c r="H295" s="147" t="s">
        <v>20</v>
      </c>
      <c r="I295" s="196" t="s">
        <v>142</v>
      </c>
      <c r="J295" s="196" t="s">
        <v>153</v>
      </c>
      <c r="K295" s="202" t="s">
        <v>212</v>
      </c>
      <c r="L295" s="198">
        <v>1</v>
      </c>
      <c r="M295" s="204" t="s">
        <v>146</v>
      </c>
      <c r="N295" s="253"/>
      <c r="O295" s="253">
        <v>9136</v>
      </c>
      <c r="P295" s="253"/>
      <c r="Q295" s="129">
        <f t="shared" ref="Q295:Y301" si="66">(Q$287*$L295)-Q288</f>
        <v>0</v>
      </c>
      <c r="R295" s="129">
        <f t="shared" si="66"/>
        <v>0</v>
      </c>
      <c r="S295" s="129">
        <f t="shared" si="66"/>
        <v>0</v>
      </c>
      <c r="T295" s="129">
        <f t="shared" si="66"/>
        <v>0</v>
      </c>
      <c r="U295" s="129">
        <f t="shared" si="66"/>
        <v>0</v>
      </c>
      <c r="V295" s="129">
        <f t="shared" si="66"/>
        <v>0</v>
      </c>
      <c r="W295" s="129">
        <f t="shared" si="66"/>
        <v>0</v>
      </c>
      <c r="X295" s="129">
        <f t="shared" si="66"/>
        <v>0</v>
      </c>
      <c r="Y295" s="129" t="e">
        <f t="shared" si="66"/>
        <v>#REF!</v>
      </c>
      <c r="Z295" s="147" t="e">
        <f t="shared" si="64"/>
        <v>#REF!</v>
      </c>
    </row>
    <row r="296" spans="1:26" s="230" customFormat="1" ht="15" customHeight="1">
      <c r="A296" s="144"/>
      <c r="B296" s="245">
        <v>2</v>
      </c>
      <c r="C296" s="152"/>
      <c r="D296" s="152"/>
      <c r="E296" s="195"/>
      <c r="F296" s="197"/>
      <c r="G296" s="266" t="str">
        <f t="shared" si="65"/>
        <v>X515EA</v>
      </c>
      <c r="H296" s="147" t="s">
        <v>20</v>
      </c>
      <c r="I296" s="196" t="s">
        <v>142</v>
      </c>
      <c r="J296" s="196" t="s">
        <v>153</v>
      </c>
      <c r="K296" s="202" t="s">
        <v>213</v>
      </c>
      <c r="L296" s="198">
        <v>1</v>
      </c>
      <c r="M296" s="204" t="s">
        <v>149</v>
      </c>
      <c r="N296" s="253"/>
      <c r="O296" s="253">
        <v>86720</v>
      </c>
      <c r="P296" s="253"/>
      <c r="Q296" s="129">
        <f t="shared" si="66"/>
        <v>0</v>
      </c>
      <c r="R296" s="129">
        <f t="shared" si="66"/>
        <v>0</v>
      </c>
      <c r="S296" s="129">
        <f t="shared" si="66"/>
        <v>0</v>
      </c>
      <c r="T296" s="129">
        <f t="shared" si="66"/>
        <v>0</v>
      </c>
      <c r="U296" s="129">
        <f t="shared" si="66"/>
        <v>0</v>
      </c>
      <c r="V296" s="129">
        <f t="shared" si="66"/>
        <v>0</v>
      </c>
      <c r="W296" s="129">
        <f t="shared" si="66"/>
        <v>0</v>
      </c>
      <c r="X296" s="129">
        <f t="shared" si="66"/>
        <v>0</v>
      </c>
      <c r="Y296" s="129" t="e">
        <f t="shared" si="66"/>
        <v>#REF!</v>
      </c>
      <c r="Z296" s="147" t="e">
        <f t="shared" si="64"/>
        <v>#REF!</v>
      </c>
    </row>
    <row r="297" spans="1:26" s="230" customFormat="1" ht="15" customHeight="1">
      <c r="A297" s="144"/>
      <c r="B297" s="245">
        <v>3</v>
      </c>
      <c r="C297" s="152"/>
      <c r="D297" s="152"/>
      <c r="E297" s="195"/>
      <c r="F297" s="197"/>
      <c r="G297" s="266" t="str">
        <f t="shared" si="65"/>
        <v>X515EA</v>
      </c>
      <c r="H297" s="147" t="s">
        <v>20</v>
      </c>
      <c r="I297" s="196" t="s">
        <v>142</v>
      </c>
      <c r="J297" s="196" t="s">
        <v>153</v>
      </c>
      <c r="K297" s="202" t="s">
        <v>214</v>
      </c>
      <c r="L297" s="198">
        <v>1</v>
      </c>
      <c r="M297" s="204" t="s">
        <v>144</v>
      </c>
      <c r="N297" s="253"/>
      <c r="O297" s="253">
        <v>11770</v>
      </c>
      <c r="P297" s="253"/>
      <c r="Q297" s="129">
        <f t="shared" si="66"/>
        <v>0</v>
      </c>
      <c r="R297" s="129">
        <f t="shared" si="66"/>
        <v>0</v>
      </c>
      <c r="S297" s="129">
        <f t="shared" si="66"/>
        <v>0</v>
      </c>
      <c r="T297" s="129">
        <f t="shared" si="66"/>
        <v>0</v>
      </c>
      <c r="U297" s="129">
        <f t="shared" si="66"/>
        <v>0</v>
      </c>
      <c r="V297" s="129">
        <f t="shared" si="66"/>
        <v>0</v>
      </c>
      <c r="W297" s="129">
        <f t="shared" si="66"/>
        <v>0</v>
      </c>
      <c r="X297" s="129">
        <f t="shared" si="66"/>
        <v>0</v>
      </c>
      <c r="Y297" s="129" t="e">
        <f t="shared" si="66"/>
        <v>#REF!</v>
      </c>
      <c r="Z297" s="147" t="e">
        <f t="shared" si="64"/>
        <v>#REF!</v>
      </c>
    </row>
    <row r="298" spans="1:26" s="230" customFormat="1" ht="15" customHeight="1">
      <c r="A298" s="144"/>
      <c r="B298" s="245">
        <v>4</v>
      </c>
      <c r="C298" s="152"/>
      <c r="D298" s="152"/>
      <c r="E298" s="195"/>
      <c r="F298" s="197"/>
      <c r="G298" s="266" t="str">
        <f t="shared" si="65"/>
        <v>X515EA</v>
      </c>
      <c r="H298" s="147" t="s">
        <v>20</v>
      </c>
      <c r="I298" s="196" t="s">
        <v>142</v>
      </c>
      <c r="J298" s="196" t="s">
        <v>153</v>
      </c>
      <c r="K298" s="202" t="s">
        <v>154</v>
      </c>
      <c r="L298" s="198">
        <v>1</v>
      </c>
      <c r="M298" s="204" t="s">
        <v>150</v>
      </c>
      <c r="N298" s="253"/>
      <c r="O298" s="253">
        <v>12554</v>
      </c>
      <c r="P298" s="253"/>
      <c r="Q298" s="129">
        <f t="shared" si="66"/>
        <v>0</v>
      </c>
      <c r="R298" s="129">
        <f t="shared" si="66"/>
        <v>0</v>
      </c>
      <c r="S298" s="129">
        <f t="shared" si="66"/>
        <v>0</v>
      </c>
      <c r="T298" s="129">
        <f t="shared" si="66"/>
        <v>0</v>
      </c>
      <c r="U298" s="129">
        <f t="shared" si="66"/>
        <v>0</v>
      </c>
      <c r="V298" s="129">
        <f t="shared" si="66"/>
        <v>0</v>
      </c>
      <c r="W298" s="129">
        <f t="shared" si="66"/>
        <v>0</v>
      </c>
      <c r="X298" s="129">
        <f t="shared" si="66"/>
        <v>0</v>
      </c>
      <c r="Y298" s="129" t="e">
        <f t="shared" si="66"/>
        <v>#REF!</v>
      </c>
      <c r="Z298" s="147" t="e">
        <f t="shared" si="64"/>
        <v>#REF!</v>
      </c>
    </row>
    <row r="299" spans="1:26" s="230" customFormat="1" ht="15" customHeight="1">
      <c r="A299" s="144"/>
      <c r="B299" s="245">
        <v>5</v>
      </c>
      <c r="C299" s="152"/>
      <c r="D299" s="152"/>
      <c r="E299" s="195"/>
      <c r="F299" s="197"/>
      <c r="G299" s="266" t="str">
        <f t="shared" si="65"/>
        <v>X515EA</v>
      </c>
      <c r="H299" s="147" t="s">
        <v>20</v>
      </c>
      <c r="I299" s="196" t="s">
        <v>142</v>
      </c>
      <c r="J299" s="196" t="s">
        <v>153</v>
      </c>
      <c r="K299" s="202" t="s">
        <v>215</v>
      </c>
      <c r="L299" s="198">
        <v>1</v>
      </c>
      <c r="M299" s="204" t="s">
        <v>147</v>
      </c>
      <c r="N299" s="253"/>
      <c r="O299" s="253">
        <v>4568</v>
      </c>
      <c r="P299" s="253"/>
      <c r="Q299" s="129">
        <f t="shared" si="66"/>
        <v>0</v>
      </c>
      <c r="R299" s="129">
        <f t="shared" si="66"/>
        <v>0</v>
      </c>
      <c r="S299" s="129">
        <f t="shared" si="66"/>
        <v>0</v>
      </c>
      <c r="T299" s="129">
        <f t="shared" si="66"/>
        <v>0</v>
      </c>
      <c r="U299" s="129">
        <f t="shared" si="66"/>
        <v>0</v>
      </c>
      <c r="V299" s="129">
        <f t="shared" si="66"/>
        <v>0</v>
      </c>
      <c r="W299" s="129">
        <f t="shared" si="66"/>
        <v>0</v>
      </c>
      <c r="X299" s="129">
        <f t="shared" si="66"/>
        <v>0</v>
      </c>
      <c r="Y299" s="129" t="e">
        <f t="shared" si="66"/>
        <v>#REF!</v>
      </c>
      <c r="Z299" s="147" t="e">
        <f t="shared" si="64"/>
        <v>#REF!</v>
      </c>
    </row>
    <row r="300" spans="1:26" s="230" customFormat="1" ht="15" customHeight="1">
      <c r="A300" s="144"/>
      <c r="B300" s="245">
        <v>6</v>
      </c>
      <c r="C300" s="152"/>
      <c r="D300" s="152"/>
      <c r="E300" s="195"/>
      <c r="F300" s="197"/>
      <c r="G300" s="266" t="str">
        <f t="shared" si="65"/>
        <v>X515EA</v>
      </c>
      <c r="H300" s="147" t="s">
        <v>20</v>
      </c>
      <c r="I300" s="196" t="s">
        <v>142</v>
      </c>
      <c r="J300" s="196" t="s">
        <v>153</v>
      </c>
      <c r="K300" s="202" t="s">
        <v>217</v>
      </c>
      <c r="L300" s="198">
        <v>1</v>
      </c>
      <c r="M300" s="260" t="s">
        <v>162</v>
      </c>
      <c r="N300" s="253"/>
      <c r="O300" s="253">
        <v>13198</v>
      </c>
      <c r="P300" s="253"/>
      <c r="Q300" s="129">
        <f t="shared" si="66"/>
        <v>0</v>
      </c>
      <c r="R300" s="129">
        <f t="shared" si="66"/>
        <v>0</v>
      </c>
      <c r="S300" s="129">
        <f t="shared" si="66"/>
        <v>0</v>
      </c>
      <c r="T300" s="129">
        <f t="shared" si="66"/>
        <v>0</v>
      </c>
      <c r="U300" s="129">
        <f t="shared" si="66"/>
        <v>-1150</v>
      </c>
      <c r="V300" s="129">
        <f t="shared" si="66"/>
        <v>-850</v>
      </c>
      <c r="W300" s="129">
        <f t="shared" si="66"/>
        <v>-4050</v>
      </c>
      <c r="X300" s="129">
        <f t="shared" si="66"/>
        <v>-4050</v>
      </c>
      <c r="Y300" s="129" t="e">
        <f t="shared" si="66"/>
        <v>#REF!</v>
      </c>
      <c r="Z300" s="147" t="e">
        <f t="shared" si="64"/>
        <v>#REF!</v>
      </c>
    </row>
    <row r="301" spans="1:26" s="230" customFormat="1" ht="15" customHeight="1">
      <c r="A301" s="144"/>
      <c r="B301" s="245">
        <v>7</v>
      </c>
      <c r="C301" s="152"/>
      <c r="D301" s="152"/>
      <c r="E301" s="195"/>
      <c r="F301" s="197"/>
      <c r="G301" s="266" t="str">
        <f t="shared" si="65"/>
        <v>X515EA</v>
      </c>
      <c r="H301" s="147" t="s">
        <v>20</v>
      </c>
      <c r="I301" s="196" t="s">
        <v>142</v>
      </c>
      <c r="J301" s="196" t="s">
        <v>153</v>
      </c>
      <c r="K301" s="202" t="s">
        <v>216</v>
      </c>
      <c r="L301" s="198">
        <v>3</v>
      </c>
      <c r="M301" s="260" t="s">
        <v>151</v>
      </c>
      <c r="N301" s="253"/>
      <c r="O301" s="253">
        <v>29097</v>
      </c>
      <c r="P301" s="253"/>
      <c r="Q301" s="129">
        <f t="shared" si="66"/>
        <v>0</v>
      </c>
      <c r="R301" s="129">
        <f t="shared" si="66"/>
        <v>0</v>
      </c>
      <c r="S301" s="129">
        <f t="shared" si="66"/>
        <v>0</v>
      </c>
      <c r="T301" s="129">
        <f t="shared" si="66"/>
        <v>0</v>
      </c>
      <c r="U301" s="129">
        <f t="shared" si="66"/>
        <v>-3450</v>
      </c>
      <c r="V301" s="129">
        <f t="shared" si="66"/>
        <v>-2550</v>
      </c>
      <c r="W301" s="129">
        <f t="shared" si="66"/>
        <v>-12150</v>
      </c>
      <c r="X301" s="129">
        <f t="shared" si="66"/>
        <v>-12150</v>
      </c>
      <c r="Y301" s="129" t="e">
        <f t="shared" si="66"/>
        <v>#REF!</v>
      </c>
      <c r="Z301" s="147" t="e">
        <f t="shared" si="64"/>
        <v>#REF!</v>
      </c>
    </row>
    <row r="302" spans="1:26" s="230" customFormat="1">
      <c r="A302" s="144"/>
      <c r="B302" s="244" t="e">
        <f>SUM(Q302:Y302)</f>
        <v>#REF!</v>
      </c>
      <c r="C302" s="244" t="s">
        <v>237</v>
      </c>
      <c r="D302" s="244" t="s">
        <v>229</v>
      </c>
      <c r="E302" s="244" t="s">
        <v>22</v>
      </c>
      <c r="F302" s="244" t="e">
        <f>SUM(N302:Y302)</f>
        <v>#REF!</v>
      </c>
      <c r="G302" s="244" t="s">
        <v>207</v>
      </c>
      <c r="H302" s="244"/>
      <c r="I302" s="244"/>
      <c r="J302" s="244"/>
      <c r="K302" s="244"/>
      <c r="L302" s="244"/>
      <c r="M302" s="244"/>
      <c r="N302" s="244"/>
      <c r="O302" s="244"/>
      <c r="P302" s="244"/>
      <c r="Q302" s="244">
        <f>SUMIFS(MB!R:R,MB!$F:$F,$G:$G,MB!$D:$D,"FCST")</f>
        <v>0</v>
      </c>
      <c r="R302" s="244">
        <f>SUMIFS(MB!S:S,MB!$F:$F,$G:$G,MB!$D:$D,"FCST")</f>
        <v>0</v>
      </c>
      <c r="S302" s="244">
        <f>SUMIFS(MB!T:T,MB!$F:$F,$G:$G,MB!$D:$D,"FCST")</f>
        <v>0</v>
      </c>
      <c r="T302" s="244">
        <f>SUMIFS(MB!U:U,MB!$F:$F,$G:$G,MB!$D:$D,"FCST")</f>
        <v>0</v>
      </c>
      <c r="U302" s="244">
        <f>SUMIFS(MB!V:V,MB!$F:$F,$G:$G,MB!$D:$D,"FCST")</f>
        <v>0</v>
      </c>
      <c r="V302" s="244">
        <f>SUMIFS(MB!W:W,MB!$F:$F,$G:$G,MB!$D:$D,"FCST")</f>
        <v>0</v>
      </c>
      <c r="W302" s="244">
        <f>SUMIFS(MB!X:X,MB!$F:$F,$G:$G,MB!$D:$D,"FCST")</f>
        <v>0</v>
      </c>
      <c r="X302" s="244">
        <f>SUMIFS(MB!Y:Y,MB!$F:$F,$G:$G,MB!$D:$D,"FCST")</f>
        <v>0</v>
      </c>
      <c r="Y302" s="244" t="e">
        <f>SUMIFS(MB!#REF!,MB!$F:$F,$G:$G,MB!$D:$D,"FCST")</f>
        <v>#REF!</v>
      </c>
      <c r="Z302" s="244"/>
    </row>
    <row r="303" spans="1:26" s="230" customFormat="1" ht="15" customHeight="1">
      <c r="A303" s="144"/>
      <c r="B303" s="245">
        <v>1</v>
      </c>
      <c r="C303" s="246"/>
      <c r="D303" s="246"/>
      <c r="E303" s="247"/>
      <c r="F303" s="261"/>
      <c r="G303" s="266" t="str">
        <f>$G$302</f>
        <v>K513EQ</v>
      </c>
      <c r="H303" s="248" t="s">
        <v>103</v>
      </c>
      <c r="I303" s="250" t="s">
        <v>103</v>
      </c>
      <c r="J303" s="250" t="s">
        <v>153</v>
      </c>
      <c r="K303" s="255" t="s">
        <v>212</v>
      </c>
      <c r="L303" s="262">
        <v>1</v>
      </c>
      <c r="M303" s="263" t="s">
        <v>146</v>
      </c>
      <c r="N303" s="253"/>
      <c r="O303" s="253">
        <v>9136</v>
      </c>
      <c r="P303" s="253"/>
      <c r="Q303" s="254">
        <v>0</v>
      </c>
      <c r="R303" s="254">
        <v>0</v>
      </c>
      <c r="S303" s="254">
        <v>0</v>
      </c>
      <c r="T303" s="254">
        <v>0</v>
      </c>
      <c r="U303" s="254">
        <v>0</v>
      </c>
      <c r="V303" s="254">
        <v>0</v>
      </c>
      <c r="W303" s="254">
        <v>0</v>
      </c>
      <c r="X303" s="254">
        <v>0</v>
      </c>
      <c r="Y303" s="254">
        <v>0</v>
      </c>
      <c r="Z303" s="248">
        <f t="shared" ref="Z303:Z316" si="67">SUM(Q303:Y303)</f>
        <v>0</v>
      </c>
    </row>
    <row r="304" spans="1:26" s="230" customFormat="1" ht="15" customHeight="1">
      <c r="A304" s="144"/>
      <c r="B304" s="245">
        <v>2</v>
      </c>
      <c r="C304" s="246"/>
      <c r="D304" s="246"/>
      <c r="E304" s="247"/>
      <c r="F304" s="261"/>
      <c r="G304" s="266" t="str">
        <f t="shared" ref="G304:G316" si="68">$G$302</f>
        <v>K513EQ</v>
      </c>
      <c r="H304" s="248" t="s">
        <v>103</v>
      </c>
      <c r="I304" s="250" t="s">
        <v>103</v>
      </c>
      <c r="J304" s="250" t="s">
        <v>153</v>
      </c>
      <c r="K304" s="255" t="s">
        <v>213</v>
      </c>
      <c r="L304" s="262">
        <v>1</v>
      </c>
      <c r="M304" s="263" t="s">
        <v>149</v>
      </c>
      <c r="N304" s="253"/>
      <c r="O304" s="253">
        <v>86720</v>
      </c>
      <c r="P304" s="253"/>
      <c r="Q304" s="254">
        <v>0</v>
      </c>
      <c r="R304" s="254">
        <v>0</v>
      </c>
      <c r="S304" s="254">
        <v>0</v>
      </c>
      <c r="T304" s="254">
        <v>0</v>
      </c>
      <c r="U304" s="254">
        <v>0</v>
      </c>
      <c r="V304" s="254">
        <v>0</v>
      </c>
      <c r="W304" s="254">
        <v>0</v>
      </c>
      <c r="X304" s="254">
        <v>0</v>
      </c>
      <c r="Y304" s="254">
        <v>0</v>
      </c>
      <c r="Z304" s="248">
        <f t="shared" si="67"/>
        <v>0</v>
      </c>
    </row>
    <row r="305" spans="1:26" s="230" customFormat="1" ht="15" customHeight="1">
      <c r="A305" s="144"/>
      <c r="B305" s="245">
        <v>3</v>
      </c>
      <c r="C305" s="246"/>
      <c r="D305" s="246"/>
      <c r="E305" s="247"/>
      <c r="F305" s="261"/>
      <c r="G305" s="266" t="str">
        <f t="shared" si="68"/>
        <v>K513EQ</v>
      </c>
      <c r="H305" s="248" t="s">
        <v>103</v>
      </c>
      <c r="I305" s="250" t="s">
        <v>103</v>
      </c>
      <c r="J305" s="250" t="s">
        <v>153</v>
      </c>
      <c r="K305" s="255" t="s">
        <v>214</v>
      </c>
      <c r="L305" s="262">
        <v>1</v>
      </c>
      <c r="M305" s="263" t="s">
        <v>144</v>
      </c>
      <c r="N305" s="253"/>
      <c r="O305" s="253">
        <v>11770</v>
      </c>
      <c r="P305" s="253"/>
      <c r="Q305" s="254">
        <v>0</v>
      </c>
      <c r="R305" s="254">
        <v>0</v>
      </c>
      <c r="S305" s="254">
        <v>0</v>
      </c>
      <c r="T305" s="254">
        <v>0</v>
      </c>
      <c r="U305" s="254">
        <v>0</v>
      </c>
      <c r="V305" s="254">
        <v>0</v>
      </c>
      <c r="W305" s="254">
        <v>0</v>
      </c>
      <c r="X305" s="254">
        <v>0</v>
      </c>
      <c r="Y305" s="254">
        <v>0</v>
      </c>
      <c r="Z305" s="248">
        <f t="shared" si="67"/>
        <v>0</v>
      </c>
    </row>
    <row r="306" spans="1:26" s="230" customFormat="1" ht="15" customHeight="1">
      <c r="A306" s="144"/>
      <c r="B306" s="245">
        <v>4</v>
      </c>
      <c r="C306" s="246"/>
      <c r="D306" s="246"/>
      <c r="E306" s="247"/>
      <c r="F306" s="261"/>
      <c r="G306" s="266" t="str">
        <f t="shared" si="68"/>
        <v>K513EQ</v>
      </c>
      <c r="H306" s="248" t="s">
        <v>103</v>
      </c>
      <c r="I306" s="250" t="s">
        <v>103</v>
      </c>
      <c r="J306" s="250" t="s">
        <v>153</v>
      </c>
      <c r="K306" s="255" t="s">
        <v>154</v>
      </c>
      <c r="L306" s="262">
        <v>1</v>
      </c>
      <c r="M306" s="263" t="s">
        <v>150</v>
      </c>
      <c r="N306" s="253"/>
      <c r="O306" s="253">
        <v>12554</v>
      </c>
      <c r="P306" s="253"/>
      <c r="Q306" s="254">
        <v>0</v>
      </c>
      <c r="R306" s="254">
        <v>0</v>
      </c>
      <c r="S306" s="254">
        <v>0</v>
      </c>
      <c r="T306" s="254">
        <v>0</v>
      </c>
      <c r="U306" s="254">
        <v>0</v>
      </c>
      <c r="V306" s="254">
        <v>0</v>
      </c>
      <c r="W306" s="254">
        <v>0</v>
      </c>
      <c r="X306" s="254">
        <v>0</v>
      </c>
      <c r="Y306" s="254">
        <v>0</v>
      </c>
      <c r="Z306" s="248">
        <f t="shared" si="67"/>
        <v>0</v>
      </c>
    </row>
    <row r="307" spans="1:26" s="230" customFormat="1" ht="15" customHeight="1">
      <c r="A307" s="144"/>
      <c r="B307" s="245">
        <v>5</v>
      </c>
      <c r="C307" s="246"/>
      <c r="D307" s="246"/>
      <c r="E307" s="247"/>
      <c r="F307" s="261"/>
      <c r="G307" s="266" t="str">
        <f t="shared" si="68"/>
        <v>K513EQ</v>
      </c>
      <c r="H307" s="248" t="s">
        <v>103</v>
      </c>
      <c r="I307" s="250" t="s">
        <v>103</v>
      </c>
      <c r="J307" s="250" t="s">
        <v>153</v>
      </c>
      <c r="K307" s="255" t="s">
        <v>215</v>
      </c>
      <c r="L307" s="262">
        <v>1</v>
      </c>
      <c r="M307" s="263" t="s">
        <v>147</v>
      </c>
      <c r="N307" s="253"/>
      <c r="O307" s="253">
        <v>4568</v>
      </c>
      <c r="P307" s="253"/>
      <c r="Q307" s="254">
        <v>0</v>
      </c>
      <c r="R307" s="254">
        <v>0</v>
      </c>
      <c r="S307" s="254">
        <v>0</v>
      </c>
      <c r="T307" s="254">
        <v>0</v>
      </c>
      <c r="U307" s="254">
        <v>0</v>
      </c>
      <c r="V307" s="254">
        <v>0</v>
      </c>
      <c r="W307" s="254">
        <v>0</v>
      </c>
      <c r="X307" s="254">
        <v>0</v>
      </c>
      <c r="Y307" s="254">
        <v>0</v>
      </c>
      <c r="Z307" s="248">
        <f t="shared" si="67"/>
        <v>0</v>
      </c>
    </row>
    <row r="308" spans="1:26" s="230" customFormat="1" ht="15" customHeight="1">
      <c r="A308" s="144"/>
      <c r="B308" s="245">
        <v>6</v>
      </c>
      <c r="C308" s="246"/>
      <c r="D308" s="246"/>
      <c r="E308" s="247"/>
      <c r="F308" s="261"/>
      <c r="G308" s="266" t="str">
        <f t="shared" si="68"/>
        <v>K513EQ</v>
      </c>
      <c r="H308" s="248" t="s">
        <v>103</v>
      </c>
      <c r="I308" s="250" t="s">
        <v>103</v>
      </c>
      <c r="J308" s="250" t="s">
        <v>153</v>
      </c>
      <c r="K308" s="255" t="s">
        <v>217</v>
      </c>
      <c r="L308" s="262">
        <v>1</v>
      </c>
      <c r="M308" s="263" t="s">
        <v>261</v>
      </c>
      <c r="N308" s="253"/>
      <c r="O308" s="253">
        <v>286</v>
      </c>
      <c r="P308" s="253"/>
      <c r="Q308" s="254">
        <v>0</v>
      </c>
      <c r="R308" s="254">
        <v>0</v>
      </c>
      <c r="S308" s="254">
        <v>0</v>
      </c>
      <c r="T308" s="254">
        <v>0</v>
      </c>
      <c r="U308" s="254">
        <v>0</v>
      </c>
      <c r="V308" s="254">
        <v>0</v>
      </c>
      <c r="W308" s="254">
        <v>0</v>
      </c>
      <c r="X308" s="254">
        <v>0</v>
      </c>
      <c r="Y308" s="254">
        <v>0</v>
      </c>
      <c r="Z308" s="248">
        <f t="shared" si="67"/>
        <v>0</v>
      </c>
    </row>
    <row r="309" spans="1:26" s="230" customFormat="1" ht="15" customHeight="1">
      <c r="A309" s="144"/>
      <c r="B309" s="245">
        <v>7</v>
      </c>
      <c r="C309" s="246"/>
      <c r="D309" s="246"/>
      <c r="E309" s="247"/>
      <c r="F309" s="261"/>
      <c r="G309" s="266" t="str">
        <f t="shared" si="68"/>
        <v>K513EQ</v>
      </c>
      <c r="H309" s="248" t="s">
        <v>103</v>
      </c>
      <c r="I309" s="250" t="s">
        <v>103</v>
      </c>
      <c r="J309" s="250" t="s">
        <v>153</v>
      </c>
      <c r="K309" s="255" t="s">
        <v>216</v>
      </c>
      <c r="L309" s="262">
        <v>3</v>
      </c>
      <c r="M309" s="263" t="s">
        <v>260</v>
      </c>
      <c r="N309" s="253"/>
      <c r="O309" s="253">
        <v>25000</v>
      </c>
      <c r="P309" s="253"/>
      <c r="Q309" s="254">
        <v>0</v>
      </c>
      <c r="R309" s="254">
        <v>0</v>
      </c>
      <c r="S309" s="254">
        <v>0</v>
      </c>
      <c r="T309" s="254">
        <v>0</v>
      </c>
      <c r="U309" s="254">
        <v>0</v>
      </c>
      <c r="V309" s="254">
        <v>0</v>
      </c>
      <c r="W309" s="254">
        <v>0</v>
      </c>
      <c r="X309" s="254">
        <v>0</v>
      </c>
      <c r="Y309" s="254">
        <v>0</v>
      </c>
      <c r="Z309" s="248">
        <f t="shared" si="67"/>
        <v>0</v>
      </c>
    </row>
    <row r="310" spans="1:26" s="230" customFormat="1" ht="15" customHeight="1">
      <c r="A310" s="144"/>
      <c r="B310" s="245">
        <v>1</v>
      </c>
      <c r="C310" s="152"/>
      <c r="D310" s="152"/>
      <c r="E310" s="195"/>
      <c r="F310" s="197"/>
      <c r="G310" s="266" t="str">
        <f t="shared" si="68"/>
        <v>K513EQ</v>
      </c>
      <c r="H310" s="147" t="s">
        <v>20</v>
      </c>
      <c r="I310" s="196" t="s">
        <v>142</v>
      </c>
      <c r="J310" s="196" t="s">
        <v>153</v>
      </c>
      <c r="K310" s="202" t="s">
        <v>212</v>
      </c>
      <c r="L310" s="198">
        <v>1</v>
      </c>
      <c r="M310" s="204" t="s">
        <v>146</v>
      </c>
      <c r="N310" s="253"/>
      <c r="O310" s="253">
        <v>9136</v>
      </c>
      <c r="P310" s="253"/>
      <c r="Q310" s="129">
        <f>(Q$302*$L310)-Q303</f>
        <v>0</v>
      </c>
      <c r="R310" s="129">
        <f>(R$302*$L310)-R303</f>
        <v>0</v>
      </c>
      <c r="S310" s="129">
        <f t="shared" ref="S310:Y310" si="69">(S$302*$L310)-S303</f>
        <v>0</v>
      </c>
      <c r="T310" s="129">
        <f t="shared" si="69"/>
        <v>0</v>
      </c>
      <c r="U310" s="129">
        <f t="shared" si="69"/>
        <v>0</v>
      </c>
      <c r="V310" s="129">
        <f>(V$302*$L310)-V303</f>
        <v>0</v>
      </c>
      <c r="W310" s="129">
        <f t="shared" si="69"/>
        <v>0</v>
      </c>
      <c r="X310" s="129">
        <f t="shared" si="69"/>
        <v>0</v>
      </c>
      <c r="Y310" s="129" t="e">
        <f t="shared" si="69"/>
        <v>#REF!</v>
      </c>
      <c r="Z310" s="147" t="e">
        <f t="shared" si="67"/>
        <v>#REF!</v>
      </c>
    </row>
    <row r="311" spans="1:26" s="230" customFormat="1" ht="15" customHeight="1">
      <c r="A311" s="144"/>
      <c r="B311" s="245">
        <v>2</v>
      </c>
      <c r="C311" s="152"/>
      <c r="D311" s="152"/>
      <c r="E311" s="195"/>
      <c r="F311" s="197"/>
      <c r="G311" s="266" t="str">
        <f t="shared" si="68"/>
        <v>K513EQ</v>
      </c>
      <c r="H311" s="147" t="s">
        <v>20</v>
      </c>
      <c r="I311" s="196" t="s">
        <v>142</v>
      </c>
      <c r="J311" s="196" t="s">
        <v>153</v>
      </c>
      <c r="K311" s="202" t="s">
        <v>213</v>
      </c>
      <c r="L311" s="198">
        <v>1</v>
      </c>
      <c r="M311" s="204" t="s">
        <v>149</v>
      </c>
      <c r="N311" s="253"/>
      <c r="O311" s="253">
        <v>86720</v>
      </c>
      <c r="P311" s="253"/>
      <c r="Q311" s="129">
        <f t="shared" ref="Q311:Y316" si="70">(Q$302*$L311)-Q304</f>
        <v>0</v>
      </c>
      <c r="R311" s="129">
        <f t="shared" si="70"/>
        <v>0</v>
      </c>
      <c r="S311" s="129">
        <f t="shared" si="70"/>
        <v>0</v>
      </c>
      <c r="T311" s="129">
        <f t="shared" si="70"/>
        <v>0</v>
      </c>
      <c r="U311" s="129">
        <f t="shared" si="70"/>
        <v>0</v>
      </c>
      <c r="V311" s="129">
        <f t="shared" si="70"/>
        <v>0</v>
      </c>
      <c r="W311" s="129">
        <f t="shared" si="70"/>
        <v>0</v>
      </c>
      <c r="X311" s="129">
        <f t="shared" si="70"/>
        <v>0</v>
      </c>
      <c r="Y311" s="129" t="e">
        <f t="shared" si="70"/>
        <v>#REF!</v>
      </c>
      <c r="Z311" s="147" t="e">
        <f t="shared" si="67"/>
        <v>#REF!</v>
      </c>
    </row>
    <row r="312" spans="1:26" s="230" customFormat="1" ht="15" customHeight="1">
      <c r="A312" s="144"/>
      <c r="B312" s="245">
        <v>3</v>
      </c>
      <c r="C312" s="152"/>
      <c r="D312" s="152"/>
      <c r="E312" s="195"/>
      <c r="F312" s="197"/>
      <c r="G312" s="266" t="str">
        <f t="shared" si="68"/>
        <v>K513EQ</v>
      </c>
      <c r="H312" s="147" t="s">
        <v>20</v>
      </c>
      <c r="I312" s="196" t="s">
        <v>142</v>
      </c>
      <c r="J312" s="196" t="s">
        <v>153</v>
      </c>
      <c r="K312" s="202" t="s">
        <v>214</v>
      </c>
      <c r="L312" s="198">
        <v>1</v>
      </c>
      <c r="M312" s="204" t="s">
        <v>144</v>
      </c>
      <c r="N312" s="253"/>
      <c r="O312" s="253">
        <v>11770</v>
      </c>
      <c r="P312" s="253"/>
      <c r="Q312" s="129">
        <f t="shared" si="70"/>
        <v>0</v>
      </c>
      <c r="R312" s="129">
        <f t="shared" si="70"/>
        <v>0</v>
      </c>
      <c r="S312" s="129">
        <f t="shared" si="70"/>
        <v>0</v>
      </c>
      <c r="T312" s="129">
        <f t="shared" si="70"/>
        <v>0</v>
      </c>
      <c r="U312" s="129">
        <f t="shared" si="70"/>
        <v>0</v>
      </c>
      <c r="V312" s="129">
        <f t="shared" si="70"/>
        <v>0</v>
      </c>
      <c r="W312" s="129">
        <f t="shared" si="70"/>
        <v>0</v>
      </c>
      <c r="X312" s="129">
        <f t="shared" si="70"/>
        <v>0</v>
      </c>
      <c r="Y312" s="129" t="e">
        <f t="shared" si="70"/>
        <v>#REF!</v>
      </c>
      <c r="Z312" s="147" t="e">
        <f t="shared" si="67"/>
        <v>#REF!</v>
      </c>
    </row>
    <row r="313" spans="1:26" s="230" customFormat="1" ht="15" customHeight="1">
      <c r="A313" s="144"/>
      <c r="B313" s="245">
        <v>4</v>
      </c>
      <c r="C313" s="152"/>
      <c r="D313" s="152"/>
      <c r="E313" s="195"/>
      <c r="F313" s="197"/>
      <c r="G313" s="266" t="str">
        <f t="shared" si="68"/>
        <v>K513EQ</v>
      </c>
      <c r="H313" s="147" t="s">
        <v>20</v>
      </c>
      <c r="I313" s="196" t="s">
        <v>142</v>
      </c>
      <c r="J313" s="196" t="s">
        <v>153</v>
      </c>
      <c r="K313" s="202" t="s">
        <v>154</v>
      </c>
      <c r="L313" s="198">
        <v>1</v>
      </c>
      <c r="M313" s="204" t="s">
        <v>150</v>
      </c>
      <c r="N313" s="253"/>
      <c r="O313" s="253">
        <v>12554</v>
      </c>
      <c r="P313" s="253"/>
      <c r="Q313" s="129">
        <f t="shared" si="70"/>
        <v>0</v>
      </c>
      <c r="R313" s="129">
        <f t="shared" si="70"/>
        <v>0</v>
      </c>
      <c r="S313" s="129">
        <f t="shared" si="70"/>
        <v>0</v>
      </c>
      <c r="T313" s="129">
        <f t="shared" si="70"/>
        <v>0</v>
      </c>
      <c r="U313" s="129">
        <f t="shared" si="70"/>
        <v>0</v>
      </c>
      <c r="V313" s="129">
        <f t="shared" si="70"/>
        <v>0</v>
      </c>
      <c r="W313" s="129">
        <f t="shared" si="70"/>
        <v>0</v>
      </c>
      <c r="X313" s="129">
        <f t="shared" si="70"/>
        <v>0</v>
      </c>
      <c r="Y313" s="129" t="e">
        <f t="shared" si="70"/>
        <v>#REF!</v>
      </c>
      <c r="Z313" s="147" t="e">
        <f t="shared" si="67"/>
        <v>#REF!</v>
      </c>
    </row>
    <row r="314" spans="1:26" s="230" customFormat="1" ht="15" customHeight="1">
      <c r="A314" s="144"/>
      <c r="B314" s="245">
        <v>5</v>
      </c>
      <c r="C314" s="152"/>
      <c r="D314" s="152"/>
      <c r="E314" s="195"/>
      <c r="F314" s="197"/>
      <c r="G314" s="266" t="str">
        <f t="shared" si="68"/>
        <v>K513EQ</v>
      </c>
      <c r="H314" s="147" t="s">
        <v>20</v>
      </c>
      <c r="I314" s="196" t="s">
        <v>142</v>
      </c>
      <c r="J314" s="196" t="s">
        <v>153</v>
      </c>
      <c r="K314" s="202" t="s">
        <v>215</v>
      </c>
      <c r="L314" s="198">
        <v>1</v>
      </c>
      <c r="M314" s="204" t="s">
        <v>147</v>
      </c>
      <c r="N314" s="253"/>
      <c r="O314" s="253">
        <v>4568</v>
      </c>
      <c r="P314" s="253"/>
      <c r="Q314" s="129">
        <f t="shared" si="70"/>
        <v>0</v>
      </c>
      <c r="R314" s="129">
        <f t="shared" si="70"/>
        <v>0</v>
      </c>
      <c r="S314" s="129">
        <f t="shared" si="70"/>
        <v>0</v>
      </c>
      <c r="T314" s="129">
        <f t="shared" si="70"/>
        <v>0</v>
      </c>
      <c r="U314" s="129">
        <f t="shared" si="70"/>
        <v>0</v>
      </c>
      <c r="V314" s="129">
        <f t="shared" si="70"/>
        <v>0</v>
      </c>
      <c r="W314" s="129">
        <f t="shared" si="70"/>
        <v>0</v>
      </c>
      <c r="X314" s="129">
        <f t="shared" si="70"/>
        <v>0</v>
      </c>
      <c r="Y314" s="129" t="e">
        <f t="shared" si="70"/>
        <v>#REF!</v>
      </c>
      <c r="Z314" s="147" t="e">
        <f t="shared" si="67"/>
        <v>#REF!</v>
      </c>
    </row>
    <row r="315" spans="1:26" s="230" customFormat="1" ht="15" customHeight="1">
      <c r="A315" s="144"/>
      <c r="B315" s="245">
        <v>6</v>
      </c>
      <c r="C315" s="152"/>
      <c r="D315" s="152"/>
      <c r="E315" s="195"/>
      <c r="F315" s="197"/>
      <c r="G315" s="266" t="str">
        <f t="shared" si="68"/>
        <v>K513EQ</v>
      </c>
      <c r="H315" s="147" t="s">
        <v>20</v>
      </c>
      <c r="I315" s="196" t="s">
        <v>142</v>
      </c>
      <c r="J315" s="196" t="s">
        <v>153</v>
      </c>
      <c r="K315" s="202" t="s">
        <v>217</v>
      </c>
      <c r="L315" s="198">
        <v>1</v>
      </c>
      <c r="M315" s="260" t="s">
        <v>163</v>
      </c>
      <c r="N315" s="253"/>
      <c r="O315" s="253">
        <v>286</v>
      </c>
      <c r="P315" s="253"/>
      <c r="Q315" s="129">
        <f t="shared" si="70"/>
        <v>0</v>
      </c>
      <c r="R315" s="129">
        <f t="shared" si="70"/>
        <v>0</v>
      </c>
      <c r="S315" s="129">
        <f t="shared" si="70"/>
        <v>0</v>
      </c>
      <c r="T315" s="129">
        <f t="shared" si="70"/>
        <v>0</v>
      </c>
      <c r="U315" s="129">
        <f t="shared" si="70"/>
        <v>0</v>
      </c>
      <c r="V315" s="129">
        <f t="shared" si="70"/>
        <v>0</v>
      </c>
      <c r="W315" s="129">
        <f t="shared" si="70"/>
        <v>0</v>
      </c>
      <c r="X315" s="129">
        <f t="shared" si="70"/>
        <v>0</v>
      </c>
      <c r="Y315" s="129" t="e">
        <f t="shared" si="70"/>
        <v>#REF!</v>
      </c>
      <c r="Z315" s="147" t="e">
        <f t="shared" si="67"/>
        <v>#REF!</v>
      </c>
    </row>
    <row r="316" spans="1:26" s="230" customFormat="1" ht="15" customHeight="1">
      <c r="A316" s="144"/>
      <c r="B316" s="245">
        <v>7</v>
      </c>
      <c r="C316" s="152"/>
      <c r="D316" s="152"/>
      <c r="E316" s="195"/>
      <c r="F316" s="197"/>
      <c r="G316" s="266" t="str">
        <f t="shared" si="68"/>
        <v>K513EQ</v>
      </c>
      <c r="H316" s="147" t="s">
        <v>20</v>
      </c>
      <c r="I316" s="196" t="s">
        <v>142</v>
      </c>
      <c r="J316" s="196" t="s">
        <v>153</v>
      </c>
      <c r="K316" s="202" t="s">
        <v>216</v>
      </c>
      <c r="L316" s="198">
        <v>3</v>
      </c>
      <c r="M316" s="260" t="s">
        <v>143</v>
      </c>
      <c r="N316" s="253"/>
      <c r="O316" s="253">
        <v>25000</v>
      </c>
      <c r="P316" s="253"/>
      <c r="Q316" s="129">
        <f t="shared" si="70"/>
        <v>0</v>
      </c>
      <c r="R316" s="129">
        <f t="shared" si="70"/>
        <v>0</v>
      </c>
      <c r="S316" s="129">
        <f t="shared" si="70"/>
        <v>0</v>
      </c>
      <c r="T316" s="129">
        <f t="shared" si="70"/>
        <v>0</v>
      </c>
      <c r="U316" s="129">
        <f t="shared" si="70"/>
        <v>0</v>
      </c>
      <c r="V316" s="129">
        <f t="shared" si="70"/>
        <v>0</v>
      </c>
      <c r="W316" s="129">
        <f t="shared" si="70"/>
        <v>0</v>
      </c>
      <c r="X316" s="129">
        <f t="shared" si="70"/>
        <v>0</v>
      </c>
      <c r="Y316" s="129" t="e">
        <f t="shared" si="70"/>
        <v>#REF!</v>
      </c>
      <c r="Z316" s="147" t="e">
        <f t="shared" si="67"/>
        <v>#REF!</v>
      </c>
    </row>
    <row r="317" spans="1:26" s="230" customFormat="1">
      <c r="A317" s="144"/>
      <c r="B317" s="244" t="e">
        <f>SUM(Q317:Y317)</f>
        <v>#REF!</v>
      </c>
      <c r="C317" s="244" t="s">
        <v>237</v>
      </c>
      <c r="D317" s="244" t="s">
        <v>229</v>
      </c>
      <c r="E317" s="244" t="s">
        <v>22</v>
      </c>
      <c r="F317" s="244" t="e">
        <f>SUM(N317:Y317)</f>
        <v>#REF!</v>
      </c>
      <c r="G317" s="278" t="s">
        <v>243</v>
      </c>
      <c r="H317" s="244"/>
      <c r="I317" s="244"/>
      <c r="J317" s="244"/>
      <c r="K317" s="244" t="s">
        <v>204</v>
      </c>
      <c r="L317" s="244"/>
      <c r="M317" s="244"/>
      <c r="N317" s="244"/>
      <c r="O317" s="244"/>
      <c r="P317" s="244"/>
      <c r="Q317" s="244">
        <f>SUMIFS(MB!R:R,MB!$F:$F,$G:$G,MB!$D:$D,"FCST")</f>
        <v>0</v>
      </c>
      <c r="R317" s="244">
        <f>SUMIFS(MB!S:S,MB!$F:$F,$G:$G,MB!$D:$D,"FCST")</f>
        <v>0</v>
      </c>
      <c r="S317" s="244">
        <f>SUMIFS(MB!T:T,MB!$F:$F,$G:$G,MB!$D:$D,"FCST")</f>
        <v>2000</v>
      </c>
      <c r="T317" s="244">
        <f>SUMIFS(MB!U:U,MB!$F:$F,$G:$G,MB!$D:$D,"FCST")</f>
        <v>2000</v>
      </c>
      <c r="U317" s="244">
        <f>SUMIFS(MB!V:V,MB!$F:$F,$G:$G,MB!$D:$D,"FCST")</f>
        <v>1000</v>
      </c>
      <c r="V317" s="244">
        <f>SUMIFS(MB!W:W,MB!$F:$F,$G:$G,MB!$D:$D,"FCST")</f>
        <v>0</v>
      </c>
      <c r="W317" s="244">
        <f>SUMIFS(MB!X:X,MB!$F:$F,$G:$G,MB!$D:$D,"FCST")</f>
        <v>0</v>
      </c>
      <c r="X317" s="244">
        <f>SUMIFS(MB!Y:Y,MB!$F:$F,$G:$G,MB!$D:$D,"FCST")</f>
        <v>0</v>
      </c>
      <c r="Y317" s="244" t="e">
        <f>SUMIFS(MB!#REF!,MB!$F:$F,$G:$G,MB!$D:$D,"FCST")</f>
        <v>#REF!</v>
      </c>
      <c r="Z317" s="244"/>
    </row>
    <row r="318" spans="1:26" s="230" customFormat="1" ht="15" customHeight="1">
      <c r="A318" s="144"/>
      <c r="B318" s="245">
        <v>1</v>
      </c>
      <c r="C318" s="246"/>
      <c r="D318" s="246"/>
      <c r="E318" s="247"/>
      <c r="F318" s="261"/>
      <c r="G318" s="266" t="str">
        <f>$G$317</f>
        <v>X515MA</v>
      </c>
      <c r="H318" s="248" t="s">
        <v>103</v>
      </c>
      <c r="I318" s="250" t="s">
        <v>103</v>
      </c>
      <c r="J318" s="250" t="s">
        <v>153</v>
      </c>
      <c r="K318" s="255" t="s">
        <v>212</v>
      </c>
      <c r="L318" s="262">
        <v>1</v>
      </c>
      <c r="M318" s="269" t="s">
        <v>146</v>
      </c>
      <c r="N318" s="253"/>
      <c r="O318" s="253">
        <v>9136</v>
      </c>
      <c r="P318" s="253"/>
      <c r="Q318" s="254">
        <v>0</v>
      </c>
      <c r="R318" s="254">
        <v>0</v>
      </c>
      <c r="S318" s="254">
        <v>0</v>
      </c>
      <c r="T318" s="254">
        <v>0</v>
      </c>
      <c r="U318" s="254">
        <v>0</v>
      </c>
      <c r="V318" s="254">
        <v>0</v>
      </c>
      <c r="W318" s="254">
        <v>0</v>
      </c>
      <c r="X318" s="254">
        <v>0</v>
      </c>
      <c r="Y318" s="254">
        <v>0</v>
      </c>
      <c r="Z318" s="248">
        <f t="shared" ref="Z318:Z330" si="71">SUM(Q318:Y318)</f>
        <v>0</v>
      </c>
    </row>
    <row r="319" spans="1:26" s="230" customFormat="1" ht="15" customHeight="1">
      <c r="A319" s="144"/>
      <c r="B319" s="245">
        <v>2</v>
      </c>
      <c r="C319" s="246"/>
      <c r="D319" s="246"/>
      <c r="E319" s="247"/>
      <c r="F319" s="261"/>
      <c r="G319" s="266" t="str">
        <f t="shared" ref="G319:G331" si="72">$G$317</f>
        <v>X515MA</v>
      </c>
      <c r="H319" s="248" t="s">
        <v>103</v>
      </c>
      <c r="I319" s="250" t="s">
        <v>103</v>
      </c>
      <c r="J319" s="250" t="s">
        <v>153</v>
      </c>
      <c r="K319" s="255" t="s">
        <v>213</v>
      </c>
      <c r="L319" s="262">
        <v>1</v>
      </c>
      <c r="M319" s="269" t="s">
        <v>149</v>
      </c>
      <c r="N319" s="253"/>
      <c r="O319" s="253">
        <v>86720</v>
      </c>
      <c r="P319" s="253"/>
      <c r="Q319" s="254">
        <v>0</v>
      </c>
      <c r="R319" s="254">
        <v>0</v>
      </c>
      <c r="S319" s="254">
        <v>0</v>
      </c>
      <c r="T319" s="254">
        <v>0</v>
      </c>
      <c r="U319" s="254">
        <v>0</v>
      </c>
      <c r="V319" s="254">
        <v>0</v>
      </c>
      <c r="W319" s="254">
        <v>0</v>
      </c>
      <c r="X319" s="254">
        <v>0</v>
      </c>
      <c r="Y319" s="254">
        <v>0</v>
      </c>
      <c r="Z319" s="248">
        <f t="shared" si="71"/>
        <v>0</v>
      </c>
    </row>
    <row r="320" spans="1:26" s="230" customFormat="1" ht="15" customHeight="1">
      <c r="A320" s="144"/>
      <c r="B320" s="245">
        <v>3</v>
      </c>
      <c r="C320" s="246"/>
      <c r="D320" s="246"/>
      <c r="E320" s="247"/>
      <c r="F320" s="261"/>
      <c r="G320" s="266" t="str">
        <f t="shared" si="72"/>
        <v>X515MA</v>
      </c>
      <c r="H320" s="248" t="s">
        <v>103</v>
      </c>
      <c r="I320" s="250" t="s">
        <v>103</v>
      </c>
      <c r="J320" s="250" t="s">
        <v>153</v>
      </c>
      <c r="K320" s="255" t="s">
        <v>214</v>
      </c>
      <c r="L320" s="262">
        <v>1</v>
      </c>
      <c r="M320" s="269" t="s">
        <v>144</v>
      </c>
      <c r="N320" s="253"/>
      <c r="O320" s="253">
        <v>11770</v>
      </c>
      <c r="P320" s="253"/>
      <c r="Q320" s="254">
        <v>0</v>
      </c>
      <c r="R320" s="254">
        <v>0</v>
      </c>
      <c r="S320" s="254">
        <v>0</v>
      </c>
      <c r="T320" s="254">
        <v>0</v>
      </c>
      <c r="U320" s="254">
        <v>0</v>
      </c>
      <c r="V320" s="254">
        <v>0</v>
      </c>
      <c r="W320" s="254">
        <v>0</v>
      </c>
      <c r="X320" s="254">
        <v>0</v>
      </c>
      <c r="Y320" s="254">
        <v>0</v>
      </c>
      <c r="Z320" s="248">
        <f t="shared" si="71"/>
        <v>0</v>
      </c>
    </row>
    <row r="321" spans="1:26" s="230" customFormat="1" ht="15" customHeight="1">
      <c r="A321" s="144"/>
      <c r="B321" s="245">
        <v>4</v>
      </c>
      <c r="C321" s="246"/>
      <c r="D321" s="246"/>
      <c r="E321" s="247"/>
      <c r="F321" s="261"/>
      <c r="G321" s="266" t="str">
        <f t="shared" si="72"/>
        <v>X515MA</v>
      </c>
      <c r="H321" s="248" t="s">
        <v>103</v>
      </c>
      <c r="I321" s="250" t="s">
        <v>103</v>
      </c>
      <c r="J321" s="250" t="s">
        <v>153</v>
      </c>
      <c r="K321" s="255" t="s">
        <v>154</v>
      </c>
      <c r="L321" s="262">
        <v>1</v>
      </c>
      <c r="M321" s="269" t="s">
        <v>150</v>
      </c>
      <c r="N321" s="253"/>
      <c r="O321" s="253">
        <v>12554</v>
      </c>
      <c r="P321" s="253"/>
      <c r="Q321" s="254">
        <v>0</v>
      </c>
      <c r="R321" s="254">
        <v>0</v>
      </c>
      <c r="S321" s="254">
        <v>0</v>
      </c>
      <c r="T321" s="254">
        <v>0</v>
      </c>
      <c r="U321" s="254">
        <v>0</v>
      </c>
      <c r="V321" s="254">
        <v>0</v>
      </c>
      <c r="W321" s="254">
        <v>0</v>
      </c>
      <c r="X321" s="254">
        <v>0</v>
      </c>
      <c r="Y321" s="254">
        <v>0</v>
      </c>
      <c r="Z321" s="248">
        <f t="shared" si="71"/>
        <v>0</v>
      </c>
    </row>
    <row r="322" spans="1:26" s="230" customFormat="1" ht="15" customHeight="1">
      <c r="A322" s="144"/>
      <c r="B322" s="245">
        <v>5</v>
      </c>
      <c r="C322" s="246"/>
      <c r="D322" s="246"/>
      <c r="E322" s="247"/>
      <c r="F322" s="261"/>
      <c r="G322" s="266" t="str">
        <f t="shared" si="72"/>
        <v>X515MA</v>
      </c>
      <c r="H322" s="248" t="s">
        <v>103</v>
      </c>
      <c r="I322" s="250" t="s">
        <v>103</v>
      </c>
      <c r="J322" s="250" t="s">
        <v>153</v>
      </c>
      <c r="K322" s="255" t="s">
        <v>215</v>
      </c>
      <c r="L322" s="262">
        <v>1</v>
      </c>
      <c r="M322" s="269" t="s">
        <v>147</v>
      </c>
      <c r="N322" s="253"/>
      <c r="O322" s="253">
        <v>4568</v>
      </c>
      <c r="P322" s="253"/>
      <c r="Q322" s="254">
        <v>0</v>
      </c>
      <c r="R322" s="254">
        <v>0</v>
      </c>
      <c r="S322" s="254">
        <v>0</v>
      </c>
      <c r="T322" s="254">
        <v>0</v>
      </c>
      <c r="U322" s="254">
        <v>0</v>
      </c>
      <c r="V322" s="254">
        <v>0</v>
      </c>
      <c r="W322" s="254">
        <v>0</v>
      </c>
      <c r="X322" s="254">
        <v>0</v>
      </c>
      <c r="Y322" s="254">
        <v>0</v>
      </c>
      <c r="Z322" s="248">
        <f t="shared" si="71"/>
        <v>0</v>
      </c>
    </row>
    <row r="323" spans="1:26" s="230" customFormat="1" ht="15" customHeight="1">
      <c r="A323" s="144"/>
      <c r="B323" s="245">
        <v>6</v>
      </c>
      <c r="C323" s="246"/>
      <c r="D323" s="246"/>
      <c r="E323" s="247"/>
      <c r="F323" s="261"/>
      <c r="G323" s="266" t="str">
        <f t="shared" si="72"/>
        <v>X515MA</v>
      </c>
      <c r="H323" s="248" t="s">
        <v>103</v>
      </c>
      <c r="I323" s="250" t="s">
        <v>103</v>
      </c>
      <c r="J323" s="250" t="s">
        <v>153</v>
      </c>
      <c r="K323" s="255" t="s">
        <v>217</v>
      </c>
      <c r="L323" s="262">
        <v>1</v>
      </c>
      <c r="M323" s="274" t="s">
        <v>256</v>
      </c>
      <c r="N323" s="253"/>
      <c r="O323" s="253">
        <v>286</v>
      </c>
      <c r="P323" s="253"/>
      <c r="Q323" s="254">
        <v>0</v>
      </c>
      <c r="R323" s="254">
        <v>0</v>
      </c>
      <c r="S323" s="254">
        <v>0</v>
      </c>
      <c r="T323" s="254">
        <v>0</v>
      </c>
      <c r="U323" s="254">
        <v>0</v>
      </c>
      <c r="V323" s="254">
        <v>0</v>
      </c>
      <c r="W323" s="254">
        <v>1100</v>
      </c>
      <c r="X323" s="254">
        <v>1200</v>
      </c>
      <c r="Y323" s="254">
        <v>1200</v>
      </c>
      <c r="Z323" s="248">
        <f t="shared" si="71"/>
        <v>3500</v>
      </c>
    </row>
    <row r="324" spans="1:26" s="230" customFormat="1" ht="15" customHeight="1">
      <c r="A324" s="144"/>
      <c r="B324" s="245">
        <v>7</v>
      </c>
      <c r="C324" s="246"/>
      <c r="D324" s="246"/>
      <c r="E324" s="247"/>
      <c r="F324" s="261"/>
      <c r="G324" s="266" t="str">
        <f t="shared" si="72"/>
        <v>X515MA</v>
      </c>
      <c r="H324" s="248" t="s">
        <v>103</v>
      </c>
      <c r="I324" s="250" t="s">
        <v>103</v>
      </c>
      <c r="J324" s="250" t="s">
        <v>153</v>
      </c>
      <c r="K324" s="255" t="s">
        <v>216</v>
      </c>
      <c r="L324" s="262">
        <v>3</v>
      </c>
      <c r="M324" s="274" t="s">
        <v>257</v>
      </c>
      <c r="N324" s="253"/>
      <c r="O324" s="253">
        <v>25000</v>
      </c>
      <c r="P324" s="253"/>
      <c r="Q324" s="254">
        <v>0</v>
      </c>
      <c r="R324" s="254">
        <v>0</v>
      </c>
      <c r="S324" s="254">
        <v>0</v>
      </c>
      <c r="T324" s="254">
        <v>0</v>
      </c>
      <c r="U324" s="254">
        <v>0</v>
      </c>
      <c r="V324" s="254">
        <v>0</v>
      </c>
      <c r="W324" s="254">
        <v>3300</v>
      </c>
      <c r="X324" s="254">
        <v>3600</v>
      </c>
      <c r="Y324" s="254">
        <v>3600</v>
      </c>
      <c r="Z324" s="248">
        <f t="shared" si="71"/>
        <v>10500</v>
      </c>
    </row>
    <row r="325" spans="1:26" s="230" customFormat="1" ht="15" customHeight="1">
      <c r="A325" s="144"/>
      <c r="B325" s="245">
        <v>1</v>
      </c>
      <c r="C325" s="152"/>
      <c r="D325" s="152"/>
      <c r="E325" s="195"/>
      <c r="F325" s="197"/>
      <c r="G325" s="266" t="str">
        <f t="shared" si="72"/>
        <v>X515MA</v>
      </c>
      <c r="H325" s="147" t="s">
        <v>20</v>
      </c>
      <c r="I325" s="196" t="s">
        <v>142</v>
      </c>
      <c r="J325" s="196" t="s">
        <v>153</v>
      </c>
      <c r="K325" s="202" t="s">
        <v>212</v>
      </c>
      <c r="L325" s="198">
        <v>1</v>
      </c>
      <c r="M325" s="270" t="s">
        <v>146</v>
      </c>
      <c r="N325" s="253"/>
      <c r="O325" s="253">
        <v>9136</v>
      </c>
      <c r="P325" s="253"/>
      <c r="Q325" s="129">
        <f t="shared" ref="Q325:Q331" si="73">(Q$317*$L325)-Q318</f>
        <v>0</v>
      </c>
      <c r="R325" s="129">
        <f t="shared" ref="R325:Y325" si="74">(R$317*$L325)-R318</f>
        <v>0</v>
      </c>
      <c r="S325" s="129">
        <f t="shared" si="74"/>
        <v>2000</v>
      </c>
      <c r="T325" s="129">
        <f t="shared" si="74"/>
        <v>2000</v>
      </c>
      <c r="U325" s="129">
        <f t="shared" si="74"/>
        <v>1000</v>
      </c>
      <c r="V325" s="129">
        <f t="shared" si="74"/>
        <v>0</v>
      </c>
      <c r="W325" s="129">
        <f t="shared" si="74"/>
        <v>0</v>
      </c>
      <c r="X325" s="129">
        <f t="shared" si="74"/>
        <v>0</v>
      </c>
      <c r="Y325" s="129" t="e">
        <f t="shared" si="74"/>
        <v>#REF!</v>
      </c>
      <c r="Z325" s="147" t="e">
        <f t="shared" si="71"/>
        <v>#REF!</v>
      </c>
    </row>
    <row r="326" spans="1:26" s="230" customFormat="1" ht="15" customHeight="1">
      <c r="A326" s="144"/>
      <c r="B326" s="245">
        <v>2</v>
      </c>
      <c r="C326" s="152"/>
      <c r="D326" s="152"/>
      <c r="E326" s="195"/>
      <c r="F326" s="197"/>
      <c r="G326" s="266" t="str">
        <f t="shared" si="72"/>
        <v>X515MA</v>
      </c>
      <c r="H326" s="147" t="s">
        <v>20</v>
      </c>
      <c r="I326" s="196" t="s">
        <v>142</v>
      </c>
      <c r="J326" s="196" t="s">
        <v>153</v>
      </c>
      <c r="K326" s="202" t="s">
        <v>213</v>
      </c>
      <c r="L326" s="198">
        <v>1</v>
      </c>
      <c r="M326" s="270" t="s">
        <v>149</v>
      </c>
      <c r="N326" s="253"/>
      <c r="O326" s="253">
        <v>86720</v>
      </c>
      <c r="P326" s="253"/>
      <c r="Q326" s="129">
        <f t="shared" si="73"/>
        <v>0</v>
      </c>
      <c r="R326" s="129">
        <f t="shared" ref="R326:Y331" si="75">(R$317*$L326)-R319</f>
        <v>0</v>
      </c>
      <c r="S326" s="129">
        <f t="shared" si="75"/>
        <v>2000</v>
      </c>
      <c r="T326" s="129">
        <f t="shared" si="75"/>
        <v>2000</v>
      </c>
      <c r="U326" s="129">
        <f t="shared" si="75"/>
        <v>1000</v>
      </c>
      <c r="V326" s="129">
        <f t="shared" si="75"/>
        <v>0</v>
      </c>
      <c r="W326" s="129">
        <f t="shared" si="75"/>
        <v>0</v>
      </c>
      <c r="X326" s="129">
        <f t="shared" si="75"/>
        <v>0</v>
      </c>
      <c r="Y326" s="129" t="e">
        <f t="shared" si="75"/>
        <v>#REF!</v>
      </c>
      <c r="Z326" s="147" t="e">
        <f t="shared" si="71"/>
        <v>#REF!</v>
      </c>
    </row>
    <row r="327" spans="1:26" s="230" customFormat="1" ht="15" customHeight="1">
      <c r="A327" s="144"/>
      <c r="B327" s="245">
        <v>3</v>
      </c>
      <c r="C327" s="152"/>
      <c r="D327" s="152"/>
      <c r="E327" s="195"/>
      <c r="F327" s="197"/>
      <c r="G327" s="266" t="str">
        <f t="shared" si="72"/>
        <v>X515MA</v>
      </c>
      <c r="H327" s="147" t="s">
        <v>20</v>
      </c>
      <c r="I327" s="196" t="s">
        <v>142</v>
      </c>
      <c r="J327" s="196" t="s">
        <v>153</v>
      </c>
      <c r="K327" s="202" t="s">
        <v>214</v>
      </c>
      <c r="L327" s="198">
        <v>1</v>
      </c>
      <c r="M327" s="270" t="s">
        <v>144</v>
      </c>
      <c r="N327" s="253"/>
      <c r="O327" s="253">
        <v>11770</v>
      </c>
      <c r="P327" s="253"/>
      <c r="Q327" s="129">
        <f t="shared" si="73"/>
        <v>0</v>
      </c>
      <c r="R327" s="129">
        <f t="shared" si="75"/>
        <v>0</v>
      </c>
      <c r="S327" s="129">
        <f t="shared" si="75"/>
        <v>2000</v>
      </c>
      <c r="T327" s="129">
        <f t="shared" si="75"/>
        <v>2000</v>
      </c>
      <c r="U327" s="129">
        <f t="shared" si="75"/>
        <v>1000</v>
      </c>
      <c r="V327" s="129">
        <f t="shared" si="75"/>
        <v>0</v>
      </c>
      <c r="W327" s="129">
        <f t="shared" si="75"/>
        <v>0</v>
      </c>
      <c r="X327" s="129">
        <f t="shared" si="75"/>
        <v>0</v>
      </c>
      <c r="Y327" s="129" t="e">
        <f t="shared" si="75"/>
        <v>#REF!</v>
      </c>
      <c r="Z327" s="147" t="e">
        <f t="shared" si="71"/>
        <v>#REF!</v>
      </c>
    </row>
    <row r="328" spans="1:26" s="230" customFormat="1" ht="15" customHeight="1">
      <c r="A328" s="144"/>
      <c r="B328" s="245">
        <v>4</v>
      </c>
      <c r="C328" s="152"/>
      <c r="D328" s="152"/>
      <c r="E328" s="195"/>
      <c r="F328" s="197"/>
      <c r="G328" s="266" t="str">
        <f t="shared" si="72"/>
        <v>X515MA</v>
      </c>
      <c r="H328" s="147" t="s">
        <v>20</v>
      </c>
      <c r="I328" s="196" t="s">
        <v>142</v>
      </c>
      <c r="J328" s="196" t="s">
        <v>153</v>
      </c>
      <c r="K328" s="202" t="s">
        <v>154</v>
      </c>
      <c r="L328" s="198">
        <v>1</v>
      </c>
      <c r="M328" s="270" t="s">
        <v>150</v>
      </c>
      <c r="N328" s="253"/>
      <c r="O328" s="253">
        <v>12554</v>
      </c>
      <c r="P328" s="253"/>
      <c r="Q328" s="129">
        <f t="shared" si="73"/>
        <v>0</v>
      </c>
      <c r="R328" s="129">
        <f t="shared" si="75"/>
        <v>0</v>
      </c>
      <c r="S328" s="129">
        <f t="shared" si="75"/>
        <v>2000</v>
      </c>
      <c r="T328" s="129">
        <f t="shared" si="75"/>
        <v>2000</v>
      </c>
      <c r="U328" s="129">
        <f t="shared" si="75"/>
        <v>1000</v>
      </c>
      <c r="V328" s="129">
        <f t="shared" si="75"/>
        <v>0</v>
      </c>
      <c r="W328" s="129">
        <f t="shared" si="75"/>
        <v>0</v>
      </c>
      <c r="X328" s="129">
        <f t="shared" si="75"/>
        <v>0</v>
      </c>
      <c r="Y328" s="129" t="e">
        <f t="shared" si="75"/>
        <v>#REF!</v>
      </c>
      <c r="Z328" s="147" t="e">
        <f t="shared" si="71"/>
        <v>#REF!</v>
      </c>
    </row>
    <row r="329" spans="1:26" s="230" customFormat="1" ht="15" customHeight="1">
      <c r="A329" s="144"/>
      <c r="B329" s="245">
        <v>5</v>
      </c>
      <c r="C329" s="152"/>
      <c r="D329" s="152"/>
      <c r="E329" s="195"/>
      <c r="F329" s="197"/>
      <c r="G329" s="266" t="str">
        <f t="shared" si="72"/>
        <v>X515MA</v>
      </c>
      <c r="H329" s="147" t="s">
        <v>20</v>
      </c>
      <c r="I329" s="196" t="s">
        <v>142</v>
      </c>
      <c r="J329" s="196" t="s">
        <v>153</v>
      </c>
      <c r="K329" s="202" t="s">
        <v>215</v>
      </c>
      <c r="L329" s="198">
        <v>1</v>
      </c>
      <c r="M329" s="270" t="s">
        <v>147</v>
      </c>
      <c r="N329" s="253"/>
      <c r="O329" s="253">
        <v>4568</v>
      </c>
      <c r="P329" s="253"/>
      <c r="Q329" s="129">
        <f t="shared" si="73"/>
        <v>0</v>
      </c>
      <c r="R329" s="129">
        <f t="shared" si="75"/>
        <v>0</v>
      </c>
      <c r="S329" s="129">
        <f t="shared" si="75"/>
        <v>2000</v>
      </c>
      <c r="T329" s="129">
        <f t="shared" si="75"/>
        <v>2000</v>
      </c>
      <c r="U329" s="129">
        <f t="shared" si="75"/>
        <v>1000</v>
      </c>
      <c r="V329" s="129">
        <f t="shared" si="75"/>
        <v>0</v>
      </c>
      <c r="W329" s="129">
        <f t="shared" si="75"/>
        <v>0</v>
      </c>
      <c r="X329" s="129">
        <f t="shared" si="75"/>
        <v>0</v>
      </c>
      <c r="Y329" s="129" t="e">
        <f t="shared" si="75"/>
        <v>#REF!</v>
      </c>
      <c r="Z329" s="147" t="e">
        <f t="shared" si="71"/>
        <v>#REF!</v>
      </c>
    </row>
    <row r="330" spans="1:26" s="230" customFormat="1" ht="15" customHeight="1">
      <c r="A330" s="144"/>
      <c r="B330" s="245">
        <v>6</v>
      </c>
      <c r="C330" s="152"/>
      <c r="D330" s="152"/>
      <c r="E330" s="195"/>
      <c r="F330" s="197"/>
      <c r="G330" s="266" t="str">
        <f t="shared" si="72"/>
        <v>X515MA</v>
      </c>
      <c r="H330" s="147" t="s">
        <v>20</v>
      </c>
      <c r="I330" s="196" t="s">
        <v>142</v>
      </c>
      <c r="J330" s="196" t="s">
        <v>153</v>
      </c>
      <c r="K330" s="202" t="s">
        <v>217</v>
      </c>
      <c r="L330" s="198">
        <v>1</v>
      </c>
      <c r="M330" s="274" t="s">
        <v>256</v>
      </c>
      <c r="N330" s="253"/>
      <c r="O330" s="253">
        <v>286</v>
      </c>
      <c r="P330" s="253"/>
      <c r="Q330" s="129">
        <f t="shared" si="73"/>
        <v>0</v>
      </c>
      <c r="R330" s="129">
        <f t="shared" si="75"/>
        <v>0</v>
      </c>
      <c r="S330" s="129">
        <f t="shared" si="75"/>
        <v>2000</v>
      </c>
      <c r="T330" s="129">
        <f t="shared" si="75"/>
        <v>2000</v>
      </c>
      <c r="U330" s="129">
        <f t="shared" si="75"/>
        <v>1000</v>
      </c>
      <c r="V330" s="129">
        <f t="shared" si="75"/>
        <v>0</v>
      </c>
      <c r="W330" s="129">
        <f t="shared" si="75"/>
        <v>-1100</v>
      </c>
      <c r="X330" s="129">
        <f t="shared" si="75"/>
        <v>-1200</v>
      </c>
      <c r="Y330" s="129" t="e">
        <f t="shared" si="75"/>
        <v>#REF!</v>
      </c>
      <c r="Z330" s="147" t="e">
        <f t="shared" si="71"/>
        <v>#REF!</v>
      </c>
    </row>
    <row r="331" spans="1:26" s="230" customFormat="1" ht="15" customHeight="1">
      <c r="A331" s="144"/>
      <c r="B331" s="245">
        <v>7</v>
      </c>
      <c r="C331" s="152"/>
      <c r="D331" s="152"/>
      <c r="E331" s="195"/>
      <c r="F331" s="197"/>
      <c r="G331" s="266" t="str">
        <f t="shared" si="72"/>
        <v>X515MA</v>
      </c>
      <c r="H331" s="147" t="s">
        <v>20</v>
      </c>
      <c r="I331" s="196" t="s">
        <v>142</v>
      </c>
      <c r="J331" s="196" t="s">
        <v>153</v>
      </c>
      <c r="K331" s="202" t="s">
        <v>216</v>
      </c>
      <c r="L331" s="198">
        <v>3</v>
      </c>
      <c r="M331" s="274" t="s">
        <v>257</v>
      </c>
      <c r="N331" s="253"/>
      <c r="O331" s="253">
        <v>25000</v>
      </c>
      <c r="P331" s="253"/>
      <c r="Q331" s="129">
        <f t="shared" si="73"/>
        <v>0</v>
      </c>
      <c r="R331" s="129">
        <f t="shared" si="75"/>
        <v>0</v>
      </c>
      <c r="S331" s="129">
        <f t="shared" si="75"/>
        <v>6000</v>
      </c>
      <c r="T331" s="129">
        <f t="shared" si="75"/>
        <v>6000</v>
      </c>
      <c r="U331" s="129">
        <f t="shared" si="75"/>
        <v>3000</v>
      </c>
      <c r="V331" s="129">
        <f t="shared" si="75"/>
        <v>0</v>
      </c>
      <c r="W331" s="129">
        <f t="shared" si="75"/>
        <v>-3300</v>
      </c>
      <c r="X331" s="129">
        <f t="shared" si="75"/>
        <v>-3600</v>
      </c>
      <c r="Y331" s="129" t="e">
        <f t="shared" si="75"/>
        <v>#REF!</v>
      </c>
      <c r="Z331" s="147" t="e">
        <f>SUM(Q331:Y331)</f>
        <v>#REF!</v>
      </c>
    </row>
    <row r="332" spans="1:26" s="230" customFormat="1">
      <c r="A332" s="144"/>
      <c r="B332" s="244" t="e">
        <f>SUM(Q332:Y332)</f>
        <v>#REF!</v>
      </c>
      <c r="C332" s="244" t="s">
        <v>237</v>
      </c>
      <c r="D332" s="244" t="s">
        <v>229</v>
      </c>
      <c r="E332" s="244" t="s">
        <v>22</v>
      </c>
      <c r="F332" s="244" t="e">
        <f>SUM(N332:Y332)</f>
        <v>#REF!</v>
      </c>
      <c r="G332" s="278" t="s">
        <v>239</v>
      </c>
      <c r="H332" s="244"/>
      <c r="I332" s="244"/>
      <c r="J332" s="244"/>
      <c r="K332" s="244" t="s">
        <v>204</v>
      </c>
      <c r="L332" s="244"/>
      <c r="M332" s="275"/>
      <c r="N332" s="244"/>
      <c r="O332" s="244"/>
      <c r="P332" s="244"/>
      <c r="Q332" s="244">
        <f>SUMIFS(MB!R:R,MB!$F:$F,$G:$G,MB!$D:$D,"FCST")</f>
        <v>0</v>
      </c>
      <c r="R332" s="244">
        <f>SUMIFS(MB!S:S,MB!$F:$F,$G:$G,MB!$D:$D,"FCST")</f>
        <v>0</v>
      </c>
      <c r="S332" s="244">
        <f>SUMIFS(MB!T:T,MB!$F:$F,$G:$G,MB!$D:$D,"FCST")</f>
        <v>0</v>
      </c>
      <c r="T332" s="244">
        <f>SUMIFS(MB!U:U,MB!$F:$F,$G:$G,MB!$D:$D,"FCST")</f>
        <v>0</v>
      </c>
      <c r="U332" s="244">
        <f>SUMIFS(MB!V:V,MB!$F:$F,$G:$G,MB!$D:$D,"FCST")</f>
        <v>0</v>
      </c>
      <c r="V332" s="244">
        <f>SUMIFS(MB!W:W,MB!$F:$F,$G:$G,MB!$D:$D,"FCST")</f>
        <v>0</v>
      </c>
      <c r="W332" s="244">
        <f>SUMIFS(MB!X:X,MB!$F:$F,$G:$G,MB!$D:$D,"FCST")</f>
        <v>0</v>
      </c>
      <c r="X332" s="244">
        <f>SUMIFS(MB!Y:Y,MB!$F:$F,$G:$G,MB!$D:$D,"FCST")</f>
        <v>0</v>
      </c>
      <c r="Y332" s="244" t="e">
        <f>SUMIFS(MB!#REF!,MB!$F:$F,$G:$G,MB!$D:$D,"FCST")</f>
        <v>#REF!</v>
      </c>
      <c r="Z332" s="244"/>
    </row>
    <row r="333" spans="1:26" s="230" customFormat="1" ht="15" customHeight="1">
      <c r="A333" s="144"/>
      <c r="B333" s="245">
        <v>1</v>
      </c>
      <c r="C333" s="246"/>
      <c r="D333" s="246"/>
      <c r="E333" s="247"/>
      <c r="F333" s="261"/>
      <c r="G333" s="266" t="str">
        <f>$G$332</f>
        <v>UX482EA</v>
      </c>
      <c r="H333" s="248" t="s">
        <v>103</v>
      </c>
      <c r="I333" s="250" t="s">
        <v>103</v>
      </c>
      <c r="J333" s="250" t="s">
        <v>153</v>
      </c>
      <c r="K333" s="255" t="s">
        <v>212</v>
      </c>
      <c r="L333" s="262">
        <v>1</v>
      </c>
      <c r="M333" s="269" t="s">
        <v>146</v>
      </c>
      <c r="N333" s="253"/>
      <c r="O333" s="253">
        <v>9136</v>
      </c>
      <c r="P333" s="253"/>
      <c r="Q333" s="254">
        <v>0</v>
      </c>
      <c r="R333" s="254">
        <v>0</v>
      </c>
      <c r="S333" s="254">
        <v>0</v>
      </c>
      <c r="T333" s="254">
        <v>0</v>
      </c>
      <c r="U333" s="254">
        <v>0</v>
      </c>
      <c r="V333" s="254">
        <v>0</v>
      </c>
      <c r="W333" s="254">
        <v>0</v>
      </c>
      <c r="X333" s="254">
        <v>0</v>
      </c>
      <c r="Y333" s="254">
        <v>0</v>
      </c>
      <c r="Z333" s="248">
        <f t="shared" ref="Z333:Z346" si="76">SUM(Q333:Y333)</f>
        <v>0</v>
      </c>
    </row>
    <row r="334" spans="1:26" s="230" customFormat="1" ht="15" customHeight="1">
      <c r="A334" s="144"/>
      <c r="B334" s="245">
        <v>2</v>
      </c>
      <c r="C334" s="246"/>
      <c r="D334" s="246"/>
      <c r="E334" s="247"/>
      <c r="F334" s="261"/>
      <c r="G334" s="266" t="str">
        <f t="shared" ref="G334:G346" si="77">$G$332</f>
        <v>UX482EA</v>
      </c>
      <c r="H334" s="248" t="s">
        <v>103</v>
      </c>
      <c r="I334" s="250" t="s">
        <v>103</v>
      </c>
      <c r="J334" s="250" t="s">
        <v>153</v>
      </c>
      <c r="K334" s="255" t="s">
        <v>213</v>
      </c>
      <c r="L334" s="262">
        <v>1</v>
      </c>
      <c r="M334" s="269" t="s">
        <v>149</v>
      </c>
      <c r="N334" s="253"/>
      <c r="O334" s="253">
        <v>86720</v>
      </c>
      <c r="P334" s="253"/>
      <c r="Q334" s="254">
        <v>0</v>
      </c>
      <c r="R334" s="254">
        <v>0</v>
      </c>
      <c r="S334" s="254">
        <v>0</v>
      </c>
      <c r="T334" s="254">
        <v>0</v>
      </c>
      <c r="U334" s="254">
        <v>0</v>
      </c>
      <c r="V334" s="254">
        <v>0</v>
      </c>
      <c r="W334" s="254">
        <v>0</v>
      </c>
      <c r="X334" s="254">
        <v>0</v>
      </c>
      <c r="Y334" s="254">
        <v>0</v>
      </c>
      <c r="Z334" s="248">
        <f t="shared" si="76"/>
        <v>0</v>
      </c>
    </row>
    <row r="335" spans="1:26" s="230" customFormat="1" ht="15" customHeight="1">
      <c r="A335" s="144"/>
      <c r="B335" s="245">
        <v>3</v>
      </c>
      <c r="C335" s="246"/>
      <c r="D335" s="246"/>
      <c r="E335" s="247"/>
      <c r="F335" s="261"/>
      <c r="G335" s="266" t="str">
        <f t="shared" si="77"/>
        <v>UX482EA</v>
      </c>
      <c r="H335" s="248" t="s">
        <v>103</v>
      </c>
      <c r="I335" s="250" t="s">
        <v>103</v>
      </c>
      <c r="J335" s="250" t="s">
        <v>153</v>
      </c>
      <c r="K335" s="255" t="s">
        <v>214</v>
      </c>
      <c r="L335" s="262">
        <v>1</v>
      </c>
      <c r="M335" s="269" t="s">
        <v>144</v>
      </c>
      <c r="N335" s="253"/>
      <c r="O335" s="253">
        <v>11770</v>
      </c>
      <c r="P335" s="253"/>
      <c r="Q335" s="254">
        <v>0</v>
      </c>
      <c r="R335" s="254">
        <v>0</v>
      </c>
      <c r="S335" s="254">
        <v>0</v>
      </c>
      <c r="T335" s="254">
        <v>0</v>
      </c>
      <c r="U335" s="254">
        <v>0</v>
      </c>
      <c r="V335" s="254">
        <v>0</v>
      </c>
      <c r="W335" s="254">
        <v>0</v>
      </c>
      <c r="X335" s="254">
        <v>0</v>
      </c>
      <c r="Y335" s="254">
        <v>0</v>
      </c>
      <c r="Z335" s="248">
        <f t="shared" si="76"/>
        <v>0</v>
      </c>
    </row>
    <row r="336" spans="1:26" s="230" customFormat="1" ht="15" customHeight="1">
      <c r="A336" s="144"/>
      <c r="B336" s="245">
        <v>4</v>
      </c>
      <c r="C336" s="246"/>
      <c r="D336" s="246"/>
      <c r="E336" s="247"/>
      <c r="F336" s="261"/>
      <c r="G336" s="266" t="str">
        <f t="shared" si="77"/>
        <v>UX482EA</v>
      </c>
      <c r="H336" s="248" t="s">
        <v>103</v>
      </c>
      <c r="I336" s="250" t="s">
        <v>103</v>
      </c>
      <c r="J336" s="250" t="s">
        <v>153</v>
      </c>
      <c r="K336" s="255" t="s">
        <v>154</v>
      </c>
      <c r="L336" s="262">
        <v>1</v>
      </c>
      <c r="M336" s="269" t="s">
        <v>150</v>
      </c>
      <c r="N336" s="253"/>
      <c r="O336" s="253">
        <v>12554</v>
      </c>
      <c r="P336" s="253"/>
      <c r="Q336" s="254">
        <v>0</v>
      </c>
      <c r="R336" s="254">
        <v>0</v>
      </c>
      <c r="S336" s="254">
        <v>0</v>
      </c>
      <c r="T336" s="254">
        <v>0</v>
      </c>
      <c r="U336" s="254">
        <v>0</v>
      </c>
      <c r="V336" s="254">
        <v>0</v>
      </c>
      <c r="W336" s="254">
        <v>0</v>
      </c>
      <c r="X336" s="254">
        <v>0</v>
      </c>
      <c r="Y336" s="254">
        <v>0</v>
      </c>
      <c r="Z336" s="248">
        <f t="shared" si="76"/>
        <v>0</v>
      </c>
    </row>
    <row r="337" spans="1:26" s="230" customFormat="1" ht="15" customHeight="1">
      <c r="A337" s="144"/>
      <c r="B337" s="245">
        <v>5</v>
      </c>
      <c r="C337" s="246"/>
      <c r="D337" s="246"/>
      <c r="E337" s="247"/>
      <c r="F337" s="261"/>
      <c r="G337" s="266" t="str">
        <f t="shared" si="77"/>
        <v>UX482EA</v>
      </c>
      <c r="H337" s="248" t="s">
        <v>103</v>
      </c>
      <c r="I337" s="250" t="s">
        <v>103</v>
      </c>
      <c r="J337" s="250" t="s">
        <v>153</v>
      </c>
      <c r="K337" s="255" t="s">
        <v>215</v>
      </c>
      <c r="L337" s="262">
        <v>1</v>
      </c>
      <c r="M337" s="269" t="s">
        <v>147</v>
      </c>
      <c r="N337" s="253"/>
      <c r="O337" s="253">
        <v>4568</v>
      </c>
      <c r="P337" s="253"/>
      <c r="Q337" s="254">
        <v>0</v>
      </c>
      <c r="R337" s="254">
        <v>0</v>
      </c>
      <c r="S337" s="254">
        <v>0</v>
      </c>
      <c r="T337" s="254">
        <v>0</v>
      </c>
      <c r="U337" s="254">
        <v>0</v>
      </c>
      <c r="V337" s="254">
        <v>0</v>
      </c>
      <c r="W337" s="254">
        <v>0</v>
      </c>
      <c r="X337" s="254">
        <v>0</v>
      </c>
      <c r="Y337" s="254">
        <v>0</v>
      </c>
      <c r="Z337" s="248">
        <f t="shared" si="76"/>
        <v>0</v>
      </c>
    </row>
    <row r="338" spans="1:26" s="230" customFormat="1" ht="15" customHeight="1">
      <c r="A338" s="144"/>
      <c r="B338" s="245">
        <v>6</v>
      </c>
      <c r="C338" s="246"/>
      <c r="D338" s="246"/>
      <c r="E338" s="247"/>
      <c r="F338" s="261"/>
      <c r="G338" s="266" t="str">
        <f t="shared" si="77"/>
        <v>UX482EA</v>
      </c>
      <c r="H338" s="248" t="s">
        <v>103</v>
      </c>
      <c r="I338" s="250" t="s">
        <v>103</v>
      </c>
      <c r="J338" s="250" t="s">
        <v>153</v>
      </c>
      <c r="K338" s="255" t="s">
        <v>217</v>
      </c>
      <c r="L338" s="262">
        <v>1</v>
      </c>
      <c r="M338" s="274" t="s">
        <v>241</v>
      </c>
      <c r="N338" s="253"/>
      <c r="O338" s="253">
        <v>286</v>
      </c>
      <c r="P338" s="253"/>
      <c r="Q338" s="254">
        <v>0</v>
      </c>
      <c r="R338" s="254">
        <v>0</v>
      </c>
      <c r="S338" s="254">
        <v>0</v>
      </c>
      <c r="T338" s="254">
        <v>0</v>
      </c>
      <c r="U338" s="254">
        <v>0</v>
      </c>
      <c r="V338" s="254">
        <v>0</v>
      </c>
      <c r="W338" s="254">
        <v>250</v>
      </c>
      <c r="X338" s="254">
        <v>250</v>
      </c>
      <c r="Y338" s="254">
        <v>80</v>
      </c>
      <c r="Z338" s="248">
        <f t="shared" si="76"/>
        <v>580</v>
      </c>
    </row>
    <row r="339" spans="1:26" s="230" customFormat="1" ht="15" customHeight="1">
      <c r="A339" s="144"/>
      <c r="B339" s="245">
        <v>7</v>
      </c>
      <c r="C339" s="246"/>
      <c r="D339" s="246"/>
      <c r="E339" s="247"/>
      <c r="F339" s="261"/>
      <c r="G339" s="266" t="str">
        <f t="shared" si="77"/>
        <v>UX482EA</v>
      </c>
      <c r="H339" s="248" t="s">
        <v>103</v>
      </c>
      <c r="I339" s="250" t="s">
        <v>103</v>
      </c>
      <c r="J339" s="250" t="s">
        <v>153</v>
      </c>
      <c r="K339" s="255" t="s">
        <v>216</v>
      </c>
      <c r="L339" s="262">
        <v>3</v>
      </c>
      <c r="M339" s="274" t="s">
        <v>242</v>
      </c>
      <c r="N339" s="253"/>
      <c r="O339" s="253">
        <v>25000</v>
      </c>
      <c r="P339" s="253"/>
      <c r="Q339" s="254">
        <v>0</v>
      </c>
      <c r="R339" s="254">
        <v>0</v>
      </c>
      <c r="S339" s="254">
        <v>0</v>
      </c>
      <c r="T339" s="254">
        <v>0</v>
      </c>
      <c r="U339" s="254">
        <v>0</v>
      </c>
      <c r="V339" s="254">
        <v>0</v>
      </c>
      <c r="W339" s="254">
        <v>750</v>
      </c>
      <c r="X339" s="254">
        <v>750</v>
      </c>
      <c r="Y339" s="254">
        <v>240</v>
      </c>
      <c r="Z339" s="248">
        <f t="shared" si="76"/>
        <v>1740</v>
      </c>
    </row>
    <row r="340" spans="1:26" s="230" customFormat="1" ht="15" customHeight="1">
      <c r="A340" s="144"/>
      <c r="B340" s="245">
        <v>1</v>
      </c>
      <c r="C340" s="152"/>
      <c r="D340" s="152"/>
      <c r="E340" s="195"/>
      <c r="F340" s="197"/>
      <c r="G340" s="266" t="str">
        <f t="shared" si="77"/>
        <v>UX482EA</v>
      </c>
      <c r="H340" s="147" t="s">
        <v>20</v>
      </c>
      <c r="I340" s="196" t="s">
        <v>142</v>
      </c>
      <c r="J340" s="196" t="s">
        <v>153</v>
      </c>
      <c r="K340" s="202" t="s">
        <v>212</v>
      </c>
      <c r="L340" s="198">
        <v>1</v>
      </c>
      <c r="M340" s="270" t="s">
        <v>146</v>
      </c>
      <c r="N340" s="253"/>
      <c r="O340" s="253">
        <v>9136</v>
      </c>
      <c r="P340" s="253"/>
      <c r="Q340" s="129">
        <f>(Q$332*$L340)-Q333</f>
        <v>0</v>
      </c>
      <c r="R340" s="129">
        <f t="shared" ref="R340:Y340" si="78">(R$332*$L340)-R333</f>
        <v>0</v>
      </c>
      <c r="S340" s="129">
        <f t="shared" si="78"/>
        <v>0</v>
      </c>
      <c r="T340" s="129">
        <f t="shared" si="78"/>
        <v>0</v>
      </c>
      <c r="U340" s="129">
        <f t="shared" si="78"/>
        <v>0</v>
      </c>
      <c r="V340" s="129">
        <f t="shared" si="78"/>
        <v>0</v>
      </c>
      <c r="W340" s="129">
        <f t="shared" si="78"/>
        <v>0</v>
      </c>
      <c r="X340" s="129">
        <f t="shared" si="78"/>
        <v>0</v>
      </c>
      <c r="Y340" s="129" t="e">
        <f t="shared" si="78"/>
        <v>#REF!</v>
      </c>
      <c r="Z340" s="147" t="e">
        <f t="shared" si="76"/>
        <v>#REF!</v>
      </c>
    </row>
    <row r="341" spans="1:26" s="230" customFormat="1" ht="15" customHeight="1">
      <c r="A341" s="144"/>
      <c r="B341" s="245">
        <v>2</v>
      </c>
      <c r="C341" s="152"/>
      <c r="D341" s="152"/>
      <c r="E341" s="195"/>
      <c r="F341" s="197"/>
      <c r="G341" s="266" t="str">
        <f t="shared" si="77"/>
        <v>UX482EA</v>
      </c>
      <c r="H341" s="147" t="s">
        <v>20</v>
      </c>
      <c r="I341" s="196" t="s">
        <v>142</v>
      </c>
      <c r="J341" s="196" t="s">
        <v>153</v>
      </c>
      <c r="K341" s="202" t="s">
        <v>213</v>
      </c>
      <c r="L341" s="198">
        <v>1</v>
      </c>
      <c r="M341" s="270" t="s">
        <v>149</v>
      </c>
      <c r="N341" s="253"/>
      <c r="O341" s="253">
        <v>86720</v>
      </c>
      <c r="P341" s="253"/>
      <c r="Q341" s="129">
        <f t="shared" ref="Q341:Y346" si="79">(Q$332*$L341)-Q334</f>
        <v>0</v>
      </c>
      <c r="R341" s="129">
        <f t="shared" si="79"/>
        <v>0</v>
      </c>
      <c r="S341" s="129">
        <f t="shared" si="79"/>
        <v>0</v>
      </c>
      <c r="T341" s="129">
        <f t="shared" si="79"/>
        <v>0</v>
      </c>
      <c r="U341" s="129">
        <f t="shared" si="79"/>
        <v>0</v>
      </c>
      <c r="V341" s="129">
        <f t="shared" si="79"/>
        <v>0</v>
      </c>
      <c r="W341" s="129">
        <f t="shared" si="79"/>
        <v>0</v>
      </c>
      <c r="X341" s="129">
        <f t="shared" si="79"/>
        <v>0</v>
      </c>
      <c r="Y341" s="129" t="e">
        <f t="shared" si="79"/>
        <v>#REF!</v>
      </c>
      <c r="Z341" s="147" t="e">
        <f t="shared" si="76"/>
        <v>#REF!</v>
      </c>
    </row>
    <row r="342" spans="1:26" s="230" customFormat="1" ht="15" customHeight="1">
      <c r="A342" s="144"/>
      <c r="B342" s="245">
        <v>3</v>
      </c>
      <c r="C342" s="152"/>
      <c r="D342" s="152"/>
      <c r="E342" s="195"/>
      <c r="F342" s="197"/>
      <c r="G342" s="266" t="str">
        <f t="shared" si="77"/>
        <v>UX482EA</v>
      </c>
      <c r="H342" s="147" t="s">
        <v>20</v>
      </c>
      <c r="I342" s="196" t="s">
        <v>142</v>
      </c>
      <c r="J342" s="196" t="s">
        <v>153</v>
      </c>
      <c r="K342" s="202" t="s">
        <v>214</v>
      </c>
      <c r="L342" s="198">
        <v>1</v>
      </c>
      <c r="M342" s="270" t="s">
        <v>144</v>
      </c>
      <c r="N342" s="253"/>
      <c r="O342" s="253">
        <v>11770</v>
      </c>
      <c r="P342" s="253"/>
      <c r="Q342" s="129">
        <f t="shared" si="79"/>
        <v>0</v>
      </c>
      <c r="R342" s="129">
        <f t="shared" si="79"/>
        <v>0</v>
      </c>
      <c r="S342" s="129">
        <f t="shared" si="79"/>
        <v>0</v>
      </c>
      <c r="T342" s="129">
        <f t="shared" si="79"/>
        <v>0</v>
      </c>
      <c r="U342" s="129">
        <f t="shared" si="79"/>
        <v>0</v>
      </c>
      <c r="V342" s="129">
        <f t="shared" si="79"/>
        <v>0</v>
      </c>
      <c r="W342" s="129">
        <f t="shared" si="79"/>
        <v>0</v>
      </c>
      <c r="X342" s="129">
        <f t="shared" si="79"/>
        <v>0</v>
      </c>
      <c r="Y342" s="129" t="e">
        <f t="shared" si="79"/>
        <v>#REF!</v>
      </c>
      <c r="Z342" s="147" t="e">
        <f t="shared" si="76"/>
        <v>#REF!</v>
      </c>
    </row>
    <row r="343" spans="1:26" s="230" customFormat="1" ht="15" customHeight="1">
      <c r="A343" s="144"/>
      <c r="B343" s="245">
        <v>4</v>
      </c>
      <c r="C343" s="152"/>
      <c r="D343" s="152"/>
      <c r="E343" s="195"/>
      <c r="F343" s="197"/>
      <c r="G343" s="266" t="str">
        <f t="shared" si="77"/>
        <v>UX482EA</v>
      </c>
      <c r="H343" s="147" t="s">
        <v>20</v>
      </c>
      <c r="I343" s="196" t="s">
        <v>142</v>
      </c>
      <c r="J343" s="196" t="s">
        <v>153</v>
      </c>
      <c r="K343" s="202" t="s">
        <v>154</v>
      </c>
      <c r="L343" s="198">
        <v>1</v>
      </c>
      <c r="M343" s="270" t="s">
        <v>150</v>
      </c>
      <c r="N343" s="253"/>
      <c r="O343" s="253">
        <v>12554</v>
      </c>
      <c r="P343" s="253"/>
      <c r="Q343" s="129">
        <f t="shared" si="79"/>
        <v>0</v>
      </c>
      <c r="R343" s="129">
        <f t="shared" si="79"/>
        <v>0</v>
      </c>
      <c r="S343" s="129">
        <f t="shared" si="79"/>
        <v>0</v>
      </c>
      <c r="T343" s="129">
        <f t="shared" si="79"/>
        <v>0</v>
      </c>
      <c r="U343" s="129">
        <f t="shared" si="79"/>
        <v>0</v>
      </c>
      <c r="V343" s="129">
        <f t="shared" si="79"/>
        <v>0</v>
      </c>
      <c r="W343" s="129">
        <f t="shared" si="79"/>
        <v>0</v>
      </c>
      <c r="X343" s="129">
        <f t="shared" si="79"/>
        <v>0</v>
      </c>
      <c r="Y343" s="129" t="e">
        <f t="shared" si="79"/>
        <v>#REF!</v>
      </c>
      <c r="Z343" s="147" t="e">
        <f t="shared" si="76"/>
        <v>#REF!</v>
      </c>
    </row>
    <row r="344" spans="1:26" s="230" customFormat="1" ht="15" customHeight="1">
      <c r="A344" s="144"/>
      <c r="B344" s="245">
        <v>5</v>
      </c>
      <c r="C344" s="152"/>
      <c r="D344" s="152"/>
      <c r="E344" s="195"/>
      <c r="F344" s="197"/>
      <c r="G344" s="266" t="str">
        <f t="shared" si="77"/>
        <v>UX482EA</v>
      </c>
      <c r="H344" s="147" t="s">
        <v>20</v>
      </c>
      <c r="I344" s="196" t="s">
        <v>142</v>
      </c>
      <c r="J344" s="196" t="s">
        <v>153</v>
      </c>
      <c r="K344" s="202" t="s">
        <v>215</v>
      </c>
      <c r="L344" s="198">
        <v>1</v>
      </c>
      <c r="M344" s="270" t="s">
        <v>147</v>
      </c>
      <c r="N344" s="253"/>
      <c r="O344" s="253">
        <v>4568</v>
      </c>
      <c r="P344" s="253"/>
      <c r="Q344" s="129">
        <f t="shared" si="79"/>
        <v>0</v>
      </c>
      <c r="R344" s="129">
        <f t="shared" si="79"/>
        <v>0</v>
      </c>
      <c r="S344" s="129">
        <f t="shared" si="79"/>
        <v>0</v>
      </c>
      <c r="T344" s="129">
        <f t="shared" si="79"/>
        <v>0</v>
      </c>
      <c r="U344" s="129">
        <f t="shared" si="79"/>
        <v>0</v>
      </c>
      <c r="V344" s="129">
        <f t="shared" si="79"/>
        <v>0</v>
      </c>
      <c r="W344" s="129">
        <f t="shared" si="79"/>
        <v>0</v>
      </c>
      <c r="X344" s="129">
        <f t="shared" si="79"/>
        <v>0</v>
      </c>
      <c r="Y344" s="129" t="e">
        <f t="shared" si="79"/>
        <v>#REF!</v>
      </c>
      <c r="Z344" s="147" t="e">
        <f t="shared" si="76"/>
        <v>#REF!</v>
      </c>
    </row>
    <row r="345" spans="1:26" s="230" customFormat="1" ht="15" customHeight="1">
      <c r="A345" s="144"/>
      <c r="B345" s="245">
        <v>6</v>
      </c>
      <c r="C345" s="152"/>
      <c r="D345" s="152"/>
      <c r="E345" s="195"/>
      <c r="F345" s="197"/>
      <c r="G345" s="266" t="str">
        <f t="shared" si="77"/>
        <v>UX482EA</v>
      </c>
      <c r="H345" s="147" t="s">
        <v>20</v>
      </c>
      <c r="I345" s="196" t="s">
        <v>142</v>
      </c>
      <c r="J345" s="196" t="s">
        <v>153</v>
      </c>
      <c r="K345" s="202" t="s">
        <v>217</v>
      </c>
      <c r="L345" s="198">
        <v>1</v>
      </c>
      <c r="M345" s="274" t="s">
        <v>241</v>
      </c>
      <c r="N345" s="253"/>
      <c r="O345" s="253">
        <v>286</v>
      </c>
      <c r="P345" s="253"/>
      <c r="Q345" s="129">
        <f t="shared" si="79"/>
        <v>0</v>
      </c>
      <c r="R345" s="129">
        <f t="shared" si="79"/>
        <v>0</v>
      </c>
      <c r="S345" s="129">
        <f t="shared" si="79"/>
        <v>0</v>
      </c>
      <c r="T345" s="129">
        <f t="shared" si="79"/>
        <v>0</v>
      </c>
      <c r="U345" s="129">
        <f t="shared" si="79"/>
        <v>0</v>
      </c>
      <c r="V345" s="129">
        <f t="shared" si="79"/>
        <v>0</v>
      </c>
      <c r="W345" s="129">
        <f t="shared" si="79"/>
        <v>-250</v>
      </c>
      <c r="X345" s="129">
        <f t="shared" si="79"/>
        <v>-250</v>
      </c>
      <c r="Y345" s="129" t="e">
        <f t="shared" si="79"/>
        <v>#REF!</v>
      </c>
      <c r="Z345" s="147" t="e">
        <f t="shared" si="76"/>
        <v>#REF!</v>
      </c>
    </row>
    <row r="346" spans="1:26" s="230" customFormat="1" ht="15" customHeight="1">
      <c r="A346" s="144"/>
      <c r="B346" s="245">
        <v>7</v>
      </c>
      <c r="C346" s="152"/>
      <c r="D346" s="152"/>
      <c r="E346" s="195"/>
      <c r="F346" s="197"/>
      <c r="G346" s="266" t="str">
        <f t="shared" si="77"/>
        <v>UX482EA</v>
      </c>
      <c r="H346" s="147" t="s">
        <v>20</v>
      </c>
      <c r="I346" s="196" t="s">
        <v>142</v>
      </c>
      <c r="J346" s="196" t="s">
        <v>153</v>
      </c>
      <c r="K346" s="202" t="s">
        <v>216</v>
      </c>
      <c r="L346" s="198">
        <v>3</v>
      </c>
      <c r="M346" s="274" t="s">
        <v>242</v>
      </c>
      <c r="N346" s="253"/>
      <c r="O346" s="253">
        <v>25000</v>
      </c>
      <c r="P346" s="253"/>
      <c r="Q346" s="129">
        <f t="shared" si="79"/>
        <v>0</v>
      </c>
      <c r="R346" s="129">
        <f t="shared" si="79"/>
        <v>0</v>
      </c>
      <c r="S346" s="129">
        <f t="shared" si="79"/>
        <v>0</v>
      </c>
      <c r="T346" s="129">
        <f t="shared" si="79"/>
        <v>0</v>
      </c>
      <c r="U346" s="129">
        <f t="shared" si="79"/>
        <v>0</v>
      </c>
      <c r="V346" s="129">
        <f t="shared" si="79"/>
        <v>0</v>
      </c>
      <c r="W346" s="129">
        <f t="shared" si="79"/>
        <v>-750</v>
      </c>
      <c r="X346" s="129">
        <f t="shared" si="79"/>
        <v>-750</v>
      </c>
      <c r="Y346" s="129" t="e">
        <f t="shared" si="79"/>
        <v>#REF!</v>
      </c>
      <c r="Z346" s="147" t="e">
        <f t="shared" si="76"/>
        <v>#REF!</v>
      </c>
    </row>
    <row r="347" spans="1:26" s="230" customFormat="1">
      <c r="A347" s="144"/>
      <c r="B347" s="244" t="e">
        <f>SUM(Q347:Y347)</f>
        <v>#REF!</v>
      </c>
      <c r="C347" s="244" t="s">
        <v>237</v>
      </c>
      <c r="D347" s="244" t="s">
        <v>229</v>
      </c>
      <c r="E347" s="244" t="s">
        <v>22</v>
      </c>
      <c r="F347" s="244" t="e">
        <f>SUM(N347:Y347)</f>
        <v>#REF!</v>
      </c>
      <c r="G347" s="280" t="s">
        <v>244</v>
      </c>
      <c r="H347" s="244"/>
      <c r="I347" s="244"/>
      <c r="J347" s="244"/>
      <c r="K347" s="244" t="s">
        <v>204</v>
      </c>
      <c r="L347" s="244"/>
      <c r="M347" s="244"/>
      <c r="N347" s="244"/>
      <c r="O347" s="244"/>
      <c r="P347" s="244"/>
      <c r="Q347" s="244">
        <f>SUMIFS(MB!R:R,MB!$F:$F,$G:$G,MB!$D:$D,"FCST")</f>
        <v>0</v>
      </c>
      <c r="R347" s="244">
        <f>SUMIFS(MB!S:S,MB!$F:$F,$G:$G,MB!$D:$D,"FCST")</f>
        <v>0</v>
      </c>
      <c r="S347" s="244">
        <f>SUMIFS(MB!T:T,MB!$F:$F,$G:$G,MB!$D:$D,"FCST")</f>
        <v>0</v>
      </c>
      <c r="T347" s="244">
        <f>SUMIFS(MB!U:U,MB!$F:$F,$G:$G,MB!$D:$D,"FCST")</f>
        <v>0</v>
      </c>
      <c r="U347" s="244">
        <f>SUMIFS(MB!V:V,MB!$F:$F,$G:$G,MB!$D:$D,"FCST")</f>
        <v>0</v>
      </c>
      <c r="V347" s="244">
        <f>SUMIFS(MB!W:W,MB!$F:$F,$G:$G,MB!$D:$D,"FCST")</f>
        <v>0</v>
      </c>
      <c r="W347" s="244">
        <f>SUMIFS(MB!X:X,MB!$F:$F,$G:$G,MB!$D:$D,"FCST")</f>
        <v>0</v>
      </c>
      <c r="X347" s="244">
        <f>SUMIFS(MB!Y:Y,MB!$F:$F,$G:$G,MB!$D:$D,"FCST")</f>
        <v>0</v>
      </c>
      <c r="Y347" s="244" t="e">
        <f>SUMIFS(MB!#REF!,MB!$F:$F,$G:$G,MB!$D:$D,"FCST")</f>
        <v>#REF!</v>
      </c>
      <c r="Z347" s="244"/>
    </row>
    <row r="348" spans="1:26" s="230" customFormat="1" ht="15" customHeight="1">
      <c r="A348" s="144"/>
      <c r="B348" s="245">
        <v>1</v>
      </c>
      <c r="C348" s="246"/>
      <c r="D348" s="246"/>
      <c r="E348" s="247"/>
      <c r="F348" s="261"/>
      <c r="G348" s="266" t="str">
        <f>$G$347</f>
        <v>K3500PH</v>
      </c>
      <c r="H348" s="248" t="s">
        <v>103</v>
      </c>
      <c r="I348" s="250" t="s">
        <v>103</v>
      </c>
      <c r="J348" s="250" t="s">
        <v>153</v>
      </c>
      <c r="K348" s="255" t="s">
        <v>212</v>
      </c>
      <c r="L348" s="262">
        <v>1</v>
      </c>
      <c r="M348" s="269" t="s">
        <v>146</v>
      </c>
      <c r="N348" s="253"/>
      <c r="O348" s="253">
        <v>9136</v>
      </c>
      <c r="P348" s="253"/>
      <c r="Q348" s="254">
        <v>0</v>
      </c>
      <c r="R348" s="254">
        <v>0</v>
      </c>
      <c r="S348" s="254">
        <v>0</v>
      </c>
      <c r="T348" s="254">
        <v>0</v>
      </c>
      <c r="U348" s="254">
        <v>0</v>
      </c>
      <c r="V348" s="254">
        <v>0</v>
      </c>
      <c r="W348" s="254">
        <v>0</v>
      </c>
      <c r="X348" s="254">
        <v>0</v>
      </c>
      <c r="Y348" s="254">
        <v>0</v>
      </c>
      <c r="Z348" s="248">
        <f t="shared" ref="Z348:Z361" si="80">SUM(Q348:Y348)</f>
        <v>0</v>
      </c>
    </row>
    <row r="349" spans="1:26" s="230" customFormat="1" ht="15" customHeight="1">
      <c r="A349" s="144"/>
      <c r="B349" s="245">
        <v>2</v>
      </c>
      <c r="C349" s="246"/>
      <c r="D349" s="246"/>
      <c r="E349" s="247"/>
      <c r="F349" s="261"/>
      <c r="G349" s="266" t="str">
        <f t="shared" ref="G349:G361" si="81">$G$347</f>
        <v>K3500PH</v>
      </c>
      <c r="H349" s="248" t="s">
        <v>103</v>
      </c>
      <c r="I349" s="250" t="s">
        <v>103</v>
      </c>
      <c r="J349" s="250" t="s">
        <v>153</v>
      </c>
      <c r="K349" s="255" t="s">
        <v>213</v>
      </c>
      <c r="L349" s="262">
        <v>1</v>
      </c>
      <c r="M349" s="269" t="s">
        <v>149</v>
      </c>
      <c r="N349" s="253"/>
      <c r="O349" s="253">
        <v>86720</v>
      </c>
      <c r="P349" s="253"/>
      <c r="Q349" s="254">
        <v>0</v>
      </c>
      <c r="R349" s="254">
        <v>0</v>
      </c>
      <c r="S349" s="254">
        <v>0</v>
      </c>
      <c r="T349" s="254">
        <v>0</v>
      </c>
      <c r="U349" s="254">
        <v>0</v>
      </c>
      <c r="V349" s="254">
        <v>0</v>
      </c>
      <c r="W349" s="254">
        <v>0</v>
      </c>
      <c r="X349" s="254">
        <v>0</v>
      </c>
      <c r="Y349" s="254">
        <v>0</v>
      </c>
      <c r="Z349" s="248">
        <f t="shared" si="80"/>
        <v>0</v>
      </c>
    </row>
    <row r="350" spans="1:26" s="230" customFormat="1" ht="15" customHeight="1">
      <c r="A350" s="144"/>
      <c r="B350" s="245">
        <v>3</v>
      </c>
      <c r="C350" s="246"/>
      <c r="D350" s="246"/>
      <c r="E350" s="247"/>
      <c r="F350" s="261"/>
      <c r="G350" s="266" t="str">
        <f t="shared" si="81"/>
        <v>K3500PH</v>
      </c>
      <c r="H350" s="248" t="s">
        <v>103</v>
      </c>
      <c r="I350" s="250" t="s">
        <v>103</v>
      </c>
      <c r="J350" s="250" t="s">
        <v>153</v>
      </c>
      <c r="K350" s="255" t="s">
        <v>214</v>
      </c>
      <c r="L350" s="262">
        <v>1</v>
      </c>
      <c r="M350" s="269" t="s">
        <v>144</v>
      </c>
      <c r="N350" s="253"/>
      <c r="O350" s="253">
        <v>11770</v>
      </c>
      <c r="P350" s="253"/>
      <c r="Q350" s="254">
        <v>0</v>
      </c>
      <c r="R350" s="254">
        <v>0</v>
      </c>
      <c r="S350" s="254">
        <v>0</v>
      </c>
      <c r="T350" s="254">
        <v>0</v>
      </c>
      <c r="U350" s="254">
        <v>0</v>
      </c>
      <c r="V350" s="254">
        <v>0</v>
      </c>
      <c r="W350" s="254">
        <v>0</v>
      </c>
      <c r="X350" s="254">
        <v>0</v>
      </c>
      <c r="Y350" s="254">
        <v>0</v>
      </c>
      <c r="Z350" s="248">
        <f t="shared" si="80"/>
        <v>0</v>
      </c>
    </row>
    <row r="351" spans="1:26" s="230" customFormat="1" ht="15" customHeight="1">
      <c r="A351" s="144"/>
      <c r="B351" s="245">
        <v>4</v>
      </c>
      <c r="C351" s="246"/>
      <c r="D351" s="246"/>
      <c r="E351" s="247"/>
      <c r="F351" s="261"/>
      <c r="G351" s="266" t="str">
        <f t="shared" si="81"/>
        <v>K3500PH</v>
      </c>
      <c r="H351" s="248" t="s">
        <v>103</v>
      </c>
      <c r="I351" s="250" t="s">
        <v>103</v>
      </c>
      <c r="J351" s="250" t="s">
        <v>153</v>
      </c>
      <c r="K351" s="255" t="s">
        <v>154</v>
      </c>
      <c r="L351" s="262">
        <v>1</v>
      </c>
      <c r="M351" s="269" t="s">
        <v>150</v>
      </c>
      <c r="N351" s="253"/>
      <c r="O351" s="253">
        <v>12554</v>
      </c>
      <c r="P351" s="253"/>
      <c r="Q351" s="254">
        <v>0</v>
      </c>
      <c r="R351" s="254">
        <v>0</v>
      </c>
      <c r="S351" s="254">
        <v>0</v>
      </c>
      <c r="T351" s="254">
        <v>0</v>
      </c>
      <c r="U351" s="254">
        <v>0</v>
      </c>
      <c r="V351" s="254">
        <v>0</v>
      </c>
      <c r="W351" s="254">
        <v>0</v>
      </c>
      <c r="X351" s="254">
        <v>0</v>
      </c>
      <c r="Y351" s="254">
        <v>0</v>
      </c>
      <c r="Z351" s="248">
        <f t="shared" si="80"/>
        <v>0</v>
      </c>
    </row>
    <row r="352" spans="1:26" s="230" customFormat="1" ht="15" customHeight="1">
      <c r="A352" s="144"/>
      <c r="B352" s="245">
        <v>5</v>
      </c>
      <c r="C352" s="246"/>
      <c r="D352" s="246"/>
      <c r="E352" s="247"/>
      <c r="F352" s="261"/>
      <c r="G352" s="266" t="str">
        <f t="shared" si="81"/>
        <v>K3500PH</v>
      </c>
      <c r="H352" s="248" t="s">
        <v>103</v>
      </c>
      <c r="I352" s="250" t="s">
        <v>103</v>
      </c>
      <c r="J352" s="250" t="s">
        <v>153</v>
      </c>
      <c r="K352" s="255" t="s">
        <v>215</v>
      </c>
      <c r="L352" s="262">
        <v>1</v>
      </c>
      <c r="M352" s="269" t="s">
        <v>147</v>
      </c>
      <c r="N352" s="253"/>
      <c r="O352" s="253">
        <v>4568</v>
      </c>
      <c r="P352" s="253"/>
      <c r="Q352" s="254">
        <v>0</v>
      </c>
      <c r="R352" s="254">
        <v>0</v>
      </c>
      <c r="S352" s="254">
        <v>0</v>
      </c>
      <c r="T352" s="254">
        <v>0</v>
      </c>
      <c r="U352" s="254">
        <v>0</v>
      </c>
      <c r="V352" s="254">
        <v>0</v>
      </c>
      <c r="W352" s="254">
        <v>0</v>
      </c>
      <c r="X352" s="254">
        <v>0</v>
      </c>
      <c r="Y352" s="254">
        <v>0</v>
      </c>
      <c r="Z352" s="248">
        <f t="shared" si="80"/>
        <v>0</v>
      </c>
    </row>
    <row r="353" spans="1:26" s="230" customFormat="1" ht="15" customHeight="1">
      <c r="A353" s="144"/>
      <c r="B353" s="245">
        <v>6</v>
      </c>
      <c r="C353" s="246"/>
      <c r="D353" s="246"/>
      <c r="E353" s="247"/>
      <c r="F353" s="261"/>
      <c r="G353" s="266" t="str">
        <f t="shared" si="81"/>
        <v>K3500PH</v>
      </c>
      <c r="H353" s="248" t="s">
        <v>103</v>
      </c>
      <c r="I353" s="250" t="s">
        <v>103</v>
      </c>
      <c r="J353" s="250" t="s">
        <v>153</v>
      </c>
      <c r="K353" s="255" t="s">
        <v>217</v>
      </c>
      <c r="L353" s="262">
        <v>1</v>
      </c>
      <c r="M353" s="274" t="s">
        <v>258</v>
      </c>
      <c r="N353" s="253"/>
      <c r="O353" s="253">
        <v>286</v>
      </c>
      <c r="P353" s="253"/>
      <c r="Q353" s="254">
        <v>0</v>
      </c>
      <c r="R353" s="254">
        <v>0</v>
      </c>
      <c r="S353" s="254">
        <v>0</v>
      </c>
      <c r="T353" s="254">
        <v>0</v>
      </c>
      <c r="U353" s="254">
        <v>0</v>
      </c>
      <c r="V353" s="254">
        <v>0</v>
      </c>
      <c r="W353" s="254">
        <v>0</v>
      </c>
      <c r="X353" s="254">
        <v>0</v>
      </c>
      <c r="Y353" s="254">
        <v>0</v>
      </c>
      <c r="Z353" s="248">
        <f t="shared" si="80"/>
        <v>0</v>
      </c>
    </row>
    <row r="354" spans="1:26" s="230" customFormat="1" ht="15" customHeight="1">
      <c r="A354" s="144"/>
      <c r="B354" s="245">
        <v>7</v>
      </c>
      <c r="C354" s="246"/>
      <c r="D354" s="246"/>
      <c r="E354" s="247"/>
      <c r="F354" s="261"/>
      <c r="G354" s="266" t="str">
        <f t="shared" si="81"/>
        <v>K3500PH</v>
      </c>
      <c r="H354" s="248" t="s">
        <v>103</v>
      </c>
      <c r="I354" s="250" t="s">
        <v>103</v>
      </c>
      <c r="J354" s="250" t="s">
        <v>153</v>
      </c>
      <c r="K354" s="255" t="s">
        <v>216</v>
      </c>
      <c r="L354" s="262">
        <v>3</v>
      </c>
      <c r="M354" s="274" t="s">
        <v>259</v>
      </c>
      <c r="N354" s="253"/>
      <c r="O354" s="253">
        <v>25000</v>
      </c>
      <c r="P354" s="253"/>
      <c r="Q354" s="254">
        <v>0</v>
      </c>
      <c r="R354" s="254">
        <v>0</v>
      </c>
      <c r="S354" s="254">
        <v>0</v>
      </c>
      <c r="T354" s="254">
        <v>0</v>
      </c>
      <c r="U354" s="254">
        <v>0</v>
      </c>
      <c r="V354" s="254">
        <v>0</v>
      </c>
      <c r="W354" s="254">
        <v>0</v>
      </c>
      <c r="X354" s="254">
        <v>0</v>
      </c>
      <c r="Y354" s="254">
        <v>0</v>
      </c>
      <c r="Z354" s="248">
        <f t="shared" si="80"/>
        <v>0</v>
      </c>
    </row>
    <row r="355" spans="1:26" s="230" customFormat="1" ht="15" customHeight="1">
      <c r="A355" s="144"/>
      <c r="B355" s="245">
        <v>1</v>
      </c>
      <c r="C355" s="152"/>
      <c r="D355" s="152"/>
      <c r="E355" s="195"/>
      <c r="F355" s="197"/>
      <c r="G355" s="266" t="str">
        <f t="shared" si="81"/>
        <v>K3500PH</v>
      </c>
      <c r="H355" s="147" t="s">
        <v>20</v>
      </c>
      <c r="I355" s="196" t="s">
        <v>142</v>
      </c>
      <c r="J355" s="196" t="s">
        <v>153</v>
      </c>
      <c r="K355" s="202" t="s">
        <v>212</v>
      </c>
      <c r="L355" s="198">
        <v>1</v>
      </c>
      <c r="M355" s="270" t="s">
        <v>146</v>
      </c>
      <c r="N355" s="253"/>
      <c r="O355" s="253">
        <v>9136</v>
      </c>
      <c r="P355" s="253"/>
      <c r="Q355" s="129">
        <f>(Q$347*$L355)-Q348</f>
        <v>0</v>
      </c>
      <c r="R355" s="129">
        <f t="shared" ref="R355:Y355" si="82">(R$347*$L355)-R348</f>
        <v>0</v>
      </c>
      <c r="S355" s="129">
        <f t="shared" si="82"/>
        <v>0</v>
      </c>
      <c r="T355" s="129">
        <f t="shared" si="82"/>
        <v>0</v>
      </c>
      <c r="U355" s="129">
        <f t="shared" si="82"/>
        <v>0</v>
      </c>
      <c r="V355" s="129">
        <f t="shared" si="82"/>
        <v>0</v>
      </c>
      <c r="W355" s="129">
        <f t="shared" si="82"/>
        <v>0</v>
      </c>
      <c r="X355" s="129">
        <f t="shared" si="82"/>
        <v>0</v>
      </c>
      <c r="Y355" s="129" t="e">
        <f t="shared" si="82"/>
        <v>#REF!</v>
      </c>
      <c r="Z355" s="147" t="e">
        <f t="shared" si="80"/>
        <v>#REF!</v>
      </c>
    </row>
    <row r="356" spans="1:26" s="230" customFormat="1" ht="15" customHeight="1">
      <c r="A356" s="144"/>
      <c r="B356" s="245">
        <v>2</v>
      </c>
      <c r="C356" s="152"/>
      <c r="D356" s="152"/>
      <c r="E356" s="195"/>
      <c r="F356" s="197"/>
      <c r="G356" s="266" t="str">
        <f t="shared" si="81"/>
        <v>K3500PH</v>
      </c>
      <c r="H356" s="147" t="s">
        <v>20</v>
      </c>
      <c r="I356" s="196" t="s">
        <v>142</v>
      </c>
      <c r="J356" s="196" t="s">
        <v>153</v>
      </c>
      <c r="K356" s="202" t="s">
        <v>213</v>
      </c>
      <c r="L356" s="198">
        <v>1</v>
      </c>
      <c r="M356" s="270" t="s">
        <v>149</v>
      </c>
      <c r="N356" s="253"/>
      <c r="O356" s="253">
        <v>86720</v>
      </c>
      <c r="P356" s="253"/>
      <c r="Q356" s="129">
        <f t="shared" ref="Q356:Y361" si="83">(Q$347*$L356)-Q349</f>
        <v>0</v>
      </c>
      <c r="R356" s="129">
        <f t="shared" si="83"/>
        <v>0</v>
      </c>
      <c r="S356" s="129">
        <f t="shared" si="83"/>
        <v>0</v>
      </c>
      <c r="T356" s="129">
        <f t="shared" si="83"/>
        <v>0</v>
      </c>
      <c r="U356" s="129">
        <f t="shared" si="83"/>
        <v>0</v>
      </c>
      <c r="V356" s="129">
        <f t="shared" si="83"/>
        <v>0</v>
      </c>
      <c r="W356" s="129">
        <f t="shared" si="83"/>
        <v>0</v>
      </c>
      <c r="X356" s="129">
        <f t="shared" si="83"/>
        <v>0</v>
      </c>
      <c r="Y356" s="129" t="e">
        <f t="shared" si="83"/>
        <v>#REF!</v>
      </c>
      <c r="Z356" s="147" t="e">
        <f t="shared" si="80"/>
        <v>#REF!</v>
      </c>
    </row>
    <row r="357" spans="1:26" s="230" customFormat="1" ht="15" customHeight="1">
      <c r="A357" s="144"/>
      <c r="B357" s="245">
        <v>3</v>
      </c>
      <c r="C357" s="152"/>
      <c r="D357" s="152"/>
      <c r="E357" s="195"/>
      <c r="F357" s="197"/>
      <c r="G357" s="266" t="str">
        <f t="shared" si="81"/>
        <v>K3500PH</v>
      </c>
      <c r="H357" s="147" t="s">
        <v>20</v>
      </c>
      <c r="I357" s="196" t="s">
        <v>142</v>
      </c>
      <c r="J357" s="196" t="s">
        <v>153</v>
      </c>
      <c r="K357" s="202" t="s">
        <v>214</v>
      </c>
      <c r="L357" s="198">
        <v>1</v>
      </c>
      <c r="M357" s="270" t="s">
        <v>144</v>
      </c>
      <c r="N357" s="253"/>
      <c r="O357" s="253">
        <v>11770</v>
      </c>
      <c r="P357" s="253"/>
      <c r="Q357" s="129">
        <f t="shared" si="83"/>
        <v>0</v>
      </c>
      <c r="R357" s="129">
        <f t="shared" si="83"/>
        <v>0</v>
      </c>
      <c r="S357" s="129">
        <f t="shared" si="83"/>
        <v>0</v>
      </c>
      <c r="T357" s="129">
        <f t="shared" si="83"/>
        <v>0</v>
      </c>
      <c r="U357" s="129">
        <f t="shared" si="83"/>
        <v>0</v>
      </c>
      <c r="V357" s="129">
        <f t="shared" si="83"/>
        <v>0</v>
      </c>
      <c r="W357" s="129">
        <f t="shared" si="83"/>
        <v>0</v>
      </c>
      <c r="X357" s="129">
        <f t="shared" si="83"/>
        <v>0</v>
      </c>
      <c r="Y357" s="129" t="e">
        <f t="shared" si="83"/>
        <v>#REF!</v>
      </c>
      <c r="Z357" s="147" t="e">
        <f t="shared" si="80"/>
        <v>#REF!</v>
      </c>
    </row>
    <row r="358" spans="1:26" s="230" customFormat="1" ht="15" customHeight="1">
      <c r="A358" s="144"/>
      <c r="B358" s="245">
        <v>4</v>
      </c>
      <c r="C358" s="152"/>
      <c r="D358" s="152"/>
      <c r="E358" s="195"/>
      <c r="F358" s="197"/>
      <c r="G358" s="266" t="str">
        <f t="shared" si="81"/>
        <v>K3500PH</v>
      </c>
      <c r="H358" s="147" t="s">
        <v>20</v>
      </c>
      <c r="I358" s="196" t="s">
        <v>142</v>
      </c>
      <c r="J358" s="196" t="s">
        <v>153</v>
      </c>
      <c r="K358" s="202" t="s">
        <v>154</v>
      </c>
      <c r="L358" s="198">
        <v>1</v>
      </c>
      <c r="M358" s="270" t="s">
        <v>150</v>
      </c>
      <c r="N358" s="253"/>
      <c r="O358" s="253">
        <v>12554</v>
      </c>
      <c r="P358" s="253"/>
      <c r="Q358" s="129">
        <f t="shared" si="83"/>
        <v>0</v>
      </c>
      <c r="R358" s="129">
        <f t="shared" si="83"/>
        <v>0</v>
      </c>
      <c r="S358" s="129">
        <f t="shared" si="83"/>
        <v>0</v>
      </c>
      <c r="T358" s="129">
        <f t="shared" si="83"/>
        <v>0</v>
      </c>
      <c r="U358" s="129">
        <f t="shared" si="83"/>
        <v>0</v>
      </c>
      <c r="V358" s="129">
        <f t="shared" si="83"/>
        <v>0</v>
      </c>
      <c r="W358" s="129">
        <f t="shared" si="83"/>
        <v>0</v>
      </c>
      <c r="X358" s="129">
        <f t="shared" si="83"/>
        <v>0</v>
      </c>
      <c r="Y358" s="129" t="e">
        <f t="shared" si="83"/>
        <v>#REF!</v>
      </c>
      <c r="Z358" s="147" t="e">
        <f t="shared" si="80"/>
        <v>#REF!</v>
      </c>
    </row>
    <row r="359" spans="1:26" s="230" customFormat="1" ht="15" customHeight="1">
      <c r="A359" s="144"/>
      <c r="B359" s="245">
        <v>5</v>
      </c>
      <c r="C359" s="152"/>
      <c r="D359" s="152"/>
      <c r="E359" s="195"/>
      <c r="F359" s="197"/>
      <c r="G359" s="266" t="str">
        <f t="shared" si="81"/>
        <v>K3500PH</v>
      </c>
      <c r="H359" s="147" t="s">
        <v>20</v>
      </c>
      <c r="I359" s="196" t="s">
        <v>142</v>
      </c>
      <c r="J359" s="196" t="s">
        <v>153</v>
      </c>
      <c r="K359" s="202" t="s">
        <v>215</v>
      </c>
      <c r="L359" s="198">
        <v>1</v>
      </c>
      <c r="M359" s="270" t="s">
        <v>147</v>
      </c>
      <c r="N359" s="253"/>
      <c r="O359" s="253">
        <v>4568</v>
      </c>
      <c r="P359" s="253"/>
      <c r="Q359" s="129">
        <f t="shared" si="83"/>
        <v>0</v>
      </c>
      <c r="R359" s="129">
        <f t="shared" si="83"/>
        <v>0</v>
      </c>
      <c r="S359" s="129">
        <f t="shared" si="83"/>
        <v>0</v>
      </c>
      <c r="T359" s="129">
        <f t="shared" si="83"/>
        <v>0</v>
      </c>
      <c r="U359" s="129">
        <f t="shared" si="83"/>
        <v>0</v>
      </c>
      <c r="V359" s="129">
        <f t="shared" si="83"/>
        <v>0</v>
      </c>
      <c r="W359" s="129">
        <f t="shared" si="83"/>
        <v>0</v>
      </c>
      <c r="X359" s="129">
        <f t="shared" si="83"/>
        <v>0</v>
      </c>
      <c r="Y359" s="129" t="e">
        <f t="shared" si="83"/>
        <v>#REF!</v>
      </c>
      <c r="Z359" s="147" t="e">
        <f t="shared" si="80"/>
        <v>#REF!</v>
      </c>
    </row>
    <row r="360" spans="1:26" s="230" customFormat="1" ht="15" customHeight="1">
      <c r="A360" s="144"/>
      <c r="B360" s="245">
        <v>6</v>
      </c>
      <c r="C360" s="152"/>
      <c r="D360" s="152"/>
      <c r="E360" s="195"/>
      <c r="F360" s="197"/>
      <c r="G360" s="266" t="str">
        <f t="shared" si="81"/>
        <v>K3500PH</v>
      </c>
      <c r="H360" s="147" t="s">
        <v>20</v>
      </c>
      <c r="I360" s="196" t="s">
        <v>142</v>
      </c>
      <c r="J360" s="196" t="s">
        <v>153</v>
      </c>
      <c r="K360" s="202" t="s">
        <v>217</v>
      </c>
      <c r="L360" s="198">
        <v>1</v>
      </c>
      <c r="M360" s="274" t="s">
        <v>258</v>
      </c>
      <c r="N360" s="253"/>
      <c r="O360" s="253">
        <v>286</v>
      </c>
      <c r="P360" s="253"/>
      <c r="Q360" s="129">
        <f t="shared" si="83"/>
        <v>0</v>
      </c>
      <c r="R360" s="129">
        <f t="shared" si="83"/>
        <v>0</v>
      </c>
      <c r="S360" s="129">
        <f t="shared" si="83"/>
        <v>0</v>
      </c>
      <c r="T360" s="129">
        <f t="shared" si="83"/>
        <v>0</v>
      </c>
      <c r="U360" s="129">
        <f t="shared" si="83"/>
        <v>0</v>
      </c>
      <c r="V360" s="129">
        <f t="shared" si="83"/>
        <v>0</v>
      </c>
      <c r="W360" s="129">
        <f t="shared" si="83"/>
        <v>0</v>
      </c>
      <c r="X360" s="129">
        <f t="shared" si="83"/>
        <v>0</v>
      </c>
      <c r="Y360" s="129" t="e">
        <f t="shared" si="83"/>
        <v>#REF!</v>
      </c>
      <c r="Z360" s="147" t="e">
        <f t="shared" si="80"/>
        <v>#REF!</v>
      </c>
    </row>
    <row r="361" spans="1:26" s="230" customFormat="1" ht="15" customHeight="1">
      <c r="A361" s="144"/>
      <c r="B361" s="245">
        <v>7</v>
      </c>
      <c r="C361" s="152"/>
      <c r="D361" s="152"/>
      <c r="E361" s="195"/>
      <c r="F361" s="197"/>
      <c r="G361" s="266" t="str">
        <f t="shared" si="81"/>
        <v>K3500PH</v>
      </c>
      <c r="H361" s="147" t="s">
        <v>20</v>
      </c>
      <c r="I361" s="196" t="s">
        <v>142</v>
      </c>
      <c r="J361" s="196" t="s">
        <v>153</v>
      </c>
      <c r="K361" s="202" t="s">
        <v>216</v>
      </c>
      <c r="L361" s="198">
        <v>3</v>
      </c>
      <c r="M361" s="274" t="s">
        <v>259</v>
      </c>
      <c r="N361" s="253"/>
      <c r="O361" s="253">
        <v>25000</v>
      </c>
      <c r="P361" s="253"/>
      <c r="Q361" s="129">
        <f t="shared" si="83"/>
        <v>0</v>
      </c>
      <c r="R361" s="129">
        <f t="shared" si="83"/>
        <v>0</v>
      </c>
      <c r="S361" s="129">
        <f t="shared" si="83"/>
        <v>0</v>
      </c>
      <c r="T361" s="129">
        <f t="shared" si="83"/>
        <v>0</v>
      </c>
      <c r="U361" s="129">
        <f t="shared" si="83"/>
        <v>0</v>
      </c>
      <c r="V361" s="129">
        <f t="shared" si="83"/>
        <v>0</v>
      </c>
      <c r="W361" s="129">
        <f t="shared" si="83"/>
        <v>0</v>
      </c>
      <c r="X361" s="129">
        <f t="shared" si="83"/>
        <v>0</v>
      </c>
      <c r="Y361" s="129" t="e">
        <f t="shared" si="83"/>
        <v>#REF!</v>
      </c>
      <c r="Z361" s="147" t="e">
        <f t="shared" si="80"/>
        <v>#REF!</v>
      </c>
    </row>
  </sheetData>
  <autoFilter ref="A31:AC361"/>
  <mergeCells count="1">
    <mergeCell ref="N30:P30"/>
  </mergeCells>
  <phoneticPr fontId="71" type="noConversion"/>
  <pageMargins left="0.7" right="0.7" top="0.75" bottom="0.75" header="0.3" footer="0.3"/>
  <pageSetup paperSize="9" orientation="portrait" r:id="rId1"/>
  <ignoredErrors>
    <ignoredError sqref="Q20:Z27 Q2:Z11 Q13:Z19 R12:Z12" unlockedFormula="1"/>
  </ignoredError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2"/>
  <dimension ref="A1:O69"/>
  <sheetViews>
    <sheetView topLeftCell="A28" workbookViewId="0">
      <selection activeCell="N53" sqref="N53"/>
    </sheetView>
  </sheetViews>
  <sheetFormatPr defaultColWidth="8.88671875" defaultRowHeight="10.199999999999999"/>
  <cols>
    <col min="1" max="1" width="12.33203125" style="323" bestFit="1" customWidth="1"/>
    <col min="2" max="2" width="13.21875" style="323" customWidth="1"/>
    <col min="3" max="3" width="12.5546875" style="323" customWidth="1"/>
    <col min="4" max="4" width="8.109375" style="323" customWidth="1"/>
    <col min="5" max="5" width="8.44140625" style="323" customWidth="1"/>
    <col min="6" max="6" width="8.6640625" style="323" customWidth="1"/>
    <col min="7" max="7" width="8.33203125" style="323" customWidth="1"/>
    <col min="8" max="8" width="8.88671875" style="323" customWidth="1"/>
    <col min="9" max="9" width="8.21875" style="323" customWidth="1"/>
    <col min="10" max="10" width="7.77734375" style="323" customWidth="1"/>
    <col min="11" max="11" width="8.5546875" style="323" customWidth="1"/>
    <col min="12" max="12" width="8.44140625" style="323" customWidth="1"/>
    <col min="13" max="13" width="8.21875" style="323" customWidth="1"/>
    <col min="14" max="14" width="8.6640625" style="323" customWidth="1"/>
    <col min="15" max="15" width="8.44140625" style="323" customWidth="1"/>
    <col min="16" max="16384" width="8.88671875" style="323"/>
  </cols>
  <sheetData>
    <row r="1" spans="1:15" ht="14.4">
      <c r="A1"/>
      <c r="B1"/>
    </row>
    <row r="2" spans="1:15">
      <c r="A2" s="441" t="s">
        <v>268</v>
      </c>
      <c r="B2" s="323" t="s">
        <v>397</v>
      </c>
    </row>
    <row r="3" spans="1:15" ht="14.4">
      <c r="A3" s="441" t="s">
        <v>308</v>
      </c>
      <c r="B3" s="323" t="s">
        <v>397</v>
      </c>
      <c r="C3" s="11"/>
      <c r="D3" s="11"/>
      <c r="E3" s="11"/>
      <c r="F3" s="11"/>
      <c r="G3" s="11"/>
      <c r="H3" s="11"/>
      <c r="I3" s="11"/>
      <c r="J3" s="11"/>
    </row>
    <row r="4" spans="1:15" ht="14.4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5" ht="14.4">
      <c r="D5" s="441" t="s">
        <v>395</v>
      </c>
      <c r="M5"/>
      <c r="N5"/>
      <c r="O5"/>
    </row>
    <row r="6" spans="1:15" ht="14.4">
      <c r="A6" s="441" t="s">
        <v>764</v>
      </c>
      <c r="B6" s="441" t="s">
        <v>265</v>
      </c>
      <c r="C6" s="441" t="s">
        <v>309</v>
      </c>
      <c r="D6" s="323" t="s">
        <v>310</v>
      </c>
      <c r="E6" s="323" t="s">
        <v>311</v>
      </c>
      <c r="F6" s="323" t="s">
        <v>312</v>
      </c>
      <c r="G6" s="323" t="s">
        <v>313</v>
      </c>
      <c r="H6" s="323" t="s">
        <v>314</v>
      </c>
      <c r="I6" s="323" t="s">
        <v>315</v>
      </c>
      <c r="J6" s="323" t="s">
        <v>1020</v>
      </c>
      <c r="K6" s="323" t="s">
        <v>1021</v>
      </c>
      <c r="L6" s="323" t="s">
        <v>1022</v>
      </c>
      <c r="M6"/>
      <c r="N6"/>
      <c r="O6"/>
    </row>
    <row r="7" spans="1:15" ht="14.4">
      <c r="A7" s="323" t="s">
        <v>107</v>
      </c>
      <c r="B7" s="323" t="s">
        <v>394</v>
      </c>
      <c r="C7" s="323" t="s">
        <v>341</v>
      </c>
      <c r="D7" s="393">
        <v>600</v>
      </c>
      <c r="E7" s="393">
        <v>600</v>
      </c>
      <c r="F7" s="393">
        <v>600</v>
      </c>
      <c r="G7" s="393">
        <v>0</v>
      </c>
      <c r="H7" s="393">
        <v>0</v>
      </c>
      <c r="I7" s="393">
        <v>0</v>
      </c>
      <c r="J7" s="393"/>
      <c r="K7" s="393"/>
      <c r="L7" s="393"/>
      <c r="M7"/>
      <c r="N7"/>
      <c r="O7"/>
    </row>
    <row r="8" spans="1:15" ht="14.4">
      <c r="B8" s="323" t="s">
        <v>394</v>
      </c>
      <c r="C8" s="323" t="s">
        <v>360</v>
      </c>
      <c r="D8" s="393">
        <v>8200</v>
      </c>
      <c r="E8" s="393">
        <v>5100</v>
      </c>
      <c r="F8" s="393">
        <v>6200</v>
      </c>
      <c r="G8" s="393">
        <v>0</v>
      </c>
      <c r="H8" s="393">
        <v>0</v>
      </c>
      <c r="I8" s="393">
        <v>0</v>
      </c>
      <c r="J8" s="393"/>
      <c r="K8" s="393"/>
      <c r="L8" s="393"/>
      <c r="M8"/>
      <c r="N8"/>
      <c r="O8"/>
    </row>
    <row r="9" spans="1:15" ht="14.4">
      <c r="B9" s="323" t="s">
        <v>297</v>
      </c>
      <c r="C9" s="323" t="s">
        <v>360</v>
      </c>
      <c r="D9" s="393">
        <v>4700</v>
      </c>
      <c r="E9" s="393">
        <v>3000</v>
      </c>
      <c r="F9" s="393">
        <v>7000</v>
      </c>
      <c r="G9" s="393">
        <v>4500</v>
      </c>
      <c r="H9" s="393">
        <v>0</v>
      </c>
      <c r="I9" s="393">
        <v>0</v>
      </c>
      <c r="J9" s="393"/>
      <c r="K9" s="393"/>
      <c r="L9" s="393"/>
      <c r="M9"/>
      <c r="N9"/>
      <c r="O9"/>
    </row>
    <row r="10" spans="1:15" ht="14.4">
      <c r="B10" s="323" t="s">
        <v>297</v>
      </c>
      <c r="C10" s="323" t="s">
        <v>369</v>
      </c>
      <c r="D10" s="393">
        <v>800</v>
      </c>
      <c r="E10" s="393">
        <v>800</v>
      </c>
      <c r="F10" s="393">
        <v>1000</v>
      </c>
      <c r="G10" s="393">
        <v>1250</v>
      </c>
      <c r="H10" s="393">
        <v>0</v>
      </c>
      <c r="I10" s="393">
        <v>0</v>
      </c>
      <c r="J10" s="393"/>
      <c r="K10" s="393"/>
      <c r="L10" s="393"/>
      <c r="M10" s="11"/>
      <c r="N10" s="11"/>
      <c r="O10" s="11"/>
    </row>
    <row r="11" spans="1:15" ht="14.4">
      <c r="A11" s="323" t="s">
        <v>110</v>
      </c>
      <c r="B11" s="323" t="s">
        <v>297</v>
      </c>
      <c r="C11" s="323" t="s">
        <v>379</v>
      </c>
      <c r="D11" s="393">
        <v>0</v>
      </c>
      <c r="E11" s="393"/>
      <c r="F11" s="393"/>
      <c r="G11" s="393">
        <v>0</v>
      </c>
      <c r="H11" s="393">
        <v>0</v>
      </c>
      <c r="I11" s="393">
        <v>0</v>
      </c>
      <c r="J11" s="393"/>
      <c r="K11" s="393"/>
      <c r="L11" s="393"/>
      <c r="M11" s="11"/>
      <c r="N11" s="11"/>
      <c r="O11" s="11"/>
    </row>
    <row r="12" spans="1:15" ht="14.4">
      <c r="B12" s="323" t="s">
        <v>297</v>
      </c>
      <c r="C12" s="323" t="s">
        <v>360</v>
      </c>
      <c r="D12" s="393">
        <v>0</v>
      </c>
      <c r="E12" s="393">
        <v>0</v>
      </c>
      <c r="F12" s="393"/>
      <c r="G12" s="393">
        <v>0</v>
      </c>
      <c r="H12" s="393">
        <v>0</v>
      </c>
      <c r="I12" s="393">
        <v>0</v>
      </c>
      <c r="J12" s="393"/>
      <c r="K12" s="393"/>
      <c r="L12" s="393"/>
      <c r="M12" s="11"/>
      <c r="N12" s="11"/>
      <c r="O12" s="11"/>
    </row>
    <row r="13" spans="1:15" ht="14.4">
      <c r="B13" s="323" t="s">
        <v>297</v>
      </c>
      <c r="C13" s="323" t="s">
        <v>369</v>
      </c>
      <c r="D13" s="393">
        <v>700</v>
      </c>
      <c r="E13" s="393">
        <v>1050</v>
      </c>
      <c r="F13" s="393">
        <v>1050</v>
      </c>
      <c r="G13" s="393">
        <v>0</v>
      </c>
      <c r="H13" s="393">
        <v>0</v>
      </c>
      <c r="I13" s="393">
        <v>0</v>
      </c>
      <c r="J13" s="393"/>
      <c r="K13" s="393"/>
      <c r="L13" s="393"/>
      <c r="M13" s="11"/>
      <c r="N13" s="11"/>
      <c r="O13" s="11"/>
    </row>
    <row r="14" spans="1:15" ht="14.4">
      <c r="A14" s="323" t="s">
        <v>200</v>
      </c>
      <c r="B14" s="323" t="s">
        <v>365</v>
      </c>
      <c r="C14" s="323" t="s">
        <v>360</v>
      </c>
      <c r="D14" s="393">
        <v>0</v>
      </c>
      <c r="E14" s="393"/>
      <c r="F14" s="393"/>
      <c r="G14" s="393">
        <v>0</v>
      </c>
      <c r="H14" s="393">
        <v>0</v>
      </c>
      <c r="I14" s="393">
        <v>0</v>
      </c>
      <c r="J14" s="393"/>
      <c r="K14" s="393"/>
      <c r="L14" s="393"/>
      <c r="M14" s="11"/>
      <c r="N14" s="11"/>
      <c r="O14" s="11"/>
    </row>
    <row r="15" spans="1:15" ht="14.4">
      <c r="A15" s="323" t="s">
        <v>243</v>
      </c>
      <c r="B15" s="323" t="s">
        <v>264</v>
      </c>
      <c r="C15" s="323" t="s">
        <v>341</v>
      </c>
      <c r="D15" s="393">
        <v>4000</v>
      </c>
      <c r="E15" s="393">
        <v>5000</v>
      </c>
      <c r="F15" s="393">
        <v>0</v>
      </c>
      <c r="G15" s="393">
        <v>0</v>
      </c>
      <c r="H15" s="393">
        <v>0</v>
      </c>
      <c r="I15" s="393">
        <v>0</v>
      </c>
      <c r="J15" s="393">
        <v>2000</v>
      </c>
      <c r="K15" s="393">
        <v>2000</v>
      </c>
      <c r="L15" s="393">
        <v>1000</v>
      </c>
      <c r="M15" s="11"/>
      <c r="N15" s="11"/>
      <c r="O15" s="11"/>
    </row>
    <row r="16" spans="1:15" ht="14.4">
      <c r="B16" s="323" t="s">
        <v>264</v>
      </c>
      <c r="C16" s="323" t="s">
        <v>360</v>
      </c>
      <c r="D16" s="393">
        <v>0</v>
      </c>
      <c r="E16" s="393">
        <v>100</v>
      </c>
      <c r="F16" s="393">
        <v>0</v>
      </c>
      <c r="G16" s="393">
        <v>0</v>
      </c>
      <c r="H16" s="393">
        <v>0</v>
      </c>
      <c r="I16" s="393">
        <v>0</v>
      </c>
      <c r="J16" s="393"/>
      <c r="K16" s="393"/>
      <c r="L16" s="393"/>
      <c r="M16" s="11"/>
      <c r="N16" s="11"/>
      <c r="O16" s="11"/>
    </row>
    <row r="17" spans="1:15" ht="14.4">
      <c r="A17" s="323" t="s">
        <v>294</v>
      </c>
      <c r="B17" s="323" t="s">
        <v>266</v>
      </c>
      <c r="C17" s="323" t="s">
        <v>360</v>
      </c>
      <c r="D17" s="393">
        <v>1500</v>
      </c>
      <c r="E17" s="393">
        <v>3700</v>
      </c>
      <c r="F17" s="393">
        <v>4000</v>
      </c>
      <c r="G17" s="393">
        <v>4000</v>
      </c>
      <c r="H17" s="393">
        <v>3800</v>
      </c>
      <c r="I17" s="393">
        <v>0</v>
      </c>
      <c r="J17" s="393"/>
      <c r="K17" s="393"/>
      <c r="L17" s="393"/>
      <c r="M17" s="11"/>
      <c r="N17" s="11"/>
      <c r="O17" s="11"/>
    </row>
    <row r="18" spans="1:15" ht="14.4">
      <c r="B18" s="323" t="s">
        <v>690</v>
      </c>
      <c r="C18" s="323" t="s">
        <v>360</v>
      </c>
      <c r="D18" s="393">
        <v>500</v>
      </c>
      <c r="E18" s="393">
        <v>0</v>
      </c>
      <c r="F18" s="393">
        <v>0</v>
      </c>
      <c r="G18" s="393">
        <v>0</v>
      </c>
      <c r="H18" s="393">
        <v>0</v>
      </c>
      <c r="I18" s="393">
        <v>0</v>
      </c>
      <c r="J18" s="393"/>
      <c r="K18" s="393"/>
      <c r="L18" s="393"/>
      <c r="M18" s="11"/>
      <c r="N18" s="11"/>
      <c r="O18" s="11"/>
    </row>
    <row r="19" spans="1:15" ht="14.4">
      <c r="A19" s="323" t="s">
        <v>139</v>
      </c>
      <c r="B19" s="323" t="s">
        <v>264</v>
      </c>
      <c r="C19" s="323" t="s">
        <v>349</v>
      </c>
      <c r="D19" s="393">
        <v>200</v>
      </c>
      <c r="E19" s="393">
        <v>1200</v>
      </c>
      <c r="F19" s="393">
        <v>0</v>
      </c>
      <c r="G19" s="393">
        <v>0</v>
      </c>
      <c r="H19" s="393">
        <v>600</v>
      </c>
      <c r="I19" s="393">
        <v>600</v>
      </c>
      <c r="J19" s="393"/>
      <c r="K19" s="393"/>
      <c r="L19" s="393"/>
      <c r="M19" s="11"/>
      <c r="N19" s="11"/>
      <c r="O19" s="11"/>
    </row>
    <row r="20" spans="1:15" ht="14.4">
      <c r="A20" s="323" t="s">
        <v>416</v>
      </c>
      <c r="B20" s="323" t="s">
        <v>264</v>
      </c>
      <c r="C20" s="323" t="s">
        <v>341</v>
      </c>
      <c r="D20" s="393">
        <v>0</v>
      </c>
      <c r="E20" s="393">
        <v>0</v>
      </c>
      <c r="F20" s="393">
        <v>0</v>
      </c>
      <c r="G20" s="393">
        <v>0</v>
      </c>
      <c r="H20" s="393">
        <v>0</v>
      </c>
      <c r="I20" s="393">
        <v>0</v>
      </c>
      <c r="J20" s="393"/>
      <c r="K20" s="393"/>
      <c r="L20" s="393"/>
      <c r="M20" s="11"/>
      <c r="N20" s="11"/>
      <c r="O20" s="11"/>
    </row>
    <row r="21" spans="1:15" ht="14.4">
      <c r="A21" s="323" t="s">
        <v>198</v>
      </c>
      <c r="B21" s="323" t="s">
        <v>373</v>
      </c>
      <c r="C21" s="323" t="s">
        <v>360</v>
      </c>
      <c r="D21" s="393">
        <v>120</v>
      </c>
      <c r="E21" s="393">
        <v>750</v>
      </c>
      <c r="F21" s="393">
        <v>0</v>
      </c>
      <c r="G21" s="393">
        <v>0</v>
      </c>
      <c r="H21" s="393">
        <v>0</v>
      </c>
      <c r="I21" s="393">
        <v>0</v>
      </c>
      <c r="J21" s="393"/>
      <c r="K21" s="393"/>
      <c r="L21" s="393"/>
      <c r="M21" s="11"/>
      <c r="N21" s="11"/>
      <c r="O21" s="11"/>
    </row>
    <row r="22" spans="1:15" ht="14.4">
      <c r="B22" s="323" t="s">
        <v>373</v>
      </c>
      <c r="C22" s="323" t="s">
        <v>369</v>
      </c>
      <c r="D22" s="393">
        <v>30</v>
      </c>
      <c r="E22" s="393">
        <v>50</v>
      </c>
      <c r="F22" s="393"/>
      <c r="G22" s="393">
        <v>0</v>
      </c>
      <c r="H22" s="393">
        <v>0</v>
      </c>
      <c r="I22" s="393">
        <v>0</v>
      </c>
      <c r="J22" s="393"/>
      <c r="K22" s="393"/>
      <c r="L22" s="393"/>
      <c r="M22" s="11"/>
      <c r="N22" s="11"/>
      <c r="O22" s="11"/>
    </row>
    <row r="23" spans="1:15" ht="14.4">
      <c r="B23" s="323" t="s">
        <v>382</v>
      </c>
      <c r="C23" s="323" t="s">
        <v>379</v>
      </c>
      <c r="D23" s="393">
        <v>0</v>
      </c>
      <c r="E23" s="393"/>
      <c r="F23" s="393"/>
      <c r="G23" s="393">
        <v>0</v>
      </c>
      <c r="H23" s="393">
        <v>0</v>
      </c>
      <c r="I23" s="393">
        <v>0</v>
      </c>
      <c r="J23" s="393"/>
      <c r="K23" s="393"/>
      <c r="L23" s="393"/>
      <c r="M23" s="11"/>
      <c r="N23" s="11"/>
      <c r="O23" s="11"/>
    </row>
    <row r="24" spans="1:15" ht="14.4">
      <c r="B24" s="323" t="s">
        <v>382</v>
      </c>
      <c r="C24" s="323" t="s">
        <v>360</v>
      </c>
      <c r="D24" s="393">
        <v>150</v>
      </c>
      <c r="E24" s="393">
        <v>550</v>
      </c>
      <c r="F24" s="393">
        <v>0</v>
      </c>
      <c r="G24" s="393">
        <v>0</v>
      </c>
      <c r="H24" s="393">
        <v>0</v>
      </c>
      <c r="I24" s="393">
        <v>0</v>
      </c>
      <c r="J24" s="393"/>
      <c r="K24" s="393"/>
      <c r="L24" s="393"/>
      <c r="M24" s="11"/>
      <c r="N24" s="11"/>
      <c r="O24" s="11"/>
    </row>
    <row r="25" spans="1:15" ht="14.4">
      <c r="B25" s="323" t="s">
        <v>382</v>
      </c>
      <c r="C25" s="323" t="s">
        <v>369</v>
      </c>
      <c r="D25" s="393">
        <v>0</v>
      </c>
      <c r="E25" s="393">
        <v>50</v>
      </c>
      <c r="F25" s="393">
        <v>0</v>
      </c>
      <c r="G25" s="393">
        <v>0</v>
      </c>
      <c r="H25" s="393">
        <v>0</v>
      </c>
      <c r="I25" s="393">
        <v>0</v>
      </c>
      <c r="J25" s="393"/>
      <c r="K25" s="393"/>
      <c r="L25" s="393"/>
      <c r="M25" s="11"/>
      <c r="N25" s="11"/>
      <c r="O25" s="11"/>
    </row>
    <row r="26" spans="1:15" ht="14.4">
      <c r="B26" s="323" t="s">
        <v>382</v>
      </c>
      <c r="C26" s="323" t="s">
        <v>535</v>
      </c>
      <c r="D26" s="393">
        <v>0</v>
      </c>
      <c r="E26" s="393">
        <v>0</v>
      </c>
      <c r="F26" s="393">
        <v>0</v>
      </c>
      <c r="G26" s="393">
        <v>0</v>
      </c>
      <c r="H26" s="393">
        <v>0</v>
      </c>
      <c r="I26" s="393">
        <v>0</v>
      </c>
      <c r="J26" s="393"/>
      <c r="K26" s="393"/>
      <c r="L26" s="393"/>
      <c r="M26" s="11"/>
      <c r="N26" s="11"/>
      <c r="O26" s="11"/>
    </row>
    <row r="27" spans="1:15" ht="14.4">
      <c r="A27" s="323" t="s">
        <v>445</v>
      </c>
      <c r="B27" s="323" t="s">
        <v>619</v>
      </c>
      <c r="C27" s="323" t="s">
        <v>360</v>
      </c>
      <c r="D27" s="393">
        <v>0</v>
      </c>
      <c r="E27" s="393">
        <v>0</v>
      </c>
      <c r="F27" s="393">
        <v>0</v>
      </c>
      <c r="G27" s="393">
        <v>0</v>
      </c>
      <c r="H27" s="393">
        <v>600</v>
      </c>
      <c r="I27" s="393">
        <v>4200</v>
      </c>
      <c r="J27" s="393">
        <v>6000</v>
      </c>
      <c r="K27" s="393">
        <v>6000</v>
      </c>
      <c r="L27" s="393">
        <v>6000</v>
      </c>
      <c r="M27" s="11"/>
      <c r="N27" s="11"/>
      <c r="O27" s="11"/>
    </row>
    <row r="28" spans="1:15" ht="14.4">
      <c r="B28" s="323" t="s">
        <v>619</v>
      </c>
      <c r="C28" s="323" t="s">
        <v>369</v>
      </c>
      <c r="D28" s="393"/>
      <c r="E28" s="393"/>
      <c r="F28" s="393"/>
      <c r="G28" s="393">
        <v>0</v>
      </c>
      <c r="H28" s="393">
        <v>100</v>
      </c>
      <c r="I28" s="393">
        <v>100</v>
      </c>
      <c r="J28" s="393">
        <v>300</v>
      </c>
      <c r="K28" s="393">
        <v>300</v>
      </c>
      <c r="L28" s="393">
        <v>300</v>
      </c>
      <c r="M28" s="11"/>
      <c r="N28" s="11"/>
      <c r="O28" s="11"/>
    </row>
    <row r="29" spans="1:15" ht="14.4">
      <c r="B29" s="323" t="s">
        <v>620</v>
      </c>
      <c r="C29" s="323" t="s">
        <v>360</v>
      </c>
      <c r="D29" s="393">
        <v>0</v>
      </c>
      <c r="E29" s="393">
        <v>0</v>
      </c>
      <c r="F29" s="393">
        <v>0</v>
      </c>
      <c r="G29" s="393">
        <v>0</v>
      </c>
      <c r="H29" s="393">
        <v>180</v>
      </c>
      <c r="I29" s="393">
        <v>180</v>
      </c>
      <c r="J29" s="393">
        <v>450</v>
      </c>
      <c r="K29" s="393">
        <v>450</v>
      </c>
      <c r="L29" s="393">
        <v>450</v>
      </c>
      <c r="M29" s="11"/>
      <c r="N29" s="11"/>
      <c r="O29" s="11"/>
    </row>
    <row r="30" spans="1:15" ht="14.4">
      <c r="B30" s="323" t="s">
        <v>620</v>
      </c>
      <c r="C30" s="323" t="s">
        <v>369</v>
      </c>
      <c r="D30" s="393"/>
      <c r="E30" s="393"/>
      <c r="F30" s="393"/>
      <c r="G30" s="393"/>
      <c r="H30" s="393"/>
      <c r="I30" s="393"/>
      <c r="J30" s="393">
        <v>50</v>
      </c>
      <c r="K30" s="393">
        <v>50</v>
      </c>
      <c r="L30" s="393">
        <v>50</v>
      </c>
      <c r="M30" s="11"/>
      <c r="N30" s="11"/>
      <c r="O30" s="11"/>
    </row>
    <row r="31" spans="1:15" ht="14.4">
      <c r="A31" s="323" t="s">
        <v>444</v>
      </c>
      <c r="B31" s="323" t="s">
        <v>621</v>
      </c>
      <c r="C31" s="323" t="s">
        <v>360</v>
      </c>
      <c r="D31" s="393">
        <v>0</v>
      </c>
      <c r="E31" s="393">
        <v>70</v>
      </c>
      <c r="F31" s="393">
        <v>0</v>
      </c>
      <c r="G31" s="393">
        <v>0</v>
      </c>
      <c r="H31" s="393">
        <v>0</v>
      </c>
      <c r="I31" s="393">
        <v>0</v>
      </c>
      <c r="J31" s="393"/>
      <c r="K31" s="393"/>
      <c r="L31" s="393"/>
      <c r="M31" s="11"/>
      <c r="N31" s="11"/>
      <c r="O31" s="11"/>
    </row>
    <row r="32" spans="1:15" ht="14.4">
      <c r="B32" s="323" t="s">
        <v>621</v>
      </c>
      <c r="C32" s="323" t="s">
        <v>369</v>
      </c>
      <c r="D32" s="393">
        <v>0</v>
      </c>
      <c r="E32" s="393">
        <v>30</v>
      </c>
      <c r="F32" s="393">
        <v>0</v>
      </c>
      <c r="G32" s="393">
        <v>0</v>
      </c>
      <c r="H32" s="393">
        <v>0</v>
      </c>
      <c r="I32" s="393">
        <v>0</v>
      </c>
      <c r="J32" s="393"/>
      <c r="K32" s="393"/>
      <c r="L32" s="393"/>
      <c r="M32" s="11"/>
      <c r="N32" s="11"/>
      <c r="O32" s="11"/>
    </row>
    <row r="33" spans="1:15" ht="14.4">
      <c r="B33" s="323" t="s">
        <v>622</v>
      </c>
      <c r="C33" s="323" t="s">
        <v>369</v>
      </c>
      <c r="D33" s="393">
        <v>200</v>
      </c>
      <c r="E33" s="393">
        <v>200</v>
      </c>
      <c r="F33" s="393">
        <v>200</v>
      </c>
      <c r="G33" s="393">
        <v>0</v>
      </c>
      <c r="H33" s="393">
        <v>0</v>
      </c>
      <c r="I33" s="393">
        <v>0</v>
      </c>
      <c r="J33" s="393"/>
      <c r="K33" s="393"/>
      <c r="L33" s="393"/>
      <c r="M33" s="11"/>
      <c r="N33" s="11"/>
      <c r="O33" s="11"/>
    </row>
    <row r="34" spans="1:15" ht="14.4">
      <c r="A34" s="323" t="s">
        <v>625</v>
      </c>
      <c r="B34" s="323" t="s">
        <v>373</v>
      </c>
      <c r="C34" s="323" t="s">
        <v>360</v>
      </c>
      <c r="D34" s="393">
        <v>0</v>
      </c>
      <c r="E34" s="393">
        <v>0</v>
      </c>
      <c r="F34" s="393">
        <v>0</v>
      </c>
      <c r="G34" s="393">
        <v>0</v>
      </c>
      <c r="H34" s="393">
        <v>0</v>
      </c>
      <c r="I34" s="393">
        <v>0</v>
      </c>
      <c r="J34" s="393"/>
      <c r="K34" s="393"/>
      <c r="L34" s="393"/>
      <c r="M34" s="11"/>
      <c r="N34" s="11"/>
      <c r="O34" s="11"/>
    </row>
    <row r="35" spans="1:15" ht="14.4">
      <c r="A35" s="323" t="s">
        <v>296</v>
      </c>
      <c r="B35" s="323" t="s">
        <v>529</v>
      </c>
      <c r="C35" s="323" t="s">
        <v>369</v>
      </c>
      <c r="D35" s="393">
        <v>0</v>
      </c>
      <c r="E35" s="393">
        <v>0</v>
      </c>
      <c r="F35" s="393">
        <v>0</v>
      </c>
      <c r="G35" s="393">
        <v>0</v>
      </c>
      <c r="H35" s="393">
        <v>0</v>
      </c>
      <c r="I35" s="393">
        <v>0</v>
      </c>
      <c r="J35" s="393"/>
      <c r="K35" s="393"/>
      <c r="L35" s="393"/>
      <c r="M35" s="11"/>
      <c r="N35" s="11"/>
      <c r="O35" s="11"/>
    </row>
    <row r="36" spans="1:15" ht="14.4">
      <c r="A36" s="323" t="s">
        <v>447</v>
      </c>
      <c r="B36" s="323" t="s">
        <v>710</v>
      </c>
      <c r="C36" s="323" t="s">
        <v>535</v>
      </c>
      <c r="D36" s="393">
        <v>50</v>
      </c>
      <c r="E36" s="393">
        <v>100</v>
      </c>
      <c r="F36" s="393">
        <v>0</v>
      </c>
      <c r="G36" s="393">
        <v>0</v>
      </c>
      <c r="H36" s="393">
        <v>0</v>
      </c>
      <c r="I36" s="393">
        <v>0</v>
      </c>
      <c r="J36" s="393"/>
      <c r="K36" s="393"/>
      <c r="L36" s="393"/>
      <c r="M36" s="11"/>
      <c r="N36" s="11"/>
      <c r="O36" s="11"/>
    </row>
    <row r="37" spans="1:15" ht="14.4">
      <c r="A37" s="323" t="s">
        <v>448</v>
      </c>
      <c r="B37" s="323" t="s">
        <v>530</v>
      </c>
      <c r="C37" s="323" t="s">
        <v>369</v>
      </c>
      <c r="D37" s="393">
        <v>0</v>
      </c>
      <c r="E37" s="393">
        <v>0</v>
      </c>
      <c r="F37" s="393">
        <v>0</v>
      </c>
      <c r="G37" s="393">
        <v>0</v>
      </c>
      <c r="H37" s="393">
        <v>0</v>
      </c>
      <c r="I37" s="393">
        <v>0</v>
      </c>
      <c r="J37" s="393"/>
      <c r="K37" s="393"/>
      <c r="L37" s="393"/>
      <c r="M37" s="11"/>
      <c r="N37" s="11"/>
      <c r="O37" s="11"/>
    </row>
    <row r="38" spans="1:15" ht="14.4">
      <c r="B38" s="323" t="s">
        <v>530</v>
      </c>
      <c r="C38" s="323" t="s">
        <v>535</v>
      </c>
      <c r="D38" s="393">
        <v>0</v>
      </c>
      <c r="E38" s="393">
        <v>0</v>
      </c>
      <c r="F38" s="393">
        <v>0</v>
      </c>
      <c r="G38" s="393">
        <v>0</v>
      </c>
      <c r="H38" s="393">
        <v>0</v>
      </c>
      <c r="I38" s="393">
        <v>0</v>
      </c>
      <c r="J38" s="393"/>
      <c r="K38" s="393"/>
      <c r="L38" s="393"/>
      <c r="M38" s="11"/>
      <c r="N38" s="11"/>
      <c r="O38" s="11"/>
    </row>
    <row r="39" spans="1:15" ht="14.4">
      <c r="A39" s="323" t="s">
        <v>767</v>
      </c>
      <c r="B39" s="323" t="s">
        <v>782</v>
      </c>
      <c r="C39" s="323" t="s">
        <v>369</v>
      </c>
      <c r="D39" s="393">
        <v>200</v>
      </c>
      <c r="E39" s="393">
        <v>300</v>
      </c>
      <c r="F39" s="393">
        <v>500</v>
      </c>
      <c r="G39" s="393">
        <v>600</v>
      </c>
      <c r="H39" s="393">
        <v>400</v>
      </c>
      <c r="I39" s="393">
        <v>400</v>
      </c>
      <c r="J39" s="393">
        <v>200</v>
      </c>
      <c r="K39" s="393"/>
      <c r="L39" s="393"/>
      <c r="M39" s="11"/>
      <c r="N39" s="11"/>
      <c r="O39" s="11"/>
    </row>
    <row r="40" spans="1:15" ht="14.4">
      <c r="B40" s="323" t="s">
        <v>782</v>
      </c>
      <c r="C40" s="323" t="s">
        <v>535</v>
      </c>
      <c r="D40" s="393">
        <v>50</v>
      </c>
      <c r="E40" s="393">
        <v>50</v>
      </c>
      <c r="F40" s="393">
        <v>50</v>
      </c>
      <c r="G40" s="393">
        <v>100</v>
      </c>
      <c r="H40" s="393">
        <v>50</v>
      </c>
      <c r="I40" s="393">
        <v>50</v>
      </c>
      <c r="J40" s="393">
        <v>50</v>
      </c>
      <c r="K40" s="393"/>
      <c r="L40" s="393"/>
      <c r="M40" s="11"/>
      <c r="N40" s="11"/>
      <c r="O40" s="11"/>
    </row>
    <row r="41" spans="1:15" ht="14.4">
      <c r="A41" s="323" t="s">
        <v>766</v>
      </c>
      <c r="B41" s="323" t="s">
        <v>781</v>
      </c>
      <c r="C41" s="323" t="s">
        <v>369</v>
      </c>
      <c r="D41" s="393">
        <v>0</v>
      </c>
      <c r="E41" s="393">
        <v>200</v>
      </c>
      <c r="F41" s="393">
        <v>0</v>
      </c>
      <c r="G41" s="393">
        <v>100</v>
      </c>
      <c r="H41" s="393">
        <v>0</v>
      </c>
      <c r="I41" s="393">
        <v>0</v>
      </c>
      <c r="J41" s="393"/>
      <c r="K41" s="393"/>
      <c r="L41" s="393"/>
      <c r="M41" s="11"/>
      <c r="N41" s="11"/>
      <c r="O41" s="11"/>
    </row>
    <row r="42" spans="1:15" ht="14.4">
      <c r="A42" s="323" t="s">
        <v>874</v>
      </c>
      <c r="B42" s="323" t="s">
        <v>874</v>
      </c>
      <c r="C42" s="323" t="s">
        <v>874</v>
      </c>
      <c r="D42" s="393"/>
      <c r="E42" s="393"/>
      <c r="F42" s="393"/>
      <c r="G42" s="393"/>
      <c r="H42" s="393"/>
      <c r="I42" s="393"/>
      <c r="J42" s="393"/>
      <c r="K42" s="393"/>
      <c r="L42" s="393"/>
      <c r="M42" s="11"/>
      <c r="N42" s="11"/>
      <c r="O42" s="11"/>
    </row>
    <row r="43" spans="1:15" ht="14.4">
      <c r="A43" s="323" t="s">
        <v>1010</v>
      </c>
      <c r="B43" s="323" t="s">
        <v>874</v>
      </c>
      <c r="C43" s="323" t="s">
        <v>874</v>
      </c>
      <c r="D43" s="393">
        <v>22000</v>
      </c>
      <c r="E43" s="393">
        <v>23100</v>
      </c>
      <c r="F43" s="393">
        <v>20600</v>
      </c>
      <c r="G43" s="393">
        <v>23050</v>
      </c>
      <c r="H43" s="393">
        <v>23730</v>
      </c>
      <c r="I43" s="393">
        <v>23630</v>
      </c>
      <c r="J43" s="393">
        <v>29000</v>
      </c>
      <c r="K43" s="393">
        <v>26120</v>
      </c>
      <c r="L43" s="393">
        <v>25120</v>
      </c>
      <c r="M43" s="11"/>
      <c r="N43" s="11"/>
      <c r="O43" s="11"/>
    </row>
    <row r="44" spans="1:15" ht="14.4">
      <c r="A44" s="323" t="s">
        <v>134</v>
      </c>
      <c r="B44" s="323" t="s">
        <v>264</v>
      </c>
      <c r="C44" s="323" t="s">
        <v>789</v>
      </c>
      <c r="D44" s="393">
        <v>0</v>
      </c>
      <c r="E44" s="393"/>
      <c r="F44" s="393"/>
      <c r="G44" s="393">
        <v>0</v>
      </c>
      <c r="H44" s="393">
        <v>0</v>
      </c>
      <c r="I44" s="393">
        <v>0</v>
      </c>
      <c r="J44" s="393"/>
      <c r="K44" s="393"/>
      <c r="L44" s="393"/>
      <c r="M44" s="11"/>
      <c r="N44" s="11"/>
      <c r="O44" s="11"/>
    </row>
    <row r="45" spans="1:15" ht="14.4">
      <c r="A45" s="323" t="s">
        <v>875</v>
      </c>
      <c r="B45" s="323" t="s">
        <v>365</v>
      </c>
      <c r="C45" s="323" t="s">
        <v>341</v>
      </c>
      <c r="D45" s="393"/>
      <c r="E45" s="393"/>
      <c r="F45" s="393"/>
      <c r="G45" s="393">
        <v>500</v>
      </c>
      <c r="H45" s="393">
        <v>600</v>
      </c>
      <c r="I45" s="393">
        <v>700</v>
      </c>
      <c r="J45" s="393">
        <v>1000</v>
      </c>
      <c r="K45" s="393">
        <v>1000</v>
      </c>
      <c r="L45" s="393">
        <v>1000</v>
      </c>
      <c r="M45" s="11"/>
      <c r="N45" s="11"/>
      <c r="O45" s="11"/>
    </row>
    <row r="46" spans="1:15" ht="14.4">
      <c r="B46" s="323" t="s">
        <v>365</v>
      </c>
      <c r="C46" s="323" t="s">
        <v>360</v>
      </c>
      <c r="D46" s="393"/>
      <c r="E46" s="393"/>
      <c r="F46" s="393"/>
      <c r="G46" s="393">
        <v>7600</v>
      </c>
      <c r="H46" s="393">
        <v>7400</v>
      </c>
      <c r="I46" s="393">
        <v>7400</v>
      </c>
      <c r="J46" s="393">
        <v>5500</v>
      </c>
      <c r="K46" s="393">
        <v>2500</v>
      </c>
      <c r="L46" s="393">
        <v>2500</v>
      </c>
      <c r="M46" s="11"/>
      <c r="N46" s="11"/>
      <c r="O46" s="11"/>
    </row>
    <row r="47" spans="1:15" ht="14.4">
      <c r="B47" s="323" t="s">
        <v>365</v>
      </c>
      <c r="C47" s="323" t="s">
        <v>369</v>
      </c>
      <c r="D47" s="393"/>
      <c r="E47" s="393"/>
      <c r="F47" s="393"/>
      <c r="G47" s="393">
        <v>400</v>
      </c>
      <c r="H47" s="393">
        <v>400</v>
      </c>
      <c r="I47" s="393">
        <v>400</v>
      </c>
      <c r="J47" s="393">
        <v>600</v>
      </c>
      <c r="K47" s="393">
        <v>600</v>
      </c>
      <c r="L47" s="393">
        <v>600</v>
      </c>
      <c r="M47" s="11"/>
      <c r="N47" s="11"/>
      <c r="O47" s="11"/>
    </row>
    <row r="48" spans="1:15" ht="14.4">
      <c r="B48" s="323" t="s">
        <v>373</v>
      </c>
      <c r="C48" s="323" t="s">
        <v>360</v>
      </c>
      <c r="D48" s="393"/>
      <c r="E48" s="393"/>
      <c r="F48" s="393"/>
      <c r="G48" s="393">
        <v>1700</v>
      </c>
      <c r="H48" s="393">
        <v>6500</v>
      </c>
      <c r="I48" s="393">
        <v>6500</v>
      </c>
      <c r="J48" s="393">
        <v>8500</v>
      </c>
      <c r="K48" s="393">
        <v>8500</v>
      </c>
      <c r="L48" s="393">
        <v>8500</v>
      </c>
      <c r="M48" s="11"/>
      <c r="N48" s="11"/>
    </row>
    <row r="49" spans="1:14" ht="14.4">
      <c r="B49" s="323" t="s">
        <v>373</v>
      </c>
      <c r="C49" s="323" t="s">
        <v>369</v>
      </c>
      <c r="D49" s="393"/>
      <c r="E49" s="393"/>
      <c r="F49" s="393"/>
      <c r="G49" s="393">
        <v>400</v>
      </c>
      <c r="H49" s="393">
        <v>1300</v>
      </c>
      <c r="I49" s="393">
        <v>1300</v>
      </c>
      <c r="J49" s="393">
        <v>1650</v>
      </c>
      <c r="K49" s="393">
        <v>1650</v>
      </c>
      <c r="L49" s="393">
        <v>1650</v>
      </c>
      <c r="M49" s="11"/>
      <c r="N49" s="11"/>
    </row>
    <row r="50" spans="1:14">
      <c r="A50" s="323" t="s">
        <v>876</v>
      </c>
      <c r="B50" s="323" t="s">
        <v>373</v>
      </c>
      <c r="C50" s="323" t="s">
        <v>369</v>
      </c>
      <c r="D50" s="393"/>
      <c r="E50" s="393"/>
      <c r="F50" s="393"/>
      <c r="G50" s="393">
        <v>300</v>
      </c>
      <c r="H50" s="393">
        <v>300</v>
      </c>
      <c r="I50" s="393">
        <v>300</v>
      </c>
      <c r="J50" s="393"/>
      <c r="K50" s="393"/>
      <c r="L50" s="393"/>
    </row>
    <row r="51" spans="1:14">
      <c r="A51" s="323" t="s">
        <v>623</v>
      </c>
      <c r="B51" s="323" t="s">
        <v>382</v>
      </c>
      <c r="C51" s="323" t="s">
        <v>369</v>
      </c>
      <c r="D51" s="393">
        <v>0</v>
      </c>
      <c r="E51" s="393"/>
      <c r="F51" s="393"/>
      <c r="G51" s="393">
        <v>0</v>
      </c>
      <c r="H51" s="393">
        <v>0</v>
      </c>
      <c r="I51" s="393">
        <v>0</v>
      </c>
      <c r="J51" s="393"/>
      <c r="K51" s="393"/>
      <c r="L51" s="393"/>
    </row>
    <row r="52" spans="1:14">
      <c r="A52" s="323" t="s">
        <v>207</v>
      </c>
      <c r="B52" s="323" t="s">
        <v>382</v>
      </c>
      <c r="C52" s="323" t="s">
        <v>369</v>
      </c>
      <c r="D52" s="393">
        <v>0</v>
      </c>
      <c r="E52" s="393">
        <v>0</v>
      </c>
      <c r="F52" s="393">
        <v>0</v>
      </c>
      <c r="G52" s="393">
        <v>0</v>
      </c>
      <c r="H52" s="393">
        <v>0</v>
      </c>
      <c r="I52" s="393">
        <v>0</v>
      </c>
      <c r="J52" s="393"/>
      <c r="K52" s="393"/>
      <c r="L52" s="393"/>
    </row>
    <row r="53" spans="1:14">
      <c r="B53" s="323" t="s">
        <v>382</v>
      </c>
      <c r="C53" s="323" t="s">
        <v>535</v>
      </c>
      <c r="D53" s="393">
        <v>0</v>
      </c>
      <c r="E53" s="393">
        <v>0</v>
      </c>
      <c r="F53" s="393">
        <v>0</v>
      </c>
      <c r="G53" s="393">
        <v>0</v>
      </c>
      <c r="H53" s="393">
        <v>0</v>
      </c>
      <c r="I53" s="393">
        <v>0</v>
      </c>
      <c r="J53" s="393"/>
      <c r="K53" s="393"/>
      <c r="L53" s="393"/>
    </row>
    <row r="54" spans="1:14">
      <c r="A54" s="323" t="s">
        <v>244</v>
      </c>
      <c r="B54" s="323" t="s">
        <v>527</v>
      </c>
      <c r="C54" s="323" t="s">
        <v>369</v>
      </c>
      <c r="D54" s="393">
        <v>0</v>
      </c>
      <c r="E54" s="393">
        <v>0</v>
      </c>
      <c r="F54" s="393">
        <v>0</v>
      </c>
      <c r="G54" s="393">
        <v>0</v>
      </c>
      <c r="H54" s="393">
        <v>0</v>
      </c>
      <c r="I54" s="393">
        <v>0</v>
      </c>
      <c r="J54" s="393"/>
      <c r="K54" s="393"/>
      <c r="L54" s="393"/>
    </row>
    <row r="55" spans="1:14">
      <c r="A55" s="323" t="s">
        <v>411</v>
      </c>
      <c r="B55" s="323" t="s">
        <v>527</v>
      </c>
      <c r="C55" s="323" t="s">
        <v>369</v>
      </c>
      <c r="D55" s="393">
        <v>0</v>
      </c>
      <c r="E55" s="393">
        <v>0</v>
      </c>
      <c r="F55" s="393">
        <v>0</v>
      </c>
      <c r="G55" s="393">
        <v>0</v>
      </c>
      <c r="H55" s="393">
        <v>0</v>
      </c>
      <c r="I55" s="393">
        <v>0</v>
      </c>
      <c r="J55" s="393"/>
      <c r="K55" s="393"/>
      <c r="L55" s="393"/>
    </row>
    <row r="56" spans="1:14">
      <c r="B56" s="323" t="s">
        <v>528</v>
      </c>
      <c r="C56" s="323" t="s">
        <v>369</v>
      </c>
      <c r="D56" s="393">
        <v>0</v>
      </c>
      <c r="E56" s="393">
        <v>0</v>
      </c>
      <c r="F56" s="393">
        <v>0</v>
      </c>
      <c r="G56" s="393">
        <v>0</v>
      </c>
      <c r="H56" s="393">
        <v>0</v>
      </c>
      <c r="I56" s="393">
        <v>0</v>
      </c>
      <c r="J56" s="393"/>
      <c r="K56" s="393"/>
      <c r="L56" s="393"/>
    </row>
    <row r="57" spans="1:14">
      <c r="A57" s="323" t="s">
        <v>446</v>
      </c>
      <c r="B57" s="323" t="s">
        <v>441</v>
      </c>
      <c r="C57" s="323" t="s">
        <v>369</v>
      </c>
      <c r="D57" s="393">
        <v>0</v>
      </c>
      <c r="E57" s="393">
        <v>0</v>
      </c>
      <c r="F57" s="393">
        <v>0</v>
      </c>
      <c r="G57" s="393">
        <v>0</v>
      </c>
      <c r="H57" s="393">
        <v>0</v>
      </c>
      <c r="I57" s="393">
        <v>0</v>
      </c>
      <c r="J57" s="393"/>
      <c r="K57" s="393"/>
      <c r="L57" s="393"/>
    </row>
    <row r="58" spans="1:14">
      <c r="A58" s="323" t="s">
        <v>775</v>
      </c>
      <c r="B58" s="323" t="s">
        <v>783</v>
      </c>
      <c r="C58" s="323" t="s">
        <v>369</v>
      </c>
      <c r="D58" s="393">
        <v>0</v>
      </c>
      <c r="E58" s="393">
        <v>200</v>
      </c>
      <c r="F58" s="393">
        <v>0</v>
      </c>
      <c r="G58" s="393">
        <v>100</v>
      </c>
      <c r="H58" s="393">
        <v>0</v>
      </c>
      <c r="I58" s="393">
        <v>0</v>
      </c>
      <c r="J58" s="393"/>
      <c r="K58" s="393"/>
      <c r="L58" s="393"/>
    </row>
    <row r="59" spans="1:14">
      <c r="A59" s="323" t="s">
        <v>295</v>
      </c>
      <c r="B59" s="323" t="s">
        <v>297</v>
      </c>
      <c r="C59" s="323" t="s">
        <v>360</v>
      </c>
      <c r="D59" s="393">
        <v>0</v>
      </c>
      <c r="E59" s="393">
        <v>0</v>
      </c>
      <c r="F59" s="393">
        <v>0</v>
      </c>
      <c r="G59" s="393">
        <v>0</v>
      </c>
      <c r="H59" s="393">
        <v>0</v>
      </c>
      <c r="I59" s="393">
        <v>0</v>
      </c>
      <c r="J59" s="393"/>
      <c r="K59" s="393"/>
      <c r="L59" s="393"/>
    </row>
    <row r="60" spans="1:14">
      <c r="A60" s="323" t="s">
        <v>910</v>
      </c>
      <c r="B60" s="323" t="s">
        <v>622</v>
      </c>
      <c r="C60" s="323" t="s">
        <v>360</v>
      </c>
      <c r="D60" s="393"/>
      <c r="E60" s="393"/>
      <c r="F60" s="393"/>
      <c r="G60" s="393">
        <v>700</v>
      </c>
      <c r="H60" s="393">
        <v>700</v>
      </c>
      <c r="I60" s="393">
        <v>700</v>
      </c>
      <c r="J60" s="393">
        <v>700</v>
      </c>
      <c r="K60" s="393">
        <v>900</v>
      </c>
      <c r="L60" s="393">
        <v>900</v>
      </c>
    </row>
    <row r="61" spans="1:14">
      <c r="B61" s="323" t="s">
        <v>622</v>
      </c>
      <c r="C61" s="323" t="s">
        <v>369</v>
      </c>
      <c r="D61" s="393"/>
      <c r="E61" s="393"/>
      <c r="F61" s="393"/>
      <c r="G61" s="393">
        <v>500</v>
      </c>
      <c r="H61" s="393">
        <v>500</v>
      </c>
      <c r="I61" s="393">
        <v>500</v>
      </c>
      <c r="J61" s="393">
        <v>700</v>
      </c>
      <c r="K61" s="393">
        <v>700</v>
      </c>
      <c r="L61" s="393">
        <v>700</v>
      </c>
    </row>
    <row r="62" spans="1:14">
      <c r="A62" s="323" t="s">
        <v>989</v>
      </c>
      <c r="B62" s="323" t="s">
        <v>988</v>
      </c>
      <c r="C62" s="323" t="s">
        <v>369</v>
      </c>
      <c r="D62" s="393"/>
      <c r="E62" s="393"/>
      <c r="F62" s="393"/>
      <c r="G62" s="393"/>
      <c r="H62" s="393"/>
      <c r="I62" s="393"/>
      <c r="J62" s="393"/>
      <c r="K62" s="393">
        <v>150</v>
      </c>
      <c r="L62" s="393">
        <v>150</v>
      </c>
    </row>
    <row r="63" spans="1:14">
      <c r="B63" s="323" t="s">
        <v>988</v>
      </c>
      <c r="C63" s="323" t="s">
        <v>535</v>
      </c>
      <c r="D63" s="393"/>
      <c r="E63" s="393"/>
      <c r="F63" s="393"/>
      <c r="G63" s="393"/>
      <c r="H63" s="393"/>
      <c r="I63" s="393"/>
      <c r="J63" s="393"/>
      <c r="K63" s="393">
        <v>20</v>
      </c>
      <c r="L63" s="393">
        <v>20</v>
      </c>
    </row>
    <row r="64" spans="1:14">
      <c r="A64" s="323" t="s">
        <v>990</v>
      </c>
      <c r="B64" s="323" t="s">
        <v>781</v>
      </c>
      <c r="C64" s="323" t="s">
        <v>369</v>
      </c>
      <c r="D64" s="393"/>
      <c r="E64" s="393"/>
      <c r="F64" s="393"/>
      <c r="G64" s="393"/>
      <c r="H64" s="393"/>
      <c r="I64" s="393"/>
      <c r="J64" s="393">
        <v>650</v>
      </c>
      <c r="K64" s="393">
        <v>750</v>
      </c>
      <c r="L64" s="393">
        <v>750</v>
      </c>
    </row>
    <row r="65" spans="1:12">
      <c r="A65" s="323" t="s">
        <v>1016</v>
      </c>
      <c r="B65" s="323" t="s">
        <v>929</v>
      </c>
      <c r="C65" s="323" t="s">
        <v>369</v>
      </c>
      <c r="D65" s="393"/>
      <c r="E65" s="393"/>
      <c r="F65" s="393"/>
      <c r="G65" s="393">
        <v>300</v>
      </c>
      <c r="H65" s="393">
        <v>300</v>
      </c>
      <c r="I65" s="393">
        <v>300</v>
      </c>
      <c r="J65" s="393">
        <v>400</v>
      </c>
      <c r="K65" s="393">
        <v>400</v>
      </c>
      <c r="L65" s="393">
        <v>400</v>
      </c>
    </row>
    <row r="66" spans="1:12">
      <c r="A66" s="323" t="s">
        <v>1018</v>
      </c>
      <c r="B66" s="323" t="s">
        <v>1001</v>
      </c>
      <c r="C66" s="323" t="s">
        <v>369</v>
      </c>
      <c r="D66" s="393"/>
      <c r="E66" s="393"/>
      <c r="F66" s="393"/>
      <c r="G66" s="393"/>
      <c r="H66" s="393"/>
      <c r="I66" s="393"/>
      <c r="J66" s="393">
        <v>200</v>
      </c>
      <c r="K66" s="393">
        <v>100</v>
      </c>
      <c r="L66" s="393">
        <v>100</v>
      </c>
    </row>
    <row r="67" spans="1:12">
      <c r="A67" s="323" t="s">
        <v>1003</v>
      </c>
      <c r="B67" s="323" t="s">
        <v>1008</v>
      </c>
      <c r="C67" s="323" t="s">
        <v>535</v>
      </c>
      <c r="D67" s="393"/>
      <c r="E67" s="393"/>
      <c r="F67" s="393"/>
      <c r="G67" s="393"/>
      <c r="H67" s="393"/>
      <c r="I67" s="393"/>
      <c r="J67" s="393">
        <v>50</v>
      </c>
      <c r="K67" s="393">
        <v>50</v>
      </c>
      <c r="L67" s="393">
        <v>50</v>
      </c>
    </row>
    <row r="68" spans="1:12">
      <c r="B68" s="323" t="s">
        <v>1008</v>
      </c>
      <c r="C68" s="323" t="s">
        <v>1009</v>
      </c>
      <c r="D68" s="393"/>
      <c r="E68" s="393"/>
      <c r="F68" s="393"/>
      <c r="G68" s="393"/>
      <c r="H68" s="393"/>
      <c r="I68" s="393"/>
      <c r="J68" s="393"/>
      <c r="K68" s="393"/>
      <c r="L68" s="393"/>
    </row>
    <row r="69" spans="1:12">
      <c r="A69" s="323" t="s">
        <v>316</v>
      </c>
      <c r="D69" s="393">
        <v>44000</v>
      </c>
      <c r="E69" s="393">
        <v>46200</v>
      </c>
      <c r="F69" s="393">
        <v>41200</v>
      </c>
      <c r="G69" s="393">
        <v>46100</v>
      </c>
      <c r="H69" s="393">
        <v>47460</v>
      </c>
      <c r="I69" s="393">
        <v>47260</v>
      </c>
      <c r="J69" s="393">
        <v>58000</v>
      </c>
      <c r="K69" s="393">
        <v>52240</v>
      </c>
      <c r="L69" s="393">
        <v>50240</v>
      </c>
    </row>
  </sheetData>
  <phoneticPr fontId="7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A1:AD116"/>
  <sheetViews>
    <sheetView topLeftCell="D1" zoomScale="55" zoomScaleNormal="55" workbookViewId="0">
      <selection activeCell="M117" sqref="M117"/>
    </sheetView>
  </sheetViews>
  <sheetFormatPr defaultColWidth="8.88671875" defaultRowHeight="15.6" outlineLevelCol="1"/>
  <cols>
    <col min="1" max="1" width="11.6640625" style="342" customWidth="1"/>
    <col min="2" max="2" width="11" style="342" bestFit="1" customWidth="1"/>
    <col min="3" max="3" width="8.6640625" style="342" customWidth="1"/>
    <col min="4" max="4" width="18.88671875" style="342" bestFit="1" customWidth="1"/>
    <col min="5" max="5" width="21.44140625" style="343" customWidth="1" outlineLevel="1"/>
    <col min="6" max="6" width="24" style="343" customWidth="1" outlineLevel="1"/>
    <col min="7" max="7" width="23" style="343" customWidth="1" outlineLevel="1"/>
    <col min="8" max="8" width="23.44140625" style="343" customWidth="1" outlineLevel="1"/>
    <col min="9" max="9" width="13.88671875" style="342" customWidth="1"/>
    <col min="10" max="10" width="19.21875" style="342" customWidth="1"/>
    <col min="11" max="11" width="20.44140625" style="342" bestFit="1" customWidth="1"/>
    <col min="12" max="12" width="11.44140625" style="342" bestFit="1" customWidth="1"/>
    <col min="13" max="13" width="13.109375" style="342" bestFit="1" customWidth="1"/>
    <col min="14" max="14" width="19.44140625" style="342" customWidth="1"/>
    <col min="15" max="15" width="21.5546875" style="342" customWidth="1"/>
    <col min="16" max="16" width="13.109375" style="342" customWidth="1"/>
    <col min="17" max="25" width="9.6640625" style="342" customWidth="1"/>
    <col min="26" max="26" width="0" style="324" hidden="1" customWidth="1"/>
    <col min="27" max="28" width="0" style="318" hidden="1" customWidth="1"/>
    <col min="29" max="29" width="18.109375" style="389" bestFit="1" customWidth="1"/>
    <col min="30" max="30" width="20.44140625" style="448" bestFit="1" customWidth="1"/>
    <col min="31" max="16384" width="8.88671875" style="318"/>
  </cols>
  <sheetData>
    <row r="1" spans="2:30" ht="16.2" thickBot="1">
      <c r="Q1" s="344"/>
    </row>
    <row r="2" spans="2:30" ht="16.2" thickBot="1">
      <c r="B2" s="345"/>
      <c r="C2" s="345"/>
      <c r="D2" s="345"/>
      <c r="E2" s="346"/>
      <c r="F2" s="346"/>
      <c r="G2" s="346"/>
      <c r="H2" s="346"/>
      <c r="I2" s="345"/>
      <c r="J2" s="345"/>
      <c r="K2" s="345"/>
      <c r="L2" s="345"/>
      <c r="M2" s="345"/>
      <c r="N2" s="345"/>
      <c r="O2" s="345"/>
      <c r="P2" s="345"/>
      <c r="Q2" s="534" t="s">
        <v>324</v>
      </c>
      <c r="R2" s="535"/>
      <c r="S2" s="535"/>
      <c r="T2" s="535"/>
      <c r="AC2" s="390">
        <v>2023</v>
      </c>
    </row>
    <row r="3" spans="2:30" ht="16.2" thickBot="1">
      <c r="B3" s="449" t="s">
        <v>325</v>
      </c>
      <c r="C3" s="449" t="s">
        <v>326</v>
      </c>
      <c r="D3" s="449" t="s">
        <v>764</v>
      </c>
      <c r="E3" s="449" t="s">
        <v>327</v>
      </c>
      <c r="F3" s="449" t="s">
        <v>328</v>
      </c>
      <c r="G3" s="449" t="s">
        <v>329</v>
      </c>
      <c r="H3" s="449" t="s">
        <v>330</v>
      </c>
      <c r="I3" s="449" t="s">
        <v>331</v>
      </c>
      <c r="J3" s="449" t="s">
        <v>332</v>
      </c>
      <c r="K3" s="449" t="s">
        <v>652</v>
      </c>
      <c r="L3" s="449" t="s">
        <v>308</v>
      </c>
      <c r="M3" s="449" t="s">
        <v>333</v>
      </c>
      <c r="N3" s="449" t="s">
        <v>309</v>
      </c>
      <c r="O3" s="450" t="s">
        <v>334</v>
      </c>
      <c r="P3" s="449" t="s">
        <v>335</v>
      </c>
      <c r="Q3" s="408" t="s">
        <v>1</v>
      </c>
      <c r="R3" s="408" t="s">
        <v>3</v>
      </c>
      <c r="S3" s="408" t="s">
        <v>4</v>
      </c>
      <c r="T3" s="444" t="s">
        <v>5</v>
      </c>
      <c r="U3" s="444" t="s">
        <v>6</v>
      </c>
      <c r="V3" s="444" t="s">
        <v>842</v>
      </c>
      <c r="W3" s="444" t="s">
        <v>1011</v>
      </c>
      <c r="X3" s="444" t="s">
        <v>1012</v>
      </c>
      <c r="Y3" s="444" t="s">
        <v>1013</v>
      </c>
      <c r="Z3" s="408" t="s">
        <v>11</v>
      </c>
      <c r="AA3" s="408" t="s">
        <v>12</v>
      </c>
      <c r="AB3" s="408" t="s">
        <v>210</v>
      </c>
      <c r="AC3" s="392" t="s">
        <v>689</v>
      </c>
      <c r="AD3" s="507" t="s">
        <v>1014</v>
      </c>
    </row>
    <row r="4" spans="2:30" ht="16.2" thickBot="1">
      <c r="B4" s="492" t="s">
        <v>494</v>
      </c>
      <c r="C4" s="459" t="s">
        <v>467</v>
      </c>
      <c r="D4" s="458" t="s">
        <v>134</v>
      </c>
      <c r="E4" s="454" t="s">
        <v>784</v>
      </c>
      <c r="F4" s="454" t="s">
        <v>785</v>
      </c>
      <c r="G4" s="454" t="s">
        <v>786</v>
      </c>
      <c r="H4" s="493" t="s">
        <v>787</v>
      </c>
      <c r="I4" s="494" t="s">
        <v>337</v>
      </c>
      <c r="J4" s="456" t="s">
        <v>338</v>
      </c>
      <c r="K4" s="457" t="s">
        <v>788</v>
      </c>
      <c r="L4" s="456" t="s">
        <v>279</v>
      </c>
      <c r="M4" s="456" t="s">
        <v>339</v>
      </c>
      <c r="N4" s="456" t="s">
        <v>789</v>
      </c>
      <c r="O4" s="456" t="e">
        <v>#N/A</v>
      </c>
      <c r="P4" s="453" t="s">
        <v>336</v>
      </c>
      <c r="Q4" s="407">
        <v>0</v>
      </c>
      <c r="R4" s="406"/>
      <c r="S4" s="406"/>
      <c r="T4" s="407">
        <v>0</v>
      </c>
      <c r="U4" s="407">
        <v>0</v>
      </c>
      <c r="V4" s="407">
        <v>0</v>
      </c>
      <c r="W4" s="407"/>
      <c r="X4" s="407"/>
      <c r="Y4" s="407"/>
      <c r="Z4" s="394"/>
      <c r="AA4" s="394"/>
      <c r="AB4" s="394"/>
      <c r="AC4" s="391">
        <f>SUM(Q4:AB4)</f>
        <v>0</v>
      </c>
      <c r="AD4" s="508">
        <v>44621</v>
      </c>
    </row>
    <row r="5" spans="2:30" ht="16.2" thickBot="1">
      <c r="B5" s="495" t="s">
        <v>505</v>
      </c>
      <c r="C5" s="452" t="s">
        <v>467</v>
      </c>
      <c r="D5" s="496" t="s">
        <v>243</v>
      </c>
      <c r="E5" s="497" t="s">
        <v>790</v>
      </c>
      <c r="F5" s="497" t="s">
        <v>791</v>
      </c>
      <c r="G5" s="498" t="s">
        <v>792</v>
      </c>
      <c r="H5" s="499" t="s">
        <v>793</v>
      </c>
      <c r="I5" s="494" t="s">
        <v>337</v>
      </c>
      <c r="J5" s="458" t="s">
        <v>340</v>
      </c>
      <c r="K5" s="457" t="s">
        <v>788</v>
      </c>
      <c r="L5" s="456" t="s">
        <v>279</v>
      </c>
      <c r="M5" s="458" t="s">
        <v>339</v>
      </c>
      <c r="N5" s="458" t="s">
        <v>341</v>
      </c>
      <c r="O5" s="456" t="s">
        <v>417</v>
      </c>
      <c r="P5" s="458" t="s">
        <v>343</v>
      </c>
      <c r="Q5" s="407">
        <v>0</v>
      </c>
      <c r="R5" s="511">
        <v>3000</v>
      </c>
      <c r="S5" s="407">
        <v>0</v>
      </c>
      <c r="T5" s="407">
        <v>0</v>
      </c>
      <c r="U5" s="407">
        <v>0</v>
      </c>
      <c r="V5" s="407">
        <v>0</v>
      </c>
      <c r="W5" s="407"/>
      <c r="X5" s="407"/>
      <c r="Y5" s="407"/>
      <c r="Z5" s="397"/>
      <c r="AA5" s="397"/>
      <c r="AB5" s="397"/>
      <c r="AC5" s="391">
        <f t="shared" ref="AC5:AC68" si="0">SUM(Q5:AB5)</f>
        <v>3000</v>
      </c>
      <c r="AD5" s="509" t="s">
        <v>1015</v>
      </c>
    </row>
    <row r="6" spans="2:30" ht="16.2" thickBot="1">
      <c r="B6" s="495" t="s">
        <v>505</v>
      </c>
      <c r="C6" s="452" t="s">
        <v>928</v>
      </c>
      <c r="D6" s="514" t="s">
        <v>243</v>
      </c>
      <c r="E6" s="497"/>
      <c r="F6" s="497"/>
      <c r="G6" s="515" t="s">
        <v>1067</v>
      </c>
      <c r="H6" s="515" t="s">
        <v>1068</v>
      </c>
      <c r="I6" s="494" t="s">
        <v>337</v>
      </c>
      <c r="J6" s="458" t="s">
        <v>340</v>
      </c>
      <c r="K6" s="457" t="s">
        <v>264</v>
      </c>
      <c r="L6" s="456" t="s">
        <v>279</v>
      </c>
      <c r="M6" s="458" t="s">
        <v>339</v>
      </c>
      <c r="N6" s="458" t="s">
        <v>341</v>
      </c>
      <c r="O6" s="456" t="s">
        <v>417</v>
      </c>
      <c r="P6" s="458" t="s">
        <v>1069</v>
      </c>
      <c r="Q6" s="407"/>
      <c r="R6" s="398"/>
      <c r="S6" s="407"/>
      <c r="T6" s="407"/>
      <c r="U6" s="407"/>
      <c r="V6" s="407"/>
      <c r="W6" s="447">
        <f>2000</f>
        <v>2000</v>
      </c>
      <c r="X6" s="447">
        <v>2000</v>
      </c>
      <c r="Y6" s="447">
        <v>1000</v>
      </c>
      <c r="Z6" s="400"/>
      <c r="AA6" s="400"/>
      <c r="AB6" s="400"/>
      <c r="AC6" s="391">
        <f t="shared" si="0"/>
        <v>5000</v>
      </c>
      <c r="AD6" s="509" t="s">
        <v>1081</v>
      </c>
    </row>
    <row r="7" spans="2:30" ht="16.2" thickBot="1">
      <c r="B7" s="495" t="s">
        <v>505</v>
      </c>
      <c r="C7" s="452" t="s">
        <v>467</v>
      </c>
      <c r="D7" s="425" t="s">
        <v>243</v>
      </c>
      <c r="E7" s="425" t="s">
        <v>980</v>
      </c>
      <c r="F7" s="425" t="s">
        <v>981</v>
      </c>
      <c r="G7" s="425" t="s">
        <v>342</v>
      </c>
      <c r="H7" s="425" t="s">
        <v>342</v>
      </c>
      <c r="I7" s="455" t="s">
        <v>337</v>
      </c>
      <c r="J7" s="412" t="s">
        <v>340</v>
      </c>
      <c r="K7" s="457" t="s">
        <v>264</v>
      </c>
      <c r="L7" s="412" t="s">
        <v>279</v>
      </c>
      <c r="M7" s="412" t="s">
        <v>339</v>
      </c>
      <c r="N7" s="412" t="s">
        <v>341</v>
      </c>
      <c r="O7" s="456" t="s">
        <v>417</v>
      </c>
      <c r="P7" s="414" t="s">
        <v>514</v>
      </c>
      <c r="Q7" s="445">
        <v>4000</v>
      </c>
      <c r="R7" s="445">
        <v>2000</v>
      </c>
      <c r="S7" s="407"/>
      <c r="T7" s="407"/>
      <c r="U7" s="407"/>
      <c r="V7" s="407"/>
      <c r="W7" s="407"/>
      <c r="X7" s="407"/>
      <c r="Y7" s="407"/>
      <c r="Z7" s="401"/>
      <c r="AA7" s="401"/>
      <c r="AB7" s="401"/>
      <c r="AC7" s="391">
        <f t="shared" si="0"/>
        <v>6000</v>
      </c>
      <c r="AD7" s="509" t="s">
        <v>1015</v>
      </c>
    </row>
    <row r="8" spans="2:30" ht="16.2" thickBot="1">
      <c r="B8" s="456" t="s">
        <v>505</v>
      </c>
      <c r="C8" s="452" t="s">
        <v>467</v>
      </c>
      <c r="D8" s="456" t="s">
        <v>243</v>
      </c>
      <c r="E8" s="412" t="s">
        <v>853</v>
      </c>
      <c r="F8" s="412" t="s">
        <v>854</v>
      </c>
      <c r="G8" s="425" t="s">
        <v>342</v>
      </c>
      <c r="H8" s="425" t="s">
        <v>342</v>
      </c>
      <c r="I8" s="455" t="s">
        <v>337</v>
      </c>
      <c r="J8" s="412" t="s">
        <v>340</v>
      </c>
      <c r="K8" s="457" t="s">
        <v>264</v>
      </c>
      <c r="L8" s="412" t="s">
        <v>279</v>
      </c>
      <c r="M8" s="412" t="s">
        <v>339</v>
      </c>
      <c r="N8" s="412" t="s">
        <v>341</v>
      </c>
      <c r="O8" s="456" t="s">
        <v>417</v>
      </c>
      <c r="P8" s="412" t="s">
        <v>336</v>
      </c>
      <c r="Q8" s="398"/>
      <c r="R8" s="398"/>
      <c r="S8" s="407"/>
      <c r="T8" s="445">
        <v>0</v>
      </c>
      <c r="U8" s="445">
        <v>0</v>
      </c>
      <c r="V8" s="445">
        <v>0</v>
      </c>
      <c r="W8" s="517">
        <f>2000-2000</f>
        <v>0</v>
      </c>
      <c r="X8" s="517">
        <f>2000-2000</f>
        <v>0</v>
      </c>
      <c r="Y8" s="517">
        <f>1000-1000</f>
        <v>0</v>
      </c>
      <c r="Z8" s="402"/>
      <c r="AA8" s="402"/>
      <c r="AB8" s="402"/>
      <c r="AC8" s="391">
        <f t="shared" si="0"/>
        <v>0</v>
      </c>
      <c r="AD8" s="509" t="s">
        <v>1015</v>
      </c>
    </row>
    <row r="9" spans="2:30" ht="16.2" thickBot="1">
      <c r="B9" s="460" t="s">
        <v>505</v>
      </c>
      <c r="C9" s="461" t="s">
        <v>467</v>
      </c>
      <c r="D9" s="413" t="s">
        <v>243</v>
      </c>
      <c r="E9" s="462" t="s">
        <v>424</v>
      </c>
      <c r="F9" s="462" t="s">
        <v>425</v>
      </c>
      <c r="G9" s="463" t="s">
        <v>583</v>
      </c>
      <c r="H9" s="463" t="s">
        <v>584</v>
      </c>
      <c r="I9" s="455" t="s">
        <v>337</v>
      </c>
      <c r="J9" s="413" t="s">
        <v>340</v>
      </c>
      <c r="K9" s="457" t="s">
        <v>264</v>
      </c>
      <c r="L9" s="456" t="s">
        <v>279</v>
      </c>
      <c r="M9" s="413" t="s">
        <v>339</v>
      </c>
      <c r="N9" s="413" t="s">
        <v>360</v>
      </c>
      <c r="O9" s="456" t="s">
        <v>417</v>
      </c>
      <c r="P9" s="413" t="s">
        <v>361</v>
      </c>
      <c r="Q9" s="407">
        <v>0</v>
      </c>
      <c r="R9" s="407">
        <v>0</v>
      </c>
      <c r="S9" s="407">
        <v>0</v>
      </c>
      <c r="T9" s="407">
        <v>0</v>
      </c>
      <c r="U9" s="407">
        <v>0</v>
      </c>
      <c r="V9" s="407">
        <v>0</v>
      </c>
      <c r="W9" s="407"/>
      <c r="X9" s="407"/>
      <c r="Y9" s="407"/>
      <c r="Z9" s="402"/>
      <c r="AA9" s="402"/>
      <c r="AB9" s="402"/>
      <c r="AC9" s="391">
        <f t="shared" si="0"/>
        <v>0</v>
      </c>
      <c r="AD9" s="508">
        <v>44896</v>
      </c>
    </row>
    <row r="10" spans="2:30" ht="16.2" thickBot="1">
      <c r="B10" s="456" t="s">
        <v>505</v>
      </c>
      <c r="C10" s="452" t="s">
        <v>467</v>
      </c>
      <c r="D10" s="412" t="s">
        <v>243</v>
      </c>
      <c r="E10" s="453" t="s">
        <v>346</v>
      </c>
      <c r="F10" s="453" t="s">
        <v>346</v>
      </c>
      <c r="G10" s="464" t="s">
        <v>585</v>
      </c>
      <c r="H10" s="464" t="s">
        <v>586</v>
      </c>
      <c r="I10" s="455" t="s">
        <v>337</v>
      </c>
      <c r="J10" s="412" t="s">
        <v>340</v>
      </c>
      <c r="K10" s="457" t="s">
        <v>264</v>
      </c>
      <c r="L10" s="456" t="s">
        <v>279</v>
      </c>
      <c r="M10" s="412" t="s">
        <v>339</v>
      </c>
      <c r="N10" s="412" t="s">
        <v>360</v>
      </c>
      <c r="O10" s="456" t="s">
        <v>417</v>
      </c>
      <c r="P10" s="414" t="s">
        <v>514</v>
      </c>
      <c r="Q10" s="407">
        <v>0</v>
      </c>
      <c r="R10" s="407">
        <v>100</v>
      </c>
      <c r="S10" s="407">
        <v>0</v>
      </c>
      <c r="T10" s="407">
        <v>0</v>
      </c>
      <c r="U10" s="407">
        <v>0</v>
      </c>
      <c r="V10" s="407">
        <v>0</v>
      </c>
      <c r="W10" s="407"/>
      <c r="X10" s="407"/>
      <c r="Y10" s="407"/>
      <c r="Z10" s="402"/>
      <c r="AA10" s="402"/>
      <c r="AB10" s="402"/>
      <c r="AC10" s="391">
        <f t="shared" si="0"/>
        <v>100</v>
      </c>
      <c r="AD10" s="508">
        <v>44958</v>
      </c>
    </row>
    <row r="11" spans="2:30" ht="16.2" thickBot="1">
      <c r="B11" s="451" t="s">
        <v>494</v>
      </c>
      <c r="C11" s="452" t="s">
        <v>467</v>
      </c>
      <c r="D11" s="456" t="s">
        <v>416</v>
      </c>
      <c r="E11" s="453" t="s">
        <v>344</v>
      </c>
      <c r="F11" s="453" t="s">
        <v>457</v>
      </c>
      <c r="G11" s="453" t="s">
        <v>730</v>
      </c>
      <c r="H11" s="453" t="s">
        <v>468</v>
      </c>
      <c r="I11" s="465" t="s">
        <v>753</v>
      </c>
      <c r="J11" s="456" t="s">
        <v>345</v>
      </c>
      <c r="K11" s="457" t="s">
        <v>264</v>
      </c>
      <c r="L11" s="456" t="s">
        <v>279</v>
      </c>
      <c r="M11" s="456" t="s">
        <v>339</v>
      </c>
      <c r="N11" s="456" t="s">
        <v>341</v>
      </c>
      <c r="O11" s="456" t="s">
        <v>417</v>
      </c>
      <c r="P11" s="456" t="s">
        <v>343</v>
      </c>
      <c r="Q11" s="407">
        <v>0</v>
      </c>
      <c r="R11" s="407">
        <v>0</v>
      </c>
      <c r="S11" s="407">
        <v>0</v>
      </c>
      <c r="T11" s="407">
        <v>0</v>
      </c>
      <c r="U11" s="407">
        <v>0</v>
      </c>
      <c r="V11" s="407">
        <v>0</v>
      </c>
      <c r="W11" s="407"/>
      <c r="X11" s="407"/>
      <c r="Y11" s="407"/>
      <c r="Z11" s="402"/>
      <c r="AA11" s="402"/>
      <c r="AB11" s="402"/>
      <c r="AC11" s="391">
        <f t="shared" si="0"/>
        <v>0</v>
      </c>
      <c r="AD11" s="508">
        <v>44805</v>
      </c>
    </row>
    <row r="12" spans="2:30" ht="16.2" thickBot="1">
      <c r="B12" s="451" t="s">
        <v>494</v>
      </c>
      <c r="C12" s="452" t="s">
        <v>467</v>
      </c>
      <c r="D12" s="456" t="s">
        <v>416</v>
      </c>
      <c r="E12" s="453" t="s">
        <v>342</v>
      </c>
      <c r="F12" s="453" t="s">
        <v>342</v>
      </c>
      <c r="G12" s="453" t="s">
        <v>594</v>
      </c>
      <c r="H12" s="453" t="s">
        <v>595</v>
      </c>
      <c r="I12" s="465" t="s">
        <v>753</v>
      </c>
      <c r="J12" s="412" t="s">
        <v>345</v>
      </c>
      <c r="K12" s="457" t="s">
        <v>264</v>
      </c>
      <c r="L12" s="412" t="s">
        <v>279</v>
      </c>
      <c r="M12" s="412" t="s">
        <v>339</v>
      </c>
      <c r="N12" s="412" t="s">
        <v>341</v>
      </c>
      <c r="O12" s="456" t="s">
        <v>417</v>
      </c>
      <c r="P12" s="414" t="s">
        <v>596</v>
      </c>
      <c r="Q12" s="407">
        <v>0</v>
      </c>
      <c r="R12" s="407">
        <v>0</v>
      </c>
      <c r="S12" s="407">
        <v>0</v>
      </c>
      <c r="T12" s="407">
        <v>0</v>
      </c>
      <c r="U12" s="407">
        <v>0</v>
      </c>
      <c r="V12" s="407">
        <v>0</v>
      </c>
      <c r="W12" s="407"/>
      <c r="X12" s="407"/>
      <c r="Y12" s="407"/>
      <c r="Z12" s="402"/>
      <c r="AA12" s="402"/>
      <c r="AB12" s="402"/>
      <c r="AC12" s="391">
        <f t="shared" si="0"/>
        <v>0</v>
      </c>
      <c r="AD12" s="508">
        <v>44774</v>
      </c>
    </row>
    <row r="13" spans="2:30" ht="16.2" thickBot="1">
      <c r="B13" s="451" t="s">
        <v>494</v>
      </c>
      <c r="C13" s="452" t="s">
        <v>467</v>
      </c>
      <c r="D13" s="456" t="s">
        <v>416</v>
      </c>
      <c r="E13" s="453" t="s">
        <v>398</v>
      </c>
      <c r="F13" s="453" t="s">
        <v>399</v>
      </c>
      <c r="G13" s="453" t="s">
        <v>469</v>
      </c>
      <c r="H13" s="453" t="s">
        <v>470</v>
      </c>
      <c r="I13" s="466" t="s">
        <v>754</v>
      </c>
      <c r="J13" s="456" t="s">
        <v>345</v>
      </c>
      <c r="K13" s="457" t="s">
        <v>264</v>
      </c>
      <c r="L13" s="456" t="s">
        <v>279</v>
      </c>
      <c r="M13" s="456" t="s">
        <v>339</v>
      </c>
      <c r="N13" s="456" t="s">
        <v>341</v>
      </c>
      <c r="O13" s="456" t="s">
        <v>417</v>
      </c>
      <c r="P13" s="456" t="s">
        <v>343</v>
      </c>
      <c r="Q13" s="407">
        <v>0</v>
      </c>
      <c r="R13" s="407">
        <v>0</v>
      </c>
      <c r="S13" s="407">
        <v>0</v>
      </c>
      <c r="T13" s="407">
        <v>0</v>
      </c>
      <c r="U13" s="407">
        <v>0</v>
      </c>
      <c r="V13" s="407">
        <v>0</v>
      </c>
      <c r="W13" s="407"/>
      <c r="X13" s="407"/>
      <c r="Y13" s="407"/>
      <c r="Z13" s="402"/>
      <c r="AA13" s="402"/>
      <c r="AB13" s="402"/>
      <c r="AC13" s="391">
        <f t="shared" si="0"/>
        <v>0</v>
      </c>
      <c r="AD13" s="508">
        <v>44774</v>
      </c>
    </row>
    <row r="14" spans="2:30" ht="16.2" thickBot="1">
      <c r="B14" s="451" t="s">
        <v>494</v>
      </c>
      <c r="C14" s="452" t="s">
        <v>467</v>
      </c>
      <c r="D14" s="456" t="s">
        <v>416</v>
      </c>
      <c r="E14" s="453" t="s">
        <v>347</v>
      </c>
      <c r="F14" s="453" t="s">
        <v>458</v>
      </c>
      <c r="G14" s="453" t="s">
        <v>471</v>
      </c>
      <c r="H14" s="453" t="s">
        <v>472</v>
      </c>
      <c r="I14" s="467" t="s">
        <v>755</v>
      </c>
      <c r="J14" s="456" t="s">
        <v>345</v>
      </c>
      <c r="K14" s="457" t="s">
        <v>264</v>
      </c>
      <c r="L14" s="456" t="s">
        <v>279</v>
      </c>
      <c r="M14" s="456" t="s">
        <v>339</v>
      </c>
      <c r="N14" s="456" t="s">
        <v>341</v>
      </c>
      <c r="O14" s="456" t="s">
        <v>417</v>
      </c>
      <c r="P14" s="456" t="s">
        <v>343</v>
      </c>
      <c r="Q14" s="407">
        <v>0</v>
      </c>
      <c r="R14" s="407">
        <v>0</v>
      </c>
      <c r="S14" s="407">
        <v>0</v>
      </c>
      <c r="T14" s="407">
        <v>0</v>
      </c>
      <c r="U14" s="407">
        <v>0</v>
      </c>
      <c r="V14" s="407">
        <v>0</v>
      </c>
      <c r="W14" s="407"/>
      <c r="X14" s="407"/>
      <c r="Y14" s="407"/>
      <c r="Z14" s="402"/>
      <c r="AA14" s="402"/>
      <c r="AB14" s="402"/>
      <c r="AC14" s="391">
        <f t="shared" si="0"/>
        <v>0</v>
      </c>
      <c r="AD14" s="508">
        <v>44896</v>
      </c>
    </row>
    <row r="15" spans="2:30" ht="16.2" thickBot="1">
      <c r="B15" s="451" t="s">
        <v>494</v>
      </c>
      <c r="C15" s="452" t="s">
        <v>467</v>
      </c>
      <c r="D15" s="456" t="s">
        <v>416</v>
      </c>
      <c r="E15" s="453" t="s">
        <v>348</v>
      </c>
      <c r="F15" s="453" t="s">
        <v>459</v>
      </c>
      <c r="G15" s="453" t="s">
        <v>473</v>
      </c>
      <c r="H15" s="453" t="s">
        <v>474</v>
      </c>
      <c r="I15" s="468" t="s">
        <v>756</v>
      </c>
      <c r="J15" s="456" t="s">
        <v>345</v>
      </c>
      <c r="K15" s="457" t="s">
        <v>264</v>
      </c>
      <c r="L15" s="456" t="s">
        <v>279</v>
      </c>
      <c r="M15" s="456" t="s">
        <v>339</v>
      </c>
      <c r="N15" s="456" t="s">
        <v>341</v>
      </c>
      <c r="O15" s="456" t="s">
        <v>417</v>
      </c>
      <c r="P15" s="456" t="s">
        <v>343</v>
      </c>
      <c r="Q15" s="407">
        <v>0</v>
      </c>
      <c r="R15" s="407">
        <v>0</v>
      </c>
      <c r="S15" s="407">
        <v>0</v>
      </c>
      <c r="T15" s="407">
        <v>0</v>
      </c>
      <c r="U15" s="407">
        <v>0</v>
      </c>
      <c r="V15" s="407">
        <v>0</v>
      </c>
      <c r="W15" s="407"/>
      <c r="X15" s="407"/>
      <c r="Y15" s="407"/>
      <c r="Z15" s="402"/>
      <c r="AA15" s="402"/>
      <c r="AB15" s="402"/>
      <c r="AC15" s="391">
        <f t="shared" si="0"/>
        <v>0</v>
      </c>
      <c r="AD15" s="508">
        <v>44774</v>
      </c>
    </row>
    <row r="16" spans="2:30" ht="16.2" thickBot="1">
      <c r="B16" s="415" t="s">
        <v>506</v>
      </c>
      <c r="C16" s="452" t="s">
        <v>467</v>
      </c>
      <c r="D16" s="456" t="s">
        <v>139</v>
      </c>
      <c r="E16" s="453" t="s">
        <v>350</v>
      </c>
      <c r="F16" s="453" t="s">
        <v>351</v>
      </c>
      <c r="G16" s="453" t="s">
        <v>400</v>
      </c>
      <c r="H16" s="453" t="s">
        <v>475</v>
      </c>
      <c r="I16" s="465" t="s">
        <v>753</v>
      </c>
      <c r="J16" s="456" t="s">
        <v>338</v>
      </c>
      <c r="K16" s="457" t="s">
        <v>264</v>
      </c>
      <c r="L16" s="456" t="s">
        <v>279</v>
      </c>
      <c r="M16" s="456" t="s">
        <v>339</v>
      </c>
      <c r="N16" s="456" t="s">
        <v>349</v>
      </c>
      <c r="O16" s="456" t="s">
        <v>417</v>
      </c>
      <c r="P16" s="456" t="s">
        <v>343</v>
      </c>
      <c r="Q16" s="407">
        <v>0</v>
      </c>
      <c r="R16" s="407">
        <v>300</v>
      </c>
      <c r="S16" s="407">
        <v>0</v>
      </c>
      <c r="T16" s="407">
        <v>0</v>
      </c>
      <c r="U16" s="407">
        <v>0</v>
      </c>
      <c r="V16" s="407">
        <v>0</v>
      </c>
      <c r="W16" s="407"/>
      <c r="X16" s="407"/>
      <c r="Y16" s="407"/>
      <c r="Z16" s="402"/>
      <c r="AA16" s="402"/>
      <c r="AB16" s="402"/>
      <c r="AC16" s="391">
        <f t="shared" si="0"/>
        <v>300</v>
      </c>
      <c r="AD16" s="508">
        <v>44958</v>
      </c>
    </row>
    <row r="17" spans="2:30" ht="16.2" thickBot="1">
      <c r="B17" s="415" t="s">
        <v>506</v>
      </c>
      <c r="C17" s="452" t="s">
        <v>928</v>
      </c>
      <c r="D17" s="456" t="s">
        <v>139</v>
      </c>
      <c r="E17" s="453"/>
      <c r="F17" s="453"/>
      <c r="G17" s="515" t="s">
        <v>1070</v>
      </c>
      <c r="H17" s="515" t="s">
        <v>1071</v>
      </c>
      <c r="I17" s="465" t="s">
        <v>1072</v>
      </c>
      <c r="J17" s="516" t="s">
        <v>338</v>
      </c>
      <c r="K17" s="457" t="s">
        <v>264</v>
      </c>
      <c r="L17" s="516" t="s">
        <v>279</v>
      </c>
      <c r="M17" s="516" t="s">
        <v>339</v>
      </c>
      <c r="N17" s="516" t="s">
        <v>349</v>
      </c>
      <c r="O17" s="456" t="s">
        <v>417</v>
      </c>
      <c r="P17" s="407" t="s">
        <v>1069</v>
      </c>
      <c r="Q17" s="407"/>
      <c r="R17" s="407"/>
      <c r="S17" s="407"/>
      <c r="T17" s="407"/>
      <c r="U17" s="447">
        <v>500</v>
      </c>
      <c r="V17" s="447">
        <v>500</v>
      </c>
      <c r="W17" s="407"/>
      <c r="X17" s="407"/>
      <c r="Y17" s="407"/>
      <c r="Z17" s="402"/>
      <c r="AA17" s="402"/>
      <c r="AB17" s="402"/>
      <c r="AC17" s="391">
        <f t="shared" si="0"/>
        <v>1000</v>
      </c>
      <c r="AD17" s="509" t="s">
        <v>1081</v>
      </c>
    </row>
    <row r="18" spans="2:30" ht="16.2" thickBot="1">
      <c r="B18" s="415" t="s">
        <v>506</v>
      </c>
      <c r="C18" s="452" t="s">
        <v>467</v>
      </c>
      <c r="D18" s="456" t="s">
        <v>139</v>
      </c>
      <c r="E18" s="453" t="s">
        <v>346</v>
      </c>
      <c r="F18" s="453" t="s">
        <v>346</v>
      </c>
      <c r="G18" s="418" t="s">
        <v>856</v>
      </c>
      <c r="H18" s="425" t="s">
        <v>1073</v>
      </c>
      <c r="I18" s="465" t="s">
        <v>753</v>
      </c>
      <c r="J18" s="418" t="s">
        <v>340</v>
      </c>
      <c r="K18" s="457" t="s">
        <v>264</v>
      </c>
      <c r="L18" s="419" t="s">
        <v>279</v>
      </c>
      <c r="M18" s="419" t="s">
        <v>339</v>
      </c>
      <c r="N18" s="419" t="s">
        <v>349</v>
      </c>
      <c r="O18" s="456" t="s">
        <v>417</v>
      </c>
      <c r="P18" s="419" t="s">
        <v>336</v>
      </c>
      <c r="Q18" s="407"/>
      <c r="R18" s="407"/>
      <c r="S18" s="407"/>
      <c r="T18" s="407">
        <v>0</v>
      </c>
      <c r="U18" s="447">
        <f>500-500</f>
        <v>0</v>
      </c>
      <c r="V18" s="447">
        <f>500-500</f>
        <v>0</v>
      </c>
      <c r="W18" s="407"/>
      <c r="X18" s="407"/>
      <c r="Y18" s="407"/>
      <c r="Z18" s="402"/>
      <c r="AA18" s="402"/>
      <c r="AB18" s="402"/>
      <c r="AC18" s="391">
        <f t="shared" si="0"/>
        <v>0</v>
      </c>
      <c r="AD18" s="510" t="s">
        <v>1015</v>
      </c>
    </row>
    <row r="19" spans="2:30" ht="16.2" thickBot="1">
      <c r="B19" s="415" t="s">
        <v>506</v>
      </c>
      <c r="C19" s="452" t="s">
        <v>467</v>
      </c>
      <c r="D19" s="456" t="s">
        <v>139</v>
      </c>
      <c r="E19" s="453" t="s">
        <v>342</v>
      </c>
      <c r="F19" s="453" t="s">
        <v>342</v>
      </c>
      <c r="G19" s="453" t="s">
        <v>597</v>
      </c>
      <c r="H19" s="453" t="s">
        <v>598</v>
      </c>
      <c r="I19" s="465" t="s">
        <v>753</v>
      </c>
      <c r="J19" s="412" t="s">
        <v>338</v>
      </c>
      <c r="K19" s="457" t="s">
        <v>264</v>
      </c>
      <c r="L19" s="412" t="s">
        <v>279</v>
      </c>
      <c r="M19" s="412" t="s">
        <v>339</v>
      </c>
      <c r="N19" s="412" t="s">
        <v>349</v>
      </c>
      <c r="O19" s="456" t="s">
        <v>417</v>
      </c>
      <c r="P19" s="414" t="s">
        <v>596</v>
      </c>
      <c r="Q19" s="407">
        <v>0</v>
      </c>
      <c r="R19" s="407">
        <v>300</v>
      </c>
      <c r="S19" s="407">
        <v>0</v>
      </c>
      <c r="T19" s="407">
        <v>0</v>
      </c>
      <c r="U19" s="407">
        <v>0</v>
      </c>
      <c r="V19" s="407">
        <v>0</v>
      </c>
      <c r="W19" s="407"/>
      <c r="X19" s="407"/>
      <c r="Y19" s="407"/>
      <c r="Z19" s="402"/>
      <c r="AA19" s="402"/>
      <c r="AB19" s="402"/>
      <c r="AC19" s="391">
        <f t="shared" si="0"/>
        <v>300</v>
      </c>
      <c r="AD19" s="508">
        <v>44958</v>
      </c>
    </row>
    <row r="20" spans="2:30" ht="16.2" thickBot="1">
      <c r="B20" s="415" t="s">
        <v>506</v>
      </c>
      <c r="C20" s="452" t="s">
        <v>467</v>
      </c>
      <c r="D20" s="456" t="s">
        <v>139</v>
      </c>
      <c r="E20" s="453" t="s">
        <v>352</v>
      </c>
      <c r="F20" s="453" t="s">
        <v>353</v>
      </c>
      <c r="G20" s="453" t="s">
        <v>401</v>
      </c>
      <c r="H20" s="453" t="s">
        <v>402</v>
      </c>
      <c r="I20" s="466" t="s">
        <v>754</v>
      </c>
      <c r="J20" s="456" t="s">
        <v>338</v>
      </c>
      <c r="K20" s="457" t="s">
        <v>264</v>
      </c>
      <c r="L20" s="456" t="s">
        <v>279</v>
      </c>
      <c r="M20" s="456" t="s">
        <v>339</v>
      </c>
      <c r="N20" s="456" t="s">
        <v>923</v>
      </c>
      <c r="O20" s="456" t="s">
        <v>417</v>
      </c>
      <c r="P20" s="456" t="s">
        <v>343</v>
      </c>
      <c r="Q20" s="407">
        <v>0</v>
      </c>
      <c r="R20" s="407">
        <v>0</v>
      </c>
      <c r="S20" s="407">
        <v>0</v>
      </c>
      <c r="T20" s="407">
        <v>0</v>
      </c>
      <c r="U20" s="407">
        <v>0</v>
      </c>
      <c r="V20" s="407">
        <v>0</v>
      </c>
      <c r="W20" s="407"/>
      <c r="X20" s="407"/>
      <c r="Y20" s="407"/>
      <c r="Z20" s="401"/>
      <c r="AA20" s="401"/>
      <c r="AB20" s="401"/>
      <c r="AC20" s="391">
        <f t="shared" si="0"/>
        <v>0</v>
      </c>
      <c r="AD20" s="508">
        <v>44805</v>
      </c>
    </row>
    <row r="21" spans="2:30" ht="16.2" thickBot="1">
      <c r="B21" s="415" t="s">
        <v>506</v>
      </c>
      <c r="C21" s="452" t="s">
        <v>467</v>
      </c>
      <c r="D21" s="456" t="s">
        <v>139</v>
      </c>
      <c r="E21" s="453" t="s">
        <v>354</v>
      </c>
      <c r="F21" s="453" t="s">
        <v>355</v>
      </c>
      <c r="G21" s="453" t="s">
        <v>403</v>
      </c>
      <c r="H21" s="453" t="s">
        <v>476</v>
      </c>
      <c r="I21" s="467" t="s">
        <v>755</v>
      </c>
      <c r="J21" s="456" t="s">
        <v>338</v>
      </c>
      <c r="K21" s="457" t="s">
        <v>264</v>
      </c>
      <c r="L21" s="456" t="s">
        <v>279</v>
      </c>
      <c r="M21" s="456" t="s">
        <v>339</v>
      </c>
      <c r="N21" s="456" t="s">
        <v>349</v>
      </c>
      <c r="O21" s="456" t="s">
        <v>417</v>
      </c>
      <c r="P21" s="456" t="s">
        <v>343</v>
      </c>
      <c r="Q21" s="407">
        <v>200</v>
      </c>
      <c r="R21" s="407">
        <v>600</v>
      </c>
      <c r="S21" s="407">
        <v>0</v>
      </c>
      <c r="T21" s="407">
        <v>0</v>
      </c>
      <c r="U21" s="407">
        <v>0</v>
      </c>
      <c r="V21" s="407">
        <v>0</v>
      </c>
      <c r="W21" s="407"/>
      <c r="X21" s="407"/>
      <c r="Y21" s="407"/>
      <c r="Z21" s="394"/>
      <c r="AA21" s="394"/>
      <c r="AB21" s="394"/>
      <c r="AC21" s="391">
        <f t="shared" si="0"/>
        <v>800</v>
      </c>
      <c r="AD21" s="508">
        <v>44958</v>
      </c>
    </row>
    <row r="22" spans="2:30" ht="16.2" thickBot="1">
      <c r="B22" s="415" t="s">
        <v>506</v>
      </c>
      <c r="C22" s="452" t="s">
        <v>928</v>
      </c>
      <c r="D22" s="456" t="s">
        <v>139</v>
      </c>
      <c r="E22" s="453"/>
      <c r="F22" s="453"/>
      <c r="G22" s="515" t="s">
        <v>1074</v>
      </c>
      <c r="H22" s="515" t="s">
        <v>1075</v>
      </c>
      <c r="I22" s="467" t="s">
        <v>1076</v>
      </c>
      <c r="J22" s="516" t="s">
        <v>338</v>
      </c>
      <c r="K22" s="457" t="s">
        <v>264</v>
      </c>
      <c r="L22" s="516" t="s">
        <v>279</v>
      </c>
      <c r="M22" s="516" t="s">
        <v>339</v>
      </c>
      <c r="N22" s="516" t="s">
        <v>349</v>
      </c>
      <c r="O22" s="456" t="s">
        <v>417</v>
      </c>
      <c r="P22" s="458" t="s">
        <v>1069</v>
      </c>
      <c r="Q22" s="407"/>
      <c r="R22" s="407"/>
      <c r="S22" s="407"/>
      <c r="T22" s="407"/>
      <c r="U22" s="447">
        <v>100</v>
      </c>
      <c r="V22" s="447">
        <v>100</v>
      </c>
      <c r="W22" s="407"/>
      <c r="X22" s="407"/>
      <c r="Y22" s="407"/>
      <c r="Z22" s="394"/>
      <c r="AA22" s="394"/>
      <c r="AB22" s="394"/>
      <c r="AC22" s="391">
        <f t="shared" si="0"/>
        <v>200</v>
      </c>
      <c r="AD22" s="509" t="s">
        <v>1081</v>
      </c>
    </row>
    <row r="23" spans="2:30" ht="16.2" thickBot="1">
      <c r="B23" s="415" t="s">
        <v>506</v>
      </c>
      <c r="C23" s="452" t="s">
        <v>467</v>
      </c>
      <c r="D23" s="456" t="s">
        <v>139</v>
      </c>
      <c r="E23" s="453" t="s">
        <v>346</v>
      </c>
      <c r="F23" s="453" t="s">
        <v>346</v>
      </c>
      <c r="G23" s="418" t="s">
        <v>857</v>
      </c>
      <c r="H23" s="425" t="s">
        <v>1077</v>
      </c>
      <c r="I23" s="467" t="s">
        <v>755</v>
      </c>
      <c r="J23" s="418" t="s">
        <v>340</v>
      </c>
      <c r="K23" s="457" t="s">
        <v>264</v>
      </c>
      <c r="L23" s="419" t="s">
        <v>279</v>
      </c>
      <c r="M23" s="419" t="s">
        <v>339</v>
      </c>
      <c r="N23" s="419" t="s">
        <v>349</v>
      </c>
      <c r="O23" s="456" t="s">
        <v>417</v>
      </c>
      <c r="P23" s="456" t="s">
        <v>336</v>
      </c>
      <c r="Q23" s="407"/>
      <c r="R23" s="407"/>
      <c r="S23" s="407"/>
      <c r="T23" s="407">
        <v>0</v>
      </c>
      <c r="U23" s="447">
        <f>100-100</f>
        <v>0</v>
      </c>
      <c r="V23" s="447">
        <f>100-100</f>
        <v>0</v>
      </c>
      <c r="W23" s="407"/>
      <c r="X23" s="407"/>
      <c r="Y23" s="407"/>
      <c r="Z23" s="394"/>
      <c r="AA23" s="394"/>
      <c r="AB23" s="394"/>
      <c r="AC23" s="391">
        <f t="shared" si="0"/>
        <v>0</v>
      </c>
      <c r="AD23" s="510" t="s">
        <v>1015</v>
      </c>
    </row>
    <row r="24" spans="2:30" ht="16.2" thickBot="1">
      <c r="B24" s="415" t="s">
        <v>506</v>
      </c>
      <c r="C24" s="452" t="s">
        <v>467</v>
      </c>
      <c r="D24" s="456" t="s">
        <v>139</v>
      </c>
      <c r="E24" s="453" t="s">
        <v>356</v>
      </c>
      <c r="F24" s="453" t="s">
        <v>357</v>
      </c>
      <c r="G24" s="453" t="s">
        <v>404</v>
      </c>
      <c r="H24" s="453" t="s">
        <v>477</v>
      </c>
      <c r="I24" s="468" t="s">
        <v>756</v>
      </c>
      <c r="J24" s="456" t="s">
        <v>338</v>
      </c>
      <c r="K24" s="457" t="s">
        <v>264</v>
      </c>
      <c r="L24" s="456" t="s">
        <v>279</v>
      </c>
      <c r="M24" s="456" t="s">
        <v>339</v>
      </c>
      <c r="N24" s="456" t="s">
        <v>349</v>
      </c>
      <c r="O24" s="456" t="s">
        <v>417</v>
      </c>
      <c r="P24" s="456" t="s">
        <v>343</v>
      </c>
      <c r="Q24" s="407">
        <v>0</v>
      </c>
      <c r="R24" s="407"/>
      <c r="S24" s="407"/>
      <c r="T24" s="407">
        <v>0</v>
      </c>
      <c r="U24" s="407">
        <v>0</v>
      </c>
      <c r="V24" s="407">
        <v>0</v>
      </c>
      <c r="W24" s="407"/>
      <c r="X24" s="407"/>
      <c r="Y24" s="407"/>
      <c r="Z24" s="394"/>
      <c r="AA24" s="394"/>
      <c r="AB24" s="394"/>
      <c r="AC24" s="391">
        <f t="shared" si="0"/>
        <v>0</v>
      </c>
      <c r="AD24" s="508">
        <v>44713</v>
      </c>
    </row>
    <row r="25" spans="2:30" ht="16.2" thickBot="1">
      <c r="B25" s="420" t="s">
        <v>506</v>
      </c>
      <c r="C25" s="469" t="s">
        <v>467</v>
      </c>
      <c r="D25" s="451" t="s">
        <v>107</v>
      </c>
      <c r="E25" s="451" t="s">
        <v>653</v>
      </c>
      <c r="F25" s="451" t="s">
        <v>654</v>
      </c>
      <c r="G25" s="453" t="s">
        <v>731</v>
      </c>
      <c r="H25" s="453" t="s">
        <v>732</v>
      </c>
      <c r="I25" s="455" t="s">
        <v>337</v>
      </c>
      <c r="J25" s="451" t="s">
        <v>340</v>
      </c>
      <c r="K25" s="470" t="s">
        <v>359</v>
      </c>
      <c r="L25" s="451" t="s">
        <v>277</v>
      </c>
      <c r="M25" s="451" t="s">
        <v>339</v>
      </c>
      <c r="N25" s="451" t="s">
        <v>655</v>
      </c>
      <c r="O25" s="456" t="s">
        <v>417</v>
      </c>
      <c r="P25" s="451" t="s">
        <v>361</v>
      </c>
      <c r="Q25" s="407">
        <v>600</v>
      </c>
      <c r="R25" s="407">
        <v>600</v>
      </c>
      <c r="S25" s="407">
        <v>600</v>
      </c>
      <c r="T25" s="407">
        <v>0</v>
      </c>
      <c r="U25" s="407">
        <v>0</v>
      </c>
      <c r="V25" s="407">
        <v>0</v>
      </c>
      <c r="W25" s="407"/>
      <c r="X25" s="407"/>
      <c r="Y25" s="407"/>
      <c r="Z25" s="394"/>
      <c r="AA25" s="394"/>
      <c r="AB25" s="394"/>
      <c r="AC25" s="391">
        <f t="shared" si="0"/>
        <v>1800</v>
      </c>
      <c r="AD25" s="508">
        <v>44986</v>
      </c>
    </row>
    <row r="26" spans="2:30" ht="16.2" thickBot="1">
      <c r="B26" s="413" t="s">
        <v>506</v>
      </c>
      <c r="C26" s="452" t="s">
        <v>467</v>
      </c>
      <c r="D26" s="456" t="s">
        <v>107</v>
      </c>
      <c r="E26" s="453" t="s">
        <v>656</v>
      </c>
      <c r="F26" s="453" t="s">
        <v>358</v>
      </c>
      <c r="G26" s="453" t="s">
        <v>507</v>
      </c>
      <c r="H26" s="453" t="s">
        <v>508</v>
      </c>
      <c r="I26" s="455" t="s">
        <v>337</v>
      </c>
      <c r="J26" s="456" t="s">
        <v>340</v>
      </c>
      <c r="K26" s="470" t="s">
        <v>359</v>
      </c>
      <c r="L26" s="456" t="s">
        <v>277</v>
      </c>
      <c r="M26" s="456" t="s">
        <v>339</v>
      </c>
      <c r="N26" s="456" t="s">
        <v>360</v>
      </c>
      <c r="O26" s="456" t="s">
        <v>417</v>
      </c>
      <c r="P26" s="456" t="s">
        <v>361</v>
      </c>
      <c r="Q26" s="407">
        <v>4000</v>
      </c>
      <c r="R26" s="407">
        <v>2000</v>
      </c>
      <c r="S26" s="407">
        <v>3000</v>
      </c>
      <c r="T26" s="407">
        <v>0</v>
      </c>
      <c r="U26" s="407">
        <v>0</v>
      </c>
      <c r="V26" s="407">
        <v>0</v>
      </c>
      <c r="W26" s="407"/>
      <c r="X26" s="407"/>
      <c r="Y26" s="407"/>
      <c r="Z26" s="394"/>
      <c r="AA26" s="394"/>
      <c r="AB26" s="394"/>
      <c r="AC26" s="391">
        <f t="shared" si="0"/>
        <v>9000</v>
      </c>
      <c r="AD26" s="508">
        <v>44986</v>
      </c>
    </row>
    <row r="27" spans="2:30" ht="16.2" thickBot="1">
      <c r="B27" s="413" t="s">
        <v>506</v>
      </c>
      <c r="C27" s="452" t="s">
        <v>467</v>
      </c>
      <c r="D27" s="456" t="s">
        <v>107</v>
      </c>
      <c r="E27" s="453" t="s">
        <v>346</v>
      </c>
      <c r="F27" s="453" t="s">
        <v>346</v>
      </c>
      <c r="G27" s="453" t="s">
        <v>629</v>
      </c>
      <c r="H27" s="453" t="s">
        <v>509</v>
      </c>
      <c r="I27" s="455" t="s">
        <v>337</v>
      </c>
      <c r="J27" s="453" t="s">
        <v>340</v>
      </c>
      <c r="K27" s="470" t="s">
        <v>359</v>
      </c>
      <c r="L27" s="456" t="s">
        <v>277</v>
      </c>
      <c r="M27" s="456" t="s">
        <v>339</v>
      </c>
      <c r="N27" s="456" t="s">
        <v>360</v>
      </c>
      <c r="O27" s="456" t="s">
        <v>417</v>
      </c>
      <c r="P27" s="421" t="s">
        <v>514</v>
      </c>
      <c r="Q27" s="407">
        <v>3000</v>
      </c>
      <c r="R27" s="407">
        <v>2000</v>
      </c>
      <c r="S27" s="407">
        <v>2500</v>
      </c>
      <c r="T27" s="407">
        <v>0</v>
      </c>
      <c r="U27" s="407">
        <v>0</v>
      </c>
      <c r="V27" s="407">
        <v>0</v>
      </c>
      <c r="W27" s="407"/>
      <c r="X27" s="407"/>
      <c r="Y27" s="407"/>
      <c r="Z27" s="394"/>
      <c r="AA27" s="394"/>
      <c r="AB27" s="394"/>
      <c r="AC27" s="391">
        <f t="shared" si="0"/>
        <v>7500</v>
      </c>
      <c r="AD27" s="508">
        <v>44986</v>
      </c>
    </row>
    <row r="28" spans="2:30" ht="16.2" thickBot="1">
      <c r="B28" s="413" t="s">
        <v>506</v>
      </c>
      <c r="C28" s="452" t="s">
        <v>467</v>
      </c>
      <c r="D28" s="456" t="s">
        <v>107</v>
      </c>
      <c r="E28" s="453" t="s">
        <v>362</v>
      </c>
      <c r="F28" s="453" t="s">
        <v>363</v>
      </c>
      <c r="G28" s="453" t="s">
        <v>510</v>
      </c>
      <c r="H28" s="453" t="s">
        <v>511</v>
      </c>
      <c r="I28" s="455" t="s">
        <v>337</v>
      </c>
      <c r="J28" s="453" t="s">
        <v>340</v>
      </c>
      <c r="K28" s="470" t="s">
        <v>359</v>
      </c>
      <c r="L28" s="456" t="s">
        <v>364</v>
      </c>
      <c r="M28" s="456" t="s">
        <v>339</v>
      </c>
      <c r="N28" s="456" t="s">
        <v>360</v>
      </c>
      <c r="O28" s="456" t="s">
        <v>417</v>
      </c>
      <c r="P28" s="456" t="s">
        <v>361</v>
      </c>
      <c r="Q28" s="407">
        <v>1200</v>
      </c>
      <c r="R28" s="407">
        <v>1100</v>
      </c>
      <c r="S28" s="407">
        <v>700</v>
      </c>
      <c r="T28" s="407">
        <v>0</v>
      </c>
      <c r="U28" s="407">
        <v>0</v>
      </c>
      <c r="V28" s="407">
        <v>0</v>
      </c>
      <c r="W28" s="407"/>
      <c r="X28" s="407"/>
      <c r="Y28" s="407"/>
      <c r="Z28" s="394"/>
      <c r="AA28" s="394"/>
      <c r="AB28" s="394"/>
      <c r="AC28" s="391">
        <f t="shared" si="0"/>
        <v>3000</v>
      </c>
      <c r="AD28" s="508">
        <v>44986</v>
      </c>
    </row>
    <row r="29" spans="2:30" ht="16.2" thickBot="1">
      <c r="B29" s="415" t="s">
        <v>512</v>
      </c>
      <c r="C29" s="452" t="s">
        <v>467</v>
      </c>
      <c r="D29" s="456" t="s">
        <v>200</v>
      </c>
      <c r="E29" s="453" t="s">
        <v>426</v>
      </c>
      <c r="F29" s="453" t="s">
        <v>427</v>
      </c>
      <c r="G29" s="453" t="s">
        <v>428</v>
      </c>
      <c r="H29" s="453" t="s">
        <v>429</v>
      </c>
      <c r="I29" s="455" t="s">
        <v>337</v>
      </c>
      <c r="J29" s="422" t="s">
        <v>377</v>
      </c>
      <c r="K29" s="470" t="s">
        <v>657</v>
      </c>
      <c r="L29" s="456" t="s">
        <v>277</v>
      </c>
      <c r="M29" s="456" t="s">
        <v>339</v>
      </c>
      <c r="N29" s="456" t="s">
        <v>360</v>
      </c>
      <c r="O29" s="456" t="s">
        <v>417</v>
      </c>
      <c r="P29" s="456" t="s">
        <v>361</v>
      </c>
      <c r="Q29" s="407">
        <v>0</v>
      </c>
      <c r="R29" s="407"/>
      <c r="S29" s="407"/>
      <c r="T29" s="407">
        <v>0</v>
      </c>
      <c r="U29" s="407">
        <v>0</v>
      </c>
      <c r="V29" s="407">
        <v>0</v>
      </c>
      <c r="W29" s="407"/>
      <c r="X29" s="407"/>
      <c r="Y29" s="407"/>
      <c r="Z29" s="394"/>
      <c r="AA29" s="394"/>
      <c r="AB29" s="394"/>
      <c r="AC29" s="391">
        <f t="shared" si="0"/>
        <v>0</v>
      </c>
      <c r="AD29" s="508">
        <v>44896</v>
      </c>
    </row>
    <row r="30" spans="2:30" ht="16.2" thickBot="1">
      <c r="B30" s="415" t="s">
        <v>512</v>
      </c>
      <c r="C30" s="452" t="s">
        <v>467</v>
      </c>
      <c r="D30" s="456" t="s">
        <v>200</v>
      </c>
      <c r="E30" s="453" t="s">
        <v>346</v>
      </c>
      <c r="F30" s="453" t="s">
        <v>346</v>
      </c>
      <c r="G30" s="453" t="s">
        <v>658</v>
      </c>
      <c r="H30" s="453" t="s">
        <v>478</v>
      </c>
      <c r="I30" s="455" t="s">
        <v>337</v>
      </c>
      <c r="J30" s="422" t="s">
        <v>377</v>
      </c>
      <c r="K30" s="470" t="s">
        <v>365</v>
      </c>
      <c r="L30" s="456" t="s">
        <v>277</v>
      </c>
      <c r="M30" s="456" t="s">
        <v>339</v>
      </c>
      <c r="N30" s="456" t="s">
        <v>360</v>
      </c>
      <c r="O30" s="456" t="s">
        <v>417</v>
      </c>
      <c r="P30" s="414" t="s">
        <v>514</v>
      </c>
      <c r="Q30" s="407">
        <v>0</v>
      </c>
      <c r="R30" s="407"/>
      <c r="S30" s="407"/>
      <c r="T30" s="407">
        <v>0</v>
      </c>
      <c r="U30" s="407">
        <v>0</v>
      </c>
      <c r="V30" s="407">
        <v>0</v>
      </c>
      <c r="W30" s="407"/>
      <c r="X30" s="407"/>
      <c r="Y30" s="407"/>
      <c r="Z30" s="394"/>
      <c r="AA30" s="394"/>
      <c r="AB30" s="394"/>
      <c r="AC30" s="391">
        <f t="shared" si="0"/>
        <v>0</v>
      </c>
      <c r="AD30" s="508">
        <v>44805</v>
      </c>
    </row>
    <row r="31" spans="2:30" ht="16.2" thickBot="1">
      <c r="B31" s="415" t="s">
        <v>512</v>
      </c>
      <c r="C31" s="452" t="s">
        <v>467</v>
      </c>
      <c r="D31" s="456" t="s">
        <v>200</v>
      </c>
      <c r="E31" s="453" t="s">
        <v>430</v>
      </c>
      <c r="F31" s="453" t="s">
        <v>431</v>
      </c>
      <c r="G31" s="453" t="s">
        <v>432</v>
      </c>
      <c r="H31" s="453" t="s">
        <v>433</v>
      </c>
      <c r="I31" s="411" t="s">
        <v>337</v>
      </c>
      <c r="J31" s="422" t="s">
        <v>377</v>
      </c>
      <c r="K31" s="423" t="s">
        <v>365</v>
      </c>
      <c r="L31" s="412" t="s">
        <v>364</v>
      </c>
      <c r="M31" s="412" t="s">
        <v>339</v>
      </c>
      <c r="N31" s="412" t="s">
        <v>360</v>
      </c>
      <c r="O31" s="456" t="s">
        <v>417</v>
      </c>
      <c r="P31" s="412" t="s">
        <v>361</v>
      </c>
      <c r="Q31" s="407">
        <v>0</v>
      </c>
      <c r="R31" s="407"/>
      <c r="S31" s="407"/>
      <c r="T31" s="407">
        <v>0</v>
      </c>
      <c r="U31" s="407">
        <v>0</v>
      </c>
      <c r="V31" s="407">
        <v>0</v>
      </c>
      <c r="W31" s="407"/>
      <c r="X31" s="407"/>
      <c r="Y31" s="407"/>
      <c r="Z31" s="394"/>
      <c r="AA31" s="394"/>
      <c r="AB31" s="394"/>
      <c r="AC31" s="391">
        <f t="shared" si="0"/>
        <v>0</v>
      </c>
      <c r="AD31" s="508">
        <v>44896</v>
      </c>
    </row>
    <row r="32" spans="2:30" ht="16.2" thickBot="1">
      <c r="B32" s="413" t="s">
        <v>512</v>
      </c>
      <c r="C32" s="452" t="s">
        <v>467</v>
      </c>
      <c r="D32" s="456" t="s">
        <v>200</v>
      </c>
      <c r="E32" s="453" t="s">
        <v>346</v>
      </c>
      <c r="F32" s="453" t="s">
        <v>346</v>
      </c>
      <c r="G32" s="453" t="s">
        <v>479</v>
      </c>
      <c r="H32" s="453" t="s">
        <v>480</v>
      </c>
      <c r="I32" s="411" t="s">
        <v>337</v>
      </c>
      <c r="J32" s="422" t="s">
        <v>377</v>
      </c>
      <c r="K32" s="423" t="s">
        <v>365</v>
      </c>
      <c r="L32" s="412" t="s">
        <v>364</v>
      </c>
      <c r="M32" s="412" t="s">
        <v>339</v>
      </c>
      <c r="N32" s="412" t="s">
        <v>360</v>
      </c>
      <c r="O32" s="456" t="s">
        <v>417</v>
      </c>
      <c r="P32" s="414" t="s">
        <v>514</v>
      </c>
      <c r="Q32" s="407">
        <v>0</v>
      </c>
      <c r="R32" s="407"/>
      <c r="S32" s="407"/>
      <c r="T32" s="407">
        <v>0</v>
      </c>
      <c r="U32" s="407">
        <v>0</v>
      </c>
      <c r="V32" s="407">
        <v>0</v>
      </c>
      <c r="W32" s="407"/>
      <c r="X32" s="407"/>
      <c r="Y32" s="407"/>
      <c r="Z32" s="399"/>
      <c r="AA32" s="399"/>
      <c r="AB32" s="399"/>
      <c r="AC32" s="391">
        <f t="shared" si="0"/>
        <v>0</v>
      </c>
      <c r="AD32" s="508">
        <v>44835</v>
      </c>
    </row>
    <row r="33" spans="2:30" ht="16.2" thickBot="1">
      <c r="B33" s="413" t="s">
        <v>512</v>
      </c>
      <c r="C33" s="452" t="s">
        <v>467</v>
      </c>
      <c r="D33" s="456" t="s">
        <v>858</v>
      </c>
      <c r="E33" s="416" t="s">
        <v>933</v>
      </c>
      <c r="F33" s="417" t="s">
        <v>859</v>
      </c>
      <c r="G33" s="418" t="s">
        <v>934</v>
      </c>
      <c r="H33" s="418" t="s">
        <v>935</v>
      </c>
      <c r="I33" s="424" t="s">
        <v>391</v>
      </c>
      <c r="J33" s="418" t="s">
        <v>377</v>
      </c>
      <c r="K33" s="425" t="s">
        <v>657</v>
      </c>
      <c r="L33" s="418" t="s">
        <v>1044</v>
      </c>
      <c r="M33" s="418" t="s">
        <v>339</v>
      </c>
      <c r="N33" s="418" t="s">
        <v>341</v>
      </c>
      <c r="O33" s="456" t="s">
        <v>419</v>
      </c>
      <c r="P33" s="418" t="s">
        <v>361</v>
      </c>
      <c r="Q33" s="407"/>
      <c r="R33" s="407"/>
      <c r="S33" s="407"/>
      <c r="T33" s="407">
        <v>500</v>
      </c>
      <c r="U33" s="407">
        <f>500+100-100+100</f>
        <v>600</v>
      </c>
      <c r="V33" s="407">
        <f>500+200</f>
        <v>700</v>
      </c>
      <c r="W33" s="407">
        <v>1000</v>
      </c>
      <c r="X33" s="407">
        <v>1000</v>
      </c>
      <c r="Y33" s="407">
        <v>1000</v>
      </c>
      <c r="Z33" s="388"/>
      <c r="AA33" s="388"/>
      <c r="AB33" s="388"/>
      <c r="AC33" s="391">
        <f t="shared" si="0"/>
        <v>4800</v>
      </c>
      <c r="AD33" s="510" t="s">
        <v>1015</v>
      </c>
    </row>
    <row r="34" spans="2:30" ht="16.2" thickBot="1">
      <c r="B34" s="413" t="s">
        <v>512</v>
      </c>
      <c r="C34" s="452" t="s">
        <v>467</v>
      </c>
      <c r="D34" s="456" t="s">
        <v>858</v>
      </c>
      <c r="E34" s="416" t="s">
        <v>936</v>
      </c>
      <c r="F34" s="417" t="s">
        <v>860</v>
      </c>
      <c r="G34" s="418" t="s">
        <v>937</v>
      </c>
      <c r="H34" s="418" t="s">
        <v>938</v>
      </c>
      <c r="I34" s="424" t="s">
        <v>391</v>
      </c>
      <c r="J34" s="418" t="s">
        <v>377</v>
      </c>
      <c r="K34" s="425" t="s">
        <v>365</v>
      </c>
      <c r="L34" s="418" t="s">
        <v>1044</v>
      </c>
      <c r="M34" s="418" t="s">
        <v>339</v>
      </c>
      <c r="N34" s="418" t="s">
        <v>360</v>
      </c>
      <c r="O34" s="456" t="s">
        <v>419</v>
      </c>
      <c r="P34" s="418" t="s">
        <v>361</v>
      </c>
      <c r="Q34" s="407"/>
      <c r="R34" s="407"/>
      <c r="S34" s="407"/>
      <c r="T34" s="407">
        <v>4200</v>
      </c>
      <c r="U34" s="407">
        <f>4200-200+200-200</f>
        <v>4000</v>
      </c>
      <c r="V34" s="407">
        <f>4200-200</f>
        <v>4000</v>
      </c>
      <c r="W34" s="407">
        <v>3000</v>
      </c>
      <c r="X34" s="407"/>
      <c r="Y34" s="407"/>
      <c r="Z34" s="394"/>
      <c r="AA34" s="394"/>
      <c r="AB34" s="394"/>
      <c r="AC34" s="391">
        <f t="shared" si="0"/>
        <v>15200</v>
      </c>
      <c r="AD34" s="510" t="s">
        <v>1015</v>
      </c>
    </row>
    <row r="35" spans="2:30" ht="16.2" thickBot="1">
      <c r="B35" s="413" t="s">
        <v>512</v>
      </c>
      <c r="C35" s="452" t="s">
        <v>467</v>
      </c>
      <c r="D35" s="456" t="s">
        <v>858</v>
      </c>
      <c r="E35" s="416" t="s">
        <v>924</v>
      </c>
      <c r="F35" s="417" t="s">
        <v>925</v>
      </c>
      <c r="G35" s="418" t="s">
        <v>939</v>
      </c>
      <c r="H35" s="418" t="s">
        <v>940</v>
      </c>
      <c r="I35" s="424" t="s">
        <v>391</v>
      </c>
      <c r="J35" s="418" t="s">
        <v>377</v>
      </c>
      <c r="K35" s="425" t="s">
        <v>365</v>
      </c>
      <c r="L35" s="418" t="s">
        <v>1044</v>
      </c>
      <c r="M35" s="418" t="s">
        <v>339</v>
      </c>
      <c r="N35" s="418" t="s">
        <v>360</v>
      </c>
      <c r="O35" s="456" t="s">
        <v>419</v>
      </c>
      <c r="P35" s="426" t="s">
        <v>861</v>
      </c>
      <c r="Q35" s="407"/>
      <c r="R35" s="407"/>
      <c r="S35" s="407"/>
      <c r="T35" s="407">
        <v>2400</v>
      </c>
      <c r="U35" s="407">
        <v>2400</v>
      </c>
      <c r="V35" s="407">
        <v>2400</v>
      </c>
      <c r="W35" s="407">
        <v>1500</v>
      </c>
      <c r="X35" s="407">
        <v>1500</v>
      </c>
      <c r="Y35" s="407">
        <v>1500</v>
      </c>
      <c r="Z35" s="394"/>
      <c r="AA35" s="394"/>
      <c r="AB35" s="394"/>
      <c r="AC35" s="391">
        <f t="shared" si="0"/>
        <v>11700</v>
      </c>
      <c r="AD35" s="510" t="s">
        <v>1015</v>
      </c>
    </row>
    <row r="36" spans="2:30" ht="16.2" thickBot="1">
      <c r="B36" s="413" t="s">
        <v>512</v>
      </c>
      <c r="C36" s="452" t="s">
        <v>467</v>
      </c>
      <c r="D36" s="456" t="s">
        <v>858</v>
      </c>
      <c r="E36" s="416" t="s">
        <v>941</v>
      </c>
      <c r="F36" s="417" t="s">
        <v>942</v>
      </c>
      <c r="G36" s="418" t="s">
        <v>943</v>
      </c>
      <c r="H36" s="418" t="s">
        <v>944</v>
      </c>
      <c r="I36" s="424" t="s">
        <v>391</v>
      </c>
      <c r="J36" s="418" t="s">
        <v>377</v>
      </c>
      <c r="K36" s="425" t="s">
        <v>365</v>
      </c>
      <c r="L36" s="418" t="s">
        <v>1045</v>
      </c>
      <c r="M36" s="418" t="s">
        <v>339</v>
      </c>
      <c r="N36" s="418" t="s">
        <v>360</v>
      </c>
      <c r="O36" s="456" t="s">
        <v>419</v>
      </c>
      <c r="P36" s="418" t="s">
        <v>361</v>
      </c>
      <c r="Q36" s="407"/>
      <c r="R36" s="407"/>
      <c r="S36" s="407"/>
      <c r="T36" s="407">
        <v>1000</v>
      </c>
      <c r="U36" s="407">
        <v>1000</v>
      </c>
      <c r="V36" s="407">
        <v>1000</v>
      </c>
      <c r="W36" s="407">
        <v>1000</v>
      </c>
      <c r="X36" s="407">
        <v>1000</v>
      </c>
      <c r="Y36" s="407">
        <v>1000</v>
      </c>
      <c r="Z36" s="394"/>
      <c r="AA36" s="394"/>
      <c r="AB36" s="394"/>
      <c r="AC36" s="391">
        <f t="shared" si="0"/>
        <v>6000</v>
      </c>
      <c r="AD36" s="510" t="s">
        <v>1015</v>
      </c>
    </row>
    <row r="37" spans="2:30" ht="16.2" thickBot="1">
      <c r="B37" s="413" t="s">
        <v>512</v>
      </c>
      <c r="C37" s="452" t="s">
        <v>467</v>
      </c>
      <c r="D37" s="456" t="s">
        <v>858</v>
      </c>
      <c r="E37" s="416" t="s">
        <v>945</v>
      </c>
      <c r="F37" s="417" t="s">
        <v>946</v>
      </c>
      <c r="G37" s="418" t="s">
        <v>947</v>
      </c>
      <c r="H37" s="418" t="s">
        <v>948</v>
      </c>
      <c r="I37" s="424" t="s">
        <v>391</v>
      </c>
      <c r="J37" s="418" t="s">
        <v>377</v>
      </c>
      <c r="K37" s="425" t="s">
        <v>365</v>
      </c>
      <c r="L37" s="418" t="s">
        <v>1045</v>
      </c>
      <c r="M37" s="418" t="s">
        <v>339</v>
      </c>
      <c r="N37" s="418" t="s">
        <v>369</v>
      </c>
      <c r="O37" s="456" t="s">
        <v>419</v>
      </c>
      <c r="P37" s="418" t="s">
        <v>361</v>
      </c>
      <c r="Q37" s="407"/>
      <c r="R37" s="407"/>
      <c r="S37" s="407"/>
      <c r="T37" s="407">
        <v>300</v>
      </c>
      <c r="U37" s="407">
        <v>300</v>
      </c>
      <c r="V37" s="407">
        <v>300</v>
      </c>
      <c r="W37" s="407">
        <v>500</v>
      </c>
      <c r="X37" s="407">
        <v>500</v>
      </c>
      <c r="Y37" s="407">
        <v>500</v>
      </c>
      <c r="Z37" s="394"/>
      <c r="AA37" s="394"/>
      <c r="AB37" s="394"/>
      <c r="AC37" s="391">
        <f t="shared" si="0"/>
        <v>2400</v>
      </c>
      <c r="AD37" s="510" t="s">
        <v>1015</v>
      </c>
    </row>
    <row r="38" spans="2:30" ht="16.2" thickBot="1">
      <c r="B38" s="413" t="s">
        <v>512</v>
      </c>
      <c r="C38" s="452" t="s">
        <v>467</v>
      </c>
      <c r="D38" s="456" t="s">
        <v>858</v>
      </c>
      <c r="E38" s="416" t="s">
        <v>926</v>
      </c>
      <c r="F38" s="417" t="s">
        <v>927</v>
      </c>
      <c r="G38" s="418" t="s">
        <v>949</v>
      </c>
      <c r="H38" s="418" t="s">
        <v>950</v>
      </c>
      <c r="I38" s="424" t="s">
        <v>391</v>
      </c>
      <c r="J38" s="418" t="s">
        <v>377</v>
      </c>
      <c r="K38" s="425" t="s">
        <v>365</v>
      </c>
      <c r="L38" s="418" t="s">
        <v>1045</v>
      </c>
      <c r="M38" s="418" t="s">
        <v>339</v>
      </c>
      <c r="N38" s="418" t="s">
        <v>369</v>
      </c>
      <c r="O38" s="456" t="s">
        <v>419</v>
      </c>
      <c r="P38" s="426" t="s">
        <v>861</v>
      </c>
      <c r="Q38" s="407"/>
      <c r="R38" s="407"/>
      <c r="S38" s="407"/>
      <c r="T38" s="407">
        <v>100</v>
      </c>
      <c r="U38" s="407">
        <v>100</v>
      </c>
      <c r="V38" s="407">
        <v>100</v>
      </c>
      <c r="W38" s="407">
        <v>100</v>
      </c>
      <c r="X38" s="407">
        <v>100</v>
      </c>
      <c r="Y38" s="407">
        <v>100</v>
      </c>
      <c r="Z38" s="394"/>
      <c r="AA38" s="394"/>
      <c r="AB38" s="394"/>
      <c r="AC38" s="391">
        <f t="shared" si="0"/>
        <v>600</v>
      </c>
      <c r="AD38" s="510" t="s">
        <v>1015</v>
      </c>
    </row>
    <row r="39" spans="2:30" ht="16.2" thickBot="1">
      <c r="B39" s="413" t="s">
        <v>506</v>
      </c>
      <c r="C39" s="452" t="s">
        <v>467</v>
      </c>
      <c r="D39" s="456" t="s">
        <v>107</v>
      </c>
      <c r="E39" s="453" t="s">
        <v>539</v>
      </c>
      <c r="F39" s="453" t="s">
        <v>366</v>
      </c>
      <c r="G39" s="453" t="s">
        <v>540</v>
      </c>
      <c r="H39" s="453" t="s">
        <v>481</v>
      </c>
      <c r="I39" s="455" t="s">
        <v>337</v>
      </c>
      <c r="J39" s="453" t="s">
        <v>367</v>
      </c>
      <c r="K39" s="471" t="s">
        <v>522</v>
      </c>
      <c r="L39" s="456" t="s">
        <v>121</v>
      </c>
      <c r="M39" s="456" t="s">
        <v>339</v>
      </c>
      <c r="N39" s="456" t="s">
        <v>360</v>
      </c>
      <c r="O39" s="456" t="s">
        <v>417</v>
      </c>
      <c r="P39" s="456" t="s">
        <v>361</v>
      </c>
      <c r="Q39" s="407">
        <v>200</v>
      </c>
      <c r="R39" s="407">
        <v>500</v>
      </c>
      <c r="S39" s="407">
        <v>0</v>
      </c>
      <c r="T39" s="407">
        <f>500-500</f>
        <v>0</v>
      </c>
      <c r="U39" s="407">
        <v>0</v>
      </c>
      <c r="V39" s="407">
        <v>0</v>
      </c>
      <c r="W39" s="407"/>
      <c r="X39" s="407"/>
      <c r="Y39" s="407"/>
      <c r="Z39" s="394"/>
      <c r="AA39" s="394"/>
      <c r="AB39" s="394"/>
      <c r="AC39" s="391">
        <f t="shared" si="0"/>
        <v>700</v>
      </c>
      <c r="AD39" s="508">
        <v>44958</v>
      </c>
    </row>
    <row r="40" spans="2:30" ht="16.2" thickBot="1">
      <c r="B40" s="413" t="s">
        <v>506</v>
      </c>
      <c r="C40" s="452" t="s">
        <v>467</v>
      </c>
      <c r="D40" s="456" t="s">
        <v>107</v>
      </c>
      <c r="E40" s="453" t="s">
        <v>659</v>
      </c>
      <c r="F40" s="453" t="s">
        <v>368</v>
      </c>
      <c r="G40" s="453" t="s">
        <v>757</v>
      </c>
      <c r="H40" s="453" t="s">
        <v>758</v>
      </c>
      <c r="I40" s="455" t="s">
        <v>337</v>
      </c>
      <c r="J40" s="453" t="s">
        <v>367</v>
      </c>
      <c r="K40" s="471" t="s">
        <v>297</v>
      </c>
      <c r="L40" s="456" t="s">
        <v>108</v>
      </c>
      <c r="M40" s="456" t="s">
        <v>339</v>
      </c>
      <c r="N40" s="456" t="s">
        <v>360</v>
      </c>
      <c r="O40" s="456" t="s">
        <v>417</v>
      </c>
      <c r="P40" s="456" t="s">
        <v>361</v>
      </c>
      <c r="Q40" s="407">
        <v>4000</v>
      </c>
      <c r="R40" s="407">
        <v>1000</v>
      </c>
      <c r="S40" s="407">
        <v>3500</v>
      </c>
      <c r="T40" s="407">
        <f>2000+500</f>
        <v>2500</v>
      </c>
      <c r="U40" s="407">
        <v>0</v>
      </c>
      <c r="V40" s="407">
        <v>0</v>
      </c>
      <c r="W40" s="407"/>
      <c r="X40" s="407"/>
      <c r="Y40" s="407"/>
      <c r="Z40" s="394"/>
      <c r="AA40" s="394"/>
      <c r="AB40" s="394"/>
      <c r="AC40" s="391">
        <f t="shared" si="0"/>
        <v>11000</v>
      </c>
      <c r="AD40" s="508">
        <v>45017</v>
      </c>
    </row>
    <row r="41" spans="2:30" ht="16.2" thickBot="1">
      <c r="B41" s="413" t="s">
        <v>506</v>
      </c>
      <c r="C41" s="452" t="s">
        <v>467</v>
      </c>
      <c r="D41" s="456" t="s">
        <v>107</v>
      </c>
      <c r="E41" s="453" t="s">
        <v>346</v>
      </c>
      <c r="F41" s="453" t="s">
        <v>346</v>
      </c>
      <c r="G41" s="453" t="s">
        <v>733</v>
      </c>
      <c r="H41" s="453" t="s">
        <v>734</v>
      </c>
      <c r="I41" s="455" t="s">
        <v>337</v>
      </c>
      <c r="J41" s="453" t="s">
        <v>367</v>
      </c>
      <c r="K41" s="471" t="s">
        <v>297</v>
      </c>
      <c r="L41" s="456" t="s">
        <v>108</v>
      </c>
      <c r="M41" s="456" t="s">
        <v>339</v>
      </c>
      <c r="N41" s="456" t="s">
        <v>360</v>
      </c>
      <c r="O41" s="456" t="s">
        <v>417</v>
      </c>
      <c r="P41" s="453" t="s">
        <v>343</v>
      </c>
      <c r="Q41" s="407">
        <v>0</v>
      </c>
      <c r="R41" s="407"/>
      <c r="S41" s="407"/>
      <c r="T41" s="407">
        <v>0</v>
      </c>
      <c r="U41" s="407">
        <v>0</v>
      </c>
      <c r="V41" s="407">
        <v>0</v>
      </c>
      <c r="W41" s="407"/>
      <c r="X41" s="407"/>
      <c r="Y41" s="407"/>
      <c r="Z41" s="394"/>
      <c r="AA41" s="394"/>
      <c r="AB41" s="394"/>
      <c r="AC41" s="391">
        <f t="shared" si="0"/>
        <v>0</v>
      </c>
      <c r="AD41" s="508">
        <v>44593</v>
      </c>
    </row>
    <row r="42" spans="2:30" ht="16.2" thickBot="1">
      <c r="B42" s="413" t="s">
        <v>506</v>
      </c>
      <c r="C42" s="452" t="s">
        <v>467</v>
      </c>
      <c r="D42" s="456" t="s">
        <v>107</v>
      </c>
      <c r="E42" s="453" t="s">
        <v>346</v>
      </c>
      <c r="F42" s="453" t="s">
        <v>346</v>
      </c>
      <c r="G42" s="453" t="s">
        <v>541</v>
      </c>
      <c r="H42" s="453" t="s">
        <v>482</v>
      </c>
      <c r="I42" s="455" t="s">
        <v>337</v>
      </c>
      <c r="J42" s="453" t="s">
        <v>367</v>
      </c>
      <c r="K42" s="471" t="s">
        <v>297</v>
      </c>
      <c r="L42" s="456" t="s">
        <v>108</v>
      </c>
      <c r="M42" s="456" t="s">
        <v>339</v>
      </c>
      <c r="N42" s="456" t="s">
        <v>360</v>
      </c>
      <c r="O42" s="456" t="s">
        <v>417</v>
      </c>
      <c r="P42" s="414" t="s">
        <v>514</v>
      </c>
      <c r="Q42" s="407">
        <v>500</v>
      </c>
      <c r="R42" s="407">
        <v>1500</v>
      </c>
      <c r="S42" s="407">
        <v>3500</v>
      </c>
      <c r="T42" s="407">
        <f>2250-250</f>
        <v>2000</v>
      </c>
      <c r="U42" s="407">
        <v>0</v>
      </c>
      <c r="V42" s="407">
        <v>0</v>
      </c>
      <c r="W42" s="407"/>
      <c r="X42" s="407"/>
      <c r="Y42" s="407"/>
      <c r="Z42" s="394"/>
      <c r="AA42" s="394"/>
      <c r="AB42" s="394"/>
      <c r="AC42" s="391">
        <f t="shared" si="0"/>
        <v>7500</v>
      </c>
      <c r="AD42" s="508">
        <v>45017</v>
      </c>
    </row>
    <row r="43" spans="2:30" ht="16.2" thickBot="1">
      <c r="B43" s="413" t="s">
        <v>506</v>
      </c>
      <c r="C43" s="452" t="s">
        <v>467</v>
      </c>
      <c r="D43" s="456" t="s">
        <v>107</v>
      </c>
      <c r="E43" s="453" t="s">
        <v>370</v>
      </c>
      <c r="F43" s="453" t="s">
        <v>371</v>
      </c>
      <c r="G43" s="453" t="s">
        <v>405</v>
      </c>
      <c r="H43" s="453" t="s">
        <v>406</v>
      </c>
      <c r="I43" s="455" t="s">
        <v>337</v>
      </c>
      <c r="J43" s="456" t="s">
        <v>367</v>
      </c>
      <c r="K43" s="471" t="s">
        <v>297</v>
      </c>
      <c r="L43" s="456" t="s">
        <v>108</v>
      </c>
      <c r="M43" s="456" t="s">
        <v>339</v>
      </c>
      <c r="N43" s="456" t="s">
        <v>369</v>
      </c>
      <c r="O43" s="456" t="s">
        <v>417</v>
      </c>
      <c r="P43" s="456" t="s">
        <v>361</v>
      </c>
      <c r="Q43" s="447">
        <f>800-460+460</f>
        <v>800</v>
      </c>
      <c r="R43" s="407">
        <v>800</v>
      </c>
      <c r="S43" s="407">
        <v>1000</v>
      </c>
      <c r="T43" s="407">
        <f>1000+250</f>
        <v>1250</v>
      </c>
      <c r="U43" s="407">
        <v>0</v>
      </c>
      <c r="V43" s="407">
        <v>0</v>
      </c>
      <c r="W43" s="407"/>
      <c r="X43" s="407"/>
      <c r="Y43" s="407"/>
      <c r="Z43" s="394"/>
      <c r="AA43" s="394"/>
      <c r="AB43" s="394"/>
      <c r="AC43" s="391">
        <f t="shared" si="0"/>
        <v>3850</v>
      </c>
      <c r="AD43" s="508">
        <v>45017</v>
      </c>
    </row>
    <row r="44" spans="2:30" ht="16.2" thickBot="1">
      <c r="B44" s="413" t="s">
        <v>506</v>
      </c>
      <c r="C44" s="452" t="s">
        <v>467</v>
      </c>
      <c r="D44" s="456" t="s">
        <v>107</v>
      </c>
      <c r="E44" s="453"/>
      <c r="F44" s="453"/>
      <c r="G44" s="502" t="s">
        <v>1078</v>
      </c>
      <c r="H44" s="502" t="s">
        <v>1079</v>
      </c>
      <c r="I44" s="455" t="s">
        <v>337</v>
      </c>
      <c r="J44" s="456" t="s">
        <v>367</v>
      </c>
      <c r="K44" s="471" t="s">
        <v>297</v>
      </c>
      <c r="L44" s="456" t="s">
        <v>108</v>
      </c>
      <c r="M44" s="456" t="s">
        <v>339</v>
      </c>
      <c r="N44" s="456" t="s">
        <v>369</v>
      </c>
      <c r="O44" s="456" t="s">
        <v>417</v>
      </c>
      <c r="P44" s="414" t="s">
        <v>514</v>
      </c>
      <c r="Q44" s="447">
        <f>460-460</f>
        <v>0</v>
      </c>
      <c r="R44" s="407"/>
      <c r="S44" s="407"/>
      <c r="T44" s="407"/>
      <c r="U44" s="407"/>
      <c r="V44" s="407"/>
      <c r="W44" s="407"/>
      <c r="X44" s="407"/>
      <c r="Y44" s="407"/>
      <c r="Z44" s="394"/>
      <c r="AA44" s="394"/>
      <c r="AB44" s="394"/>
      <c r="AC44" s="391">
        <f t="shared" si="0"/>
        <v>0</v>
      </c>
      <c r="AD44" s="508">
        <v>45017</v>
      </c>
    </row>
    <row r="45" spans="2:30" ht="16.2" thickBot="1">
      <c r="B45" s="413" t="s">
        <v>512</v>
      </c>
      <c r="C45" s="452" t="s">
        <v>467</v>
      </c>
      <c r="D45" s="456" t="s">
        <v>407</v>
      </c>
      <c r="E45" s="453" t="s">
        <v>374</v>
      </c>
      <c r="F45" s="453" t="s">
        <v>375</v>
      </c>
      <c r="G45" s="453" t="s">
        <v>483</v>
      </c>
      <c r="H45" s="453" t="s">
        <v>484</v>
      </c>
      <c r="I45" s="472" t="s">
        <v>372</v>
      </c>
      <c r="J45" s="412" t="s">
        <v>436</v>
      </c>
      <c r="K45" s="471" t="s">
        <v>635</v>
      </c>
      <c r="L45" s="456" t="s">
        <v>108</v>
      </c>
      <c r="M45" s="456" t="s">
        <v>339</v>
      </c>
      <c r="N45" s="456" t="s">
        <v>360</v>
      </c>
      <c r="O45" s="456" t="s">
        <v>419</v>
      </c>
      <c r="P45" s="456" t="s">
        <v>361</v>
      </c>
      <c r="Q45" s="407">
        <v>100</v>
      </c>
      <c r="R45" s="407">
        <v>720</v>
      </c>
      <c r="S45" s="407">
        <v>0</v>
      </c>
      <c r="T45" s="407">
        <v>0</v>
      </c>
      <c r="U45" s="407">
        <v>0</v>
      </c>
      <c r="V45" s="407">
        <v>0</v>
      </c>
      <c r="W45" s="407"/>
      <c r="X45" s="407"/>
      <c r="Y45" s="407"/>
      <c r="Z45" s="394"/>
      <c r="AA45" s="394"/>
      <c r="AB45" s="394"/>
      <c r="AC45" s="391">
        <f t="shared" si="0"/>
        <v>820</v>
      </c>
      <c r="AD45" s="508">
        <v>44958</v>
      </c>
    </row>
    <row r="46" spans="2:30" ht="16.2" thickBot="1">
      <c r="B46" s="413" t="s">
        <v>512</v>
      </c>
      <c r="C46" s="452" t="s">
        <v>467</v>
      </c>
      <c r="D46" s="412" t="s">
        <v>198</v>
      </c>
      <c r="E46" s="453" t="s">
        <v>434</v>
      </c>
      <c r="F46" s="453" t="s">
        <v>435</v>
      </c>
      <c r="G46" s="453" t="s">
        <v>485</v>
      </c>
      <c r="H46" s="453" t="s">
        <v>486</v>
      </c>
      <c r="I46" s="427" t="s">
        <v>372</v>
      </c>
      <c r="J46" s="412" t="s">
        <v>436</v>
      </c>
      <c r="K46" s="428" t="s">
        <v>373</v>
      </c>
      <c r="L46" s="412" t="s">
        <v>108</v>
      </c>
      <c r="M46" s="412" t="s">
        <v>339</v>
      </c>
      <c r="N46" s="412" t="s">
        <v>369</v>
      </c>
      <c r="O46" s="456" t="s">
        <v>419</v>
      </c>
      <c r="P46" s="412" t="s">
        <v>361</v>
      </c>
      <c r="Q46" s="407">
        <v>30</v>
      </c>
      <c r="R46" s="407">
        <v>50</v>
      </c>
      <c r="S46" s="407"/>
      <c r="T46" s="407">
        <v>0</v>
      </c>
      <c r="U46" s="407">
        <v>0</v>
      </c>
      <c r="V46" s="407">
        <v>0</v>
      </c>
      <c r="W46" s="407"/>
      <c r="X46" s="407"/>
      <c r="Y46" s="407"/>
      <c r="Z46" s="394"/>
      <c r="AA46" s="394"/>
      <c r="AB46" s="394"/>
      <c r="AC46" s="391">
        <f t="shared" si="0"/>
        <v>80</v>
      </c>
      <c r="AD46" s="508">
        <v>44958</v>
      </c>
    </row>
    <row r="47" spans="2:30" ht="16.2" thickBot="1">
      <c r="B47" s="413" t="s">
        <v>512</v>
      </c>
      <c r="C47" s="452" t="s">
        <v>467</v>
      </c>
      <c r="D47" s="412" t="s">
        <v>198</v>
      </c>
      <c r="E47" s="453" t="s">
        <v>437</v>
      </c>
      <c r="F47" s="453" t="s">
        <v>438</v>
      </c>
      <c r="G47" s="464" t="s">
        <v>587</v>
      </c>
      <c r="H47" s="464" t="s">
        <v>588</v>
      </c>
      <c r="I47" s="427" t="s">
        <v>372</v>
      </c>
      <c r="J47" s="412" t="s">
        <v>436</v>
      </c>
      <c r="K47" s="428" t="s">
        <v>373</v>
      </c>
      <c r="L47" s="412" t="s">
        <v>276</v>
      </c>
      <c r="M47" s="412" t="s">
        <v>339</v>
      </c>
      <c r="N47" s="412" t="s">
        <v>360</v>
      </c>
      <c r="O47" s="456" t="s">
        <v>419</v>
      </c>
      <c r="P47" s="412" t="s">
        <v>361</v>
      </c>
      <c r="Q47" s="407">
        <v>20</v>
      </c>
      <c r="R47" s="407">
        <v>30</v>
      </c>
      <c r="S47" s="407"/>
      <c r="T47" s="407">
        <v>0</v>
      </c>
      <c r="U47" s="407">
        <v>0</v>
      </c>
      <c r="V47" s="407">
        <v>0</v>
      </c>
      <c r="W47" s="407"/>
      <c r="X47" s="407"/>
      <c r="Y47" s="407"/>
      <c r="Z47" s="394"/>
      <c r="AA47" s="394"/>
      <c r="AB47" s="394"/>
      <c r="AC47" s="391">
        <f t="shared" si="0"/>
        <v>50</v>
      </c>
      <c r="AD47" s="508">
        <v>44958</v>
      </c>
    </row>
    <row r="48" spans="2:30" ht="16.2" thickBot="1">
      <c r="B48" s="456" t="s">
        <v>513</v>
      </c>
      <c r="C48" s="452" t="s">
        <v>467</v>
      </c>
      <c r="D48" s="456" t="s">
        <v>439</v>
      </c>
      <c r="E48" s="453" t="s">
        <v>636</v>
      </c>
      <c r="F48" s="453" t="s">
        <v>630</v>
      </c>
      <c r="G48" s="429" t="s">
        <v>660</v>
      </c>
      <c r="H48" s="429" t="s">
        <v>661</v>
      </c>
      <c r="I48" s="473" t="s">
        <v>391</v>
      </c>
      <c r="J48" s="422" t="s">
        <v>637</v>
      </c>
      <c r="K48" s="428" t="s">
        <v>599</v>
      </c>
      <c r="L48" s="456" t="s">
        <v>108</v>
      </c>
      <c r="M48" s="456" t="s">
        <v>339</v>
      </c>
      <c r="N48" s="456" t="s">
        <v>360</v>
      </c>
      <c r="O48" s="456" t="s">
        <v>727</v>
      </c>
      <c r="P48" s="456" t="s">
        <v>361</v>
      </c>
      <c r="Q48" s="407">
        <v>0</v>
      </c>
      <c r="R48" s="407">
        <v>50</v>
      </c>
      <c r="S48" s="407">
        <v>0</v>
      </c>
      <c r="T48" s="407">
        <v>0</v>
      </c>
      <c r="U48" s="407">
        <v>0</v>
      </c>
      <c r="V48" s="407">
        <v>0</v>
      </c>
      <c r="W48" s="407"/>
      <c r="X48" s="407"/>
      <c r="Y48" s="407"/>
      <c r="Z48" s="394"/>
      <c r="AA48" s="394"/>
      <c r="AB48" s="394"/>
      <c r="AC48" s="391">
        <f t="shared" si="0"/>
        <v>50</v>
      </c>
      <c r="AD48" s="508">
        <v>44958</v>
      </c>
    </row>
    <row r="49" spans="2:30" ht="16.2" thickBot="1">
      <c r="B49" s="456" t="s">
        <v>513</v>
      </c>
      <c r="C49" s="452" t="s">
        <v>467</v>
      </c>
      <c r="D49" s="456" t="s">
        <v>439</v>
      </c>
      <c r="E49" s="453" t="s">
        <v>631</v>
      </c>
      <c r="F49" s="453" t="s">
        <v>632</v>
      </c>
      <c r="G49" s="429" t="s">
        <v>662</v>
      </c>
      <c r="H49" s="429" t="s">
        <v>663</v>
      </c>
      <c r="I49" s="473" t="s">
        <v>391</v>
      </c>
      <c r="J49" s="422" t="s">
        <v>637</v>
      </c>
      <c r="K49" s="428" t="s">
        <v>599</v>
      </c>
      <c r="L49" s="412" t="s">
        <v>108</v>
      </c>
      <c r="M49" s="412" t="s">
        <v>339</v>
      </c>
      <c r="N49" s="412" t="s">
        <v>369</v>
      </c>
      <c r="O49" s="456" t="s">
        <v>727</v>
      </c>
      <c r="P49" s="412" t="s">
        <v>361</v>
      </c>
      <c r="Q49" s="407">
        <v>0</v>
      </c>
      <c r="R49" s="407">
        <v>30</v>
      </c>
      <c r="S49" s="407">
        <v>0</v>
      </c>
      <c r="T49" s="407">
        <v>0</v>
      </c>
      <c r="U49" s="407">
        <v>0</v>
      </c>
      <c r="V49" s="407">
        <v>0</v>
      </c>
      <c r="W49" s="407"/>
      <c r="X49" s="407"/>
      <c r="Y49" s="407"/>
      <c r="Z49" s="394"/>
      <c r="AA49" s="394"/>
      <c r="AB49" s="394"/>
      <c r="AC49" s="391">
        <f t="shared" si="0"/>
        <v>30</v>
      </c>
      <c r="AD49" s="508">
        <v>44958</v>
      </c>
    </row>
    <row r="50" spans="2:30" ht="16.2" thickBot="1">
      <c r="B50" s="456" t="s">
        <v>513</v>
      </c>
      <c r="C50" s="452" t="s">
        <v>467</v>
      </c>
      <c r="D50" s="456" t="s">
        <v>439</v>
      </c>
      <c r="E50" s="453" t="s">
        <v>638</v>
      </c>
      <c r="F50" s="453" t="s">
        <v>633</v>
      </c>
      <c r="G50" s="429" t="s">
        <v>664</v>
      </c>
      <c r="H50" s="429" t="s">
        <v>665</v>
      </c>
      <c r="I50" s="473" t="s">
        <v>391</v>
      </c>
      <c r="J50" s="422" t="s">
        <v>637</v>
      </c>
      <c r="K50" s="428" t="s">
        <v>599</v>
      </c>
      <c r="L50" s="412" t="s">
        <v>276</v>
      </c>
      <c r="M50" s="412" t="s">
        <v>339</v>
      </c>
      <c r="N50" s="412" t="s">
        <v>360</v>
      </c>
      <c r="O50" s="456" t="s">
        <v>727</v>
      </c>
      <c r="P50" s="412" t="s">
        <v>361</v>
      </c>
      <c r="Q50" s="407">
        <v>0</v>
      </c>
      <c r="R50" s="407">
        <v>20</v>
      </c>
      <c r="S50" s="407">
        <v>0</v>
      </c>
      <c r="T50" s="407">
        <v>0</v>
      </c>
      <c r="U50" s="407">
        <v>0</v>
      </c>
      <c r="V50" s="407">
        <v>0</v>
      </c>
      <c r="W50" s="407"/>
      <c r="X50" s="407"/>
      <c r="Y50" s="407"/>
      <c r="Z50" s="394"/>
      <c r="AA50" s="394"/>
      <c r="AB50" s="394"/>
      <c r="AC50" s="391">
        <f t="shared" si="0"/>
        <v>20</v>
      </c>
      <c r="AD50" s="508">
        <v>44958</v>
      </c>
    </row>
    <row r="51" spans="2:30" ht="16.2" thickBot="1">
      <c r="B51" s="456" t="s">
        <v>513</v>
      </c>
      <c r="C51" s="452" t="s">
        <v>467</v>
      </c>
      <c r="D51" s="456" t="s">
        <v>858</v>
      </c>
      <c r="E51" s="416" t="s">
        <v>862</v>
      </c>
      <c r="F51" s="417" t="s">
        <v>863</v>
      </c>
      <c r="G51" s="418" t="s">
        <v>951</v>
      </c>
      <c r="H51" s="418" t="s">
        <v>952</v>
      </c>
      <c r="I51" s="424" t="s">
        <v>391</v>
      </c>
      <c r="J51" s="418" t="s">
        <v>377</v>
      </c>
      <c r="K51" s="430" t="s">
        <v>373</v>
      </c>
      <c r="L51" s="418" t="s">
        <v>1044</v>
      </c>
      <c r="M51" s="418" t="s">
        <v>339</v>
      </c>
      <c r="N51" s="418" t="s">
        <v>360</v>
      </c>
      <c r="O51" s="456" t="s">
        <v>419</v>
      </c>
      <c r="P51" s="419" t="s">
        <v>361</v>
      </c>
      <c r="Q51" s="407"/>
      <c r="R51" s="407"/>
      <c r="S51" s="407"/>
      <c r="T51" s="407">
        <f>500-500+200</f>
        <v>200</v>
      </c>
      <c r="U51" s="407">
        <v>500</v>
      </c>
      <c r="V51" s="407">
        <v>500</v>
      </c>
      <c r="W51" s="407">
        <v>500</v>
      </c>
      <c r="X51" s="407">
        <v>500</v>
      </c>
      <c r="Y51" s="407">
        <v>500</v>
      </c>
      <c r="Z51" s="394"/>
      <c r="AA51" s="394"/>
      <c r="AB51" s="394"/>
      <c r="AC51" s="391">
        <f t="shared" si="0"/>
        <v>2700</v>
      </c>
      <c r="AD51" s="510" t="s">
        <v>1015</v>
      </c>
    </row>
    <row r="52" spans="2:30" ht="16.2" thickBot="1">
      <c r="B52" s="456" t="s">
        <v>513</v>
      </c>
      <c r="C52" s="452" t="s">
        <v>467</v>
      </c>
      <c r="D52" s="456" t="s">
        <v>858</v>
      </c>
      <c r="E52" s="416" t="s">
        <v>953</v>
      </c>
      <c r="F52" s="417" t="s">
        <v>954</v>
      </c>
      <c r="G52" s="418" t="s">
        <v>955</v>
      </c>
      <c r="H52" s="418" t="s">
        <v>956</v>
      </c>
      <c r="I52" s="424" t="s">
        <v>391</v>
      </c>
      <c r="J52" s="418" t="s">
        <v>377</v>
      </c>
      <c r="K52" s="430" t="s">
        <v>373</v>
      </c>
      <c r="L52" s="418" t="s">
        <v>1045</v>
      </c>
      <c r="M52" s="418" t="s">
        <v>339</v>
      </c>
      <c r="N52" s="418" t="s">
        <v>360</v>
      </c>
      <c r="O52" s="456" t="s">
        <v>419</v>
      </c>
      <c r="P52" s="419" t="s">
        <v>361</v>
      </c>
      <c r="Q52" s="407"/>
      <c r="R52" s="407"/>
      <c r="S52" s="407"/>
      <c r="T52" s="407">
        <f>4000-2000-800</f>
        <v>1200</v>
      </c>
      <c r="U52" s="407">
        <v>4000</v>
      </c>
      <c r="V52" s="407">
        <v>4000</v>
      </c>
      <c r="W52" s="407">
        <v>5000</v>
      </c>
      <c r="X52" s="407">
        <v>5000</v>
      </c>
      <c r="Y52" s="407">
        <v>5000</v>
      </c>
      <c r="Z52" s="394"/>
      <c r="AA52" s="394"/>
      <c r="AB52" s="394"/>
      <c r="AC52" s="391">
        <f t="shared" si="0"/>
        <v>24200</v>
      </c>
      <c r="AD52" s="510" t="s">
        <v>1015</v>
      </c>
    </row>
    <row r="53" spans="2:30" ht="16.2" thickBot="1">
      <c r="B53" s="456" t="s">
        <v>513</v>
      </c>
      <c r="C53" s="452" t="s">
        <v>467</v>
      </c>
      <c r="D53" s="456" t="s">
        <v>858</v>
      </c>
      <c r="E53" s="416" t="s">
        <v>919</v>
      </c>
      <c r="F53" s="417" t="s">
        <v>920</v>
      </c>
      <c r="G53" s="418" t="s">
        <v>957</v>
      </c>
      <c r="H53" s="418" t="s">
        <v>958</v>
      </c>
      <c r="I53" s="424" t="s">
        <v>391</v>
      </c>
      <c r="J53" s="418" t="s">
        <v>377</v>
      </c>
      <c r="K53" s="430" t="s">
        <v>373</v>
      </c>
      <c r="L53" s="418" t="s">
        <v>1045</v>
      </c>
      <c r="M53" s="418" t="s">
        <v>339</v>
      </c>
      <c r="N53" s="418" t="s">
        <v>360</v>
      </c>
      <c r="O53" s="456" t="s">
        <v>419</v>
      </c>
      <c r="P53" s="426" t="s">
        <v>861</v>
      </c>
      <c r="Q53" s="407"/>
      <c r="R53" s="407"/>
      <c r="S53" s="407"/>
      <c r="T53" s="407">
        <f>2000-2000+300</f>
        <v>300</v>
      </c>
      <c r="U53" s="407">
        <v>2000</v>
      </c>
      <c r="V53" s="407">
        <v>2000</v>
      </c>
      <c r="W53" s="407">
        <v>3000</v>
      </c>
      <c r="X53" s="407">
        <v>3000</v>
      </c>
      <c r="Y53" s="407">
        <v>3000</v>
      </c>
      <c r="Z53" s="394"/>
      <c r="AA53" s="394"/>
      <c r="AB53" s="394"/>
      <c r="AC53" s="391">
        <f t="shared" si="0"/>
        <v>13300</v>
      </c>
      <c r="AD53" s="510" t="s">
        <v>1015</v>
      </c>
    </row>
    <row r="54" spans="2:30" ht="16.2" thickBot="1">
      <c r="B54" s="456" t="s">
        <v>513</v>
      </c>
      <c r="C54" s="452" t="s">
        <v>467</v>
      </c>
      <c r="D54" s="456" t="s">
        <v>858</v>
      </c>
      <c r="E54" s="416" t="s">
        <v>959</v>
      </c>
      <c r="F54" s="417" t="s">
        <v>960</v>
      </c>
      <c r="G54" s="418" t="s">
        <v>961</v>
      </c>
      <c r="H54" s="418" t="s">
        <v>962</v>
      </c>
      <c r="I54" s="424" t="s">
        <v>391</v>
      </c>
      <c r="J54" s="418" t="s">
        <v>377</v>
      </c>
      <c r="K54" s="430" t="s">
        <v>373</v>
      </c>
      <c r="L54" s="418" t="s">
        <v>1045</v>
      </c>
      <c r="M54" s="418" t="s">
        <v>339</v>
      </c>
      <c r="N54" s="418" t="s">
        <v>369</v>
      </c>
      <c r="O54" s="456" t="s">
        <v>419</v>
      </c>
      <c r="P54" s="419" t="s">
        <v>361</v>
      </c>
      <c r="Q54" s="407"/>
      <c r="R54" s="407"/>
      <c r="S54" s="407"/>
      <c r="T54" s="407">
        <f>1200-1200+300</f>
        <v>300</v>
      </c>
      <c r="U54" s="407">
        <v>1200</v>
      </c>
      <c r="V54" s="407">
        <v>1200</v>
      </c>
      <c r="W54" s="407">
        <v>1500</v>
      </c>
      <c r="X54" s="407">
        <v>1500</v>
      </c>
      <c r="Y54" s="407">
        <v>1500</v>
      </c>
      <c r="Z54" s="394"/>
      <c r="AA54" s="394"/>
      <c r="AB54" s="394"/>
      <c r="AC54" s="391">
        <f t="shared" si="0"/>
        <v>7200</v>
      </c>
      <c r="AD54" s="510" t="s">
        <v>1015</v>
      </c>
    </row>
    <row r="55" spans="2:30" ht="16.2" thickBot="1">
      <c r="B55" s="456" t="s">
        <v>513</v>
      </c>
      <c r="C55" s="452" t="s">
        <v>467</v>
      </c>
      <c r="D55" s="456" t="s">
        <v>858</v>
      </c>
      <c r="E55" s="416" t="s">
        <v>921</v>
      </c>
      <c r="F55" s="417" t="s">
        <v>922</v>
      </c>
      <c r="G55" s="418" t="s">
        <v>963</v>
      </c>
      <c r="H55" s="418" t="s">
        <v>964</v>
      </c>
      <c r="I55" s="424" t="s">
        <v>391</v>
      </c>
      <c r="J55" s="418" t="s">
        <v>377</v>
      </c>
      <c r="K55" s="430" t="s">
        <v>373</v>
      </c>
      <c r="L55" s="418" t="s">
        <v>276</v>
      </c>
      <c r="M55" s="418" t="s">
        <v>339</v>
      </c>
      <c r="N55" s="418" t="s">
        <v>369</v>
      </c>
      <c r="O55" s="456" t="s">
        <v>419</v>
      </c>
      <c r="P55" s="426" t="s">
        <v>861</v>
      </c>
      <c r="Q55" s="407"/>
      <c r="R55" s="407"/>
      <c r="S55" s="407"/>
      <c r="T55" s="407">
        <f>100-100+100</f>
        <v>100</v>
      </c>
      <c r="U55" s="407">
        <v>100</v>
      </c>
      <c r="V55" s="407">
        <v>100</v>
      </c>
      <c r="W55" s="407">
        <v>150</v>
      </c>
      <c r="X55" s="407">
        <v>150</v>
      </c>
      <c r="Y55" s="407">
        <v>150</v>
      </c>
      <c r="Z55" s="394"/>
      <c r="AA55" s="394"/>
      <c r="AB55" s="394"/>
      <c r="AC55" s="391">
        <f t="shared" si="0"/>
        <v>750</v>
      </c>
      <c r="AD55" s="510" t="s">
        <v>1015</v>
      </c>
    </row>
    <row r="56" spans="2:30" ht="16.2" thickBot="1">
      <c r="B56" s="415" t="s">
        <v>512</v>
      </c>
      <c r="C56" s="452" t="s">
        <v>467</v>
      </c>
      <c r="D56" s="453" t="s">
        <v>408</v>
      </c>
      <c r="E56" s="453" t="s">
        <v>346</v>
      </c>
      <c r="F56" s="453" t="s">
        <v>346</v>
      </c>
      <c r="G56" s="453" t="s">
        <v>666</v>
      </c>
      <c r="H56" s="453" t="s">
        <v>487</v>
      </c>
      <c r="I56" s="455" t="s">
        <v>376</v>
      </c>
      <c r="J56" s="456" t="s">
        <v>340</v>
      </c>
      <c r="K56" s="474" t="s">
        <v>667</v>
      </c>
      <c r="L56" s="456" t="s">
        <v>108</v>
      </c>
      <c r="M56" s="456" t="s">
        <v>339</v>
      </c>
      <c r="N56" s="456" t="s">
        <v>360</v>
      </c>
      <c r="O56" s="456" t="s">
        <v>418</v>
      </c>
      <c r="P56" s="453" t="s">
        <v>336</v>
      </c>
      <c r="Q56" s="407">
        <v>1500</v>
      </c>
      <c r="R56" s="407">
        <v>2500</v>
      </c>
      <c r="S56" s="407">
        <v>2500</v>
      </c>
      <c r="T56" s="407">
        <v>3000</v>
      </c>
      <c r="U56" s="407">
        <v>2800</v>
      </c>
      <c r="V56" s="407">
        <v>0</v>
      </c>
      <c r="W56" s="407"/>
      <c r="X56" s="407"/>
      <c r="Y56" s="407"/>
      <c r="Z56" s="394"/>
      <c r="AA56" s="394"/>
      <c r="AB56" s="394"/>
      <c r="AC56" s="391">
        <f t="shared" si="0"/>
        <v>12300</v>
      </c>
      <c r="AD56" s="508">
        <v>45047</v>
      </c>
    </row>
    <row r="57" spans="2:30" ht="16.2" thickBot="1">
      <c r="B57" s="420" t="s">
        <v>512</v>
      </c>
      <c r="C57" s="469" t="s">
        <v>467</v>
      </c>
      <c r="D57" s="453" t="s">
        <v>408</v>
      </c>
      <c r="E57" s="453" t="s">
        <v>346</v>
      </c>
      <c r="F57" s="453" t="s">
        <v>346</v>
      </c>
      <c r="G57" s="464" t="s">
        <v>668</v>
      </c>
      <c r="H57" s="464" t="s">
        <v>589</v>
      </c>
      <c r="I57" s="455" t="s">
        <v>376</v>
      </c>
      <c r="J57" s="456" t="s">
        <v>340</v>
      </c>
      <c r="K57" s="474" t="s">
        <v>266</v>
      </c>
      <c r="L57" s="456" t="s">
        <v>669</v>
      </c>
      <c r="M57" s="456" t="s">
        <v>537</v>
      </c>
      <c r="N57" s="456" t="s">
        <v>670</v>
      </c>
      <c r="O57" s="456" t="s">
        <v>418</v>
      </c>
      <c r="P57" s="414" t="s">
        <v>514</v>
      </c>
      <c r="Q57" s="407"/>
      <c r="R57" s="407">
        <v>1200</v>
      </c>
      <c r="S57" s="407">
        <v>1500</v>
      </c>
      <c r="T57" s="407">
        <v>1000</v>
      </c>
      <c r="U57" s="407">
        <v>1000</v>
      </c>
      <c r="V57" s="407">
        <v>0</v>
      </c>
      <c r="W57" s="407"/>
      <c r="X57" s="407"/>
      <c r="Y57" s="407"/>
      <c r="Z57" s="394"/>
      <c r="AA57" s="394"/>
      <c r="AB57" s="394"/>
      <c r="AC57" s="391">
        <f t="shared" si="0"/>
        <v>4700</v>
      </c>
      <c r="AD57" s="508">
        <v>45047</v>
      </c>
    </row>
    <row r="58" spans="2:30" ht="16.2" thickBot="1">
      <c r="B58" s="420" t="s">
        <v>513</v>
      </c>
      <c r="C58" s="469" t="s">
        <v>467</v>
      </c>
      <c r="D58" s="453" t="s">
        <v>671</v>
      </c>
      <c r="E58" s="453" t="s">
        <v>346</v>
      </c>
      <c r="F58" s="453" t="s">
        <v>346</v>
      </c>
      <c r="G58" s="464" t="s">
        <v>672</v>
      </c>
      <c r="H58" s="464" t="s">
        <v>673</v>
      </c>
      <c r="I58" s="455" t="s">
        <v>674</v>
      </c>
      <c r="J58" s="475" t="s">
        <v>675</v>
      </c>
      <c r="K58" s="474" t="s">
        <v>676</v>
      </c>
      <c r="L58" s="453" t="s">
        <v>669</v>
      </c>
      <c r="M58" s="453" t="s">
        <v>537</v>
      </c>
      <c r="N58" s="453" t="s">
        <v>670</v>
      </c>
      <c r="O58" s="456" t="s">
        <v>418</v>
      </c>
      <c r="P58" s="453" t="s">
        <v>336</v>
      </c>
      <c r="Q58" s="407">
        <v>0</v>
      </c>
      <c r="R58" s="407"/>
      <c r="S58" s="407"/>
      <c r="T58" s="407">
        <v>0</v>
      </c>
      <c r="U58" s="407">
        <v>0</v>
      </c>
      <c r="V58" s="407">
        <v>0</v>
      </c>
      <c r="W58" s="407"/>
      <c r="X58" s="407"/>
      <c r="Y58" s="407"/>
      <c r="Z58" s="394"/>
      <c r="AA58" s="394"/>
      <c r="AB58" s="394"/>
      <c r="AC58" s="391">
        <f t="shared" si="0"/>
        <v>0</v>
      </c>
      <c r="AD58" s="508">
        <v>44927</v>
      </c>
    </row>
    <row r="59" spans="2:30" ht="16.2" thickBot="1">
      <c r="B59" s="420" t="s">
        <v>513</v>
      </c>
      <c r="C59" s="469" t="s">
        <v>467</v>
      </c>
      <c r="D59" s="453" t="s">
        <v>671</v>
      </c>
      <c r="E59" s="453" t="s">
        <v>346</v>
      </c>
      <c r="F59" s="453" t="s">
        <v>346</v>
      </c>
      <c r="G59" s="464" t="s">
        <v>677</v>
      </c>
      <c r="H59" s="464" t="s">
        <v>678</v>
      </c>
      <c r="I59" s="455" t="s">
        <v>674</v>
      </c>
      <c r="J59" s="475" t="s">
        <v>675</v>
      </c>
      <c r="K59" s="474" t="s">
        <v>676</v>
      </c>
      <c r="L59" s="453" t="s">
        <v>669</v>
      </c>
      <c r="M59" s="453" t="s">
        <v>537</v>
      </c>
      <c r="N59" s="453" t="s">
        <v>670</v>
      </c>
      <c r="O59" s="456" t="s">
        <v>418</v>
      </c>
      <c r="P59" s="414" t="s">
        <v>514</v>
      </c>
      <c r="Q59" s="407">
        <v>500</v>
      </c>
      <c r="R59" s="407">
        <v>0</v>
      </c>
      <c r="S59" s="407">
        <v>0</v>
      </c>
      <c r="T59" s="407">
        <v>0</v>
      </c>
      <c r="U59" s="407">
        <v>0</v>
      </c>
      <c r="V59" s="407">
        <v>0</v>
      </c>
      <c r="W59" s="407"/>
      <c r="X59" s="407"/>
      <c r="Y59" s="407"/>
      <c r="Z59" s="394"/>
      <c r="AA59" s="394"/>
      <c r="AB59" s="394"/>
      <c r="AC59" s="391">
        <f t="shared" si="0"/>
        <v>500</v>
      </c>
      <c r="AD59" s="508">
        <v>44927</v>
      </c>
    </row>
    <row r="60" spans="2:30" ht="16.2" thickBot="1">
      <c r="B60" s="453" t="s">
        <v>513</v>
      </c>
      <c r="C60" s="469" t="s">
        <v>467</v>
      </c>
      <c r="D60" s="453" t="s">
        <v>440</v>
      </c>
      <c r="E60" s="453" t="s">
        <v>600</v>
      </c>
      <c r="F60" s="453" t="s">
        <v>601</v>
      </c>
      <c r="G60" s="476" t="s">
        <v>693</v>
      </c>
      <c r="H60" s="476" t="s">
        <v>694</v>
      </c>
      <c r="I60" s="473" t="s">
        <v>391</v>
      </c>
      <c r="J60" s="418" t="s">
        <v>381</v>
      </c>
      <c r="K60" s="431" t="s">
        <v>602</v>
      </c>
      <c r="L60" s="456" t="s">
        <v>108</v>
      </c>
      <c r="M60" s="456" t="s">
        <v>339</v>
      </c>
      <c r="N60" s="456" t="s">
        <v>360</v>
      </c>
      <c r="O60" s="456" t="s">
        <v>452</v>
      </c>
      <c r="P60" s="456" t="s">
        <v>361</v>
      </c>
      <c r="Q60" s="407"/>
      <c r="R60" s="407">
        <v>0</v>
      </c>
      <c r="S60" s="407">
        <v>0</v>
      </c>
      <c r="T60" s="407">
        <v>0</v>
      </c>
      <c r="U60" s="407">
        <v>500</v>
      </c>
      <c r="V60" s="407">
        <v>3000</v>
      </c>
      <c r="W60" s="407">
        <v>4000</v>
      </c>
      <c r="X60" s="407">
        <v>4000</v>
      </c>
      <c r="Y60" s="407">
        <v>4000</v>
      </c>
      <c r="Z60" s="394"/>
      <c r="AA60" s="394"/>
      <c r="AB60" s="394"/>
      <c r="AC60" s="391">
        <f t="shared" si="0"/>
        <v>15500</v>
      </c>
      <c r="AD60" s="509" t="s">
        <v>1015</v>
      </c>
    </row>
    <row r="61" spans="2:30" ht="16.2" thickBot="1">
      <c r="B61" s="415" t="s">
        <v>513</v>
      </c>
      <c r="C61" s="452" t="s">
        <v>467</v>
      </c>
      <c r="D61" s="453" t="s">
        <v>440</v>
      </c>
      <c r="E61" s="453" t="s">
        <v>346</v>
      </c>
      <c r="F61" s="453" t="s">
        <v>346</v>
      </c>
      <c r="G61" s="476" t="s">
        <v>695</v>
      </c>
      <c r="H61" s="476" t="s">
        <v>696</v>
      </c>
      <c r="I61" s="473" t="s">
        <v>391</v>
      </c>
      <c r="J61" s="456" t="s">
        <v>381</v>
      </c>
      <c r="K61" s="474" t="s">
        <v>602</v>
      </c>
      <c r="L61" s="456" t="s">
        <v>108</v>
      </c>
      <c r="M61" s="456" t="s">
        <v>339</v>
      </c>
      <c r="N61" s="456" t="s">
        <v>360</v>
      </c>
      <c r="O61" s="456" t="s">
        <v>452</v>
      </c>
      <c r="P61" s="414" t="s">
        <v>596</v>
      </c>
      <c r="Q61" s="407">
        <v>0</v>
      </c>
      <c r="R61" s="407">
        <v>0</v>
      </c>
      <c r="S61" s="407">
        <v>0</v>
      </c>
      <c r="T61" s="407">
        <v>0</v>
      </c>
      <c r="U61" s="407">
        <v>100</v>
      </c>
      <c r="V61" s="407">
        <v>1200</v>
      </c>
      <c r="W61" s="407">
        <v>2000</v>
      </c>
      <c r="X61" s="407">
        <v>2000</v>
      </c>
      <c r="Y61" s="407">
        <v>2000</v>
      </c>
      <c r="Z61" s="388"/>
      <c r="AA61" s="388"/>
      <c r="AB61" s="388"/>
      <c r="AC61" s="391">
        <f t="shared" si="0"/>
        <v>7300</v>
      </c>
      <c r="AD61" s="509" t="s">
        <v>1015</v>
      </c>
    </row>
    <row r="62" spans="2:30" ht="16.2" thickBot="1">
      <c r="B62" s="415" t="s">
        <v>513</v>
      </c>
      <c r="C62" s="452" t="s">
        <v>467</v>
      </c>
      <c r="D62" s="453" t="s">
        <v>440</v>
      </c>
      <c r="E62" s="416" t="s">
        <v>864</v>
      </c>
      <c r="F62" s="417" t="s">
        <v>865</v>
      </c>
      <c r="G62" s="417" t="s">
        <v>855</v>
      </c>
      <c r="H62" s="417" t="s">
        <v>855</v>
      </c>
      <c r="I62" s="473" t="s">
        <v>391</v>
      </c>
      <c r="J62" s="418" t="s">
        <v>381</v>
      </c>
      <c r="K62" s="474" t="s">
        <v>602</v>
      </c>
      <c r="L62" s="418" t="s">
        <v>108</v>
      </c>
      <c r="M62" s="418" t="s">
        <v>339</v>
      </c>
      <c r="N62" s="418" t="s">
        <v>369</v>
      </c>
      <c r="O62" s="456" t="s">
        <v>452</v>
      </c>
      <c r="P62" s="418" t="s">
        <v>361</v>
      </c>
      <c r="Q62" s="407"/>
      <c r="R62" s="407">
        <v>0</v>
      </c>
      <c r="S62" s="407">
        <v>0</v>
      </c>
      <c r="T62" s="407">
        <v>0</v>
      </c>
      <c r="U62" s="407">
        <v>100</v>
      </c>
      <c r="V62" s="407">
        <v>100</v>
      </c>
      <c r="W62" s="407">
        <v>300</v>
      </c>
      <c r="X62" s="407">
        <v>300</v>
      </c>
      <c r="Y62" s="407">
        <v>300</v>
      </c>
      <c r="Z62" s="394"/>
      <c r="AA62" s="394"/>
      <c r="AB62" s="394"/>
      <c r="AC62" s="391">
        <f t="shared" si="0"/>
        <v>1100</v>
      </c>
      <c r="AD62" s="510" t="s">
        <v>1015</v>
      </c>
    </row>
    <row r="63" spans="2:30" ht="16.2" thickBot="1">
      <c r="B63" s="415" t="s">
        <v>513</v>
      </c>
      <c r="C63" s="452" t="s">
        <v>467</v>
      </c>
      <c r="D63" s="453" t="s">
        <v>440</v>
      </c>
      <c r="E63" s="453" t="s">
        <v>639</v>
      </c>
      <c r="F63" s="453" t="s">
        <v>603</v>
      </c>
      <c r="G63" s="476" t="s">
        <v>697</v>
      </c>
      <c r="H63" s="476" t="s">
        <v>698</v>
      </c>
      <c r="I63" s="473" t="s">
        <v>391</v>
      </c>
      <c r="J63" s="456" t="s">
        <v>377</v>
      </c>
      <c r="K63" s="474" t="s">
        <v>604</v>
      </c>
      <c r="L63" s="456" t="s">
        <v>108</v>
      </c>
      <c r="M63" s="456" t="s">
        <v>339</v>
      </c>
      <c r="N63" s="456" t="s">
        <v>360</v>
      </c>
      <c r="O63" s="456" t="s">
        <v>452</v>
      </c>
      <c r="P63" s="456" t="s">
        <v>361</v>
      </c>
      <c r="Q63" s="407">
        <v>0</v>
      </c>
      <c r="R63" s="407"/>
      <c r="S63" s="407"/>
      <c r="T63" s="407">
        <v>0</v>
      </c>
      <c r="U63" s="407">
        <v>100</v>
      </c>
      <c r="V63" s="407">
        <v>100</v>
      </c>
      <c r="W63" s="407">
        <v>300</v>
      </c>
      <c r="X63" s="407">
        <v>300</v>
      </c>
      <c r="Y63" s="407">
        <v>300</v>
      </c>
      <c r="Z63" s="394"/>
      <c r="AA63" s="394"/>
      <c r="AB63" s="394"/>
      <c r="AC63" s="391">
        <f t="shared" si="0"/>
        <v>1100</v>
      </c>
      <c r="AD63" s="509" t="s">
        <v>1015</v>
      </c>
    </row>
    <row r="64" spans="2:30" ht="16.2" thickBot="1">
      <c r="B64" s="415" t="s">
        <v>513</v>
      </c>
      <c r="C64" s="452" t="s">
        <v>467</v>
      </c>
      <c r="D64" s="453" t="s">
        <v>440</v>
      </c>
      <c r="E64" s="413" t="s">
        <v>917</v>
      </c>
      <c r="F64" s="418" t="s">
        <v>918</v>
      </c>
      <c r="G64" s="418" t="s">
        <v>965</v>
      </c>
      <c r="H64" s="418" t="s">
        <v>966</v>
      </c>
      <c r="I64" s="473" t="s">
        <v>391</v>
      </c>
      <c r="J64" s="418" t="s">
        <v>381</v>
      </c>
      <c r="K64" s="474" t="s">
        <v>604</v>
      </c>
      <c r="L64" s="418" t="s">
        <v>108</v>
      </c>
      <c r="M64" s="418" t="s">
        <v>339</v>
      </c>
      <c r="N64" s="418" t="s">
        <v>360</v>
      </c>
      <c r="O64" s="456" t="s">
        <v>452</v>
      </c>
      <c r="P64" s="426" t="s">
        <v>867</v>
      </c>
      <c r="Q64" s="407"/>
      <c r="R64" s="407">
        <v>0</v>
      </c>
      <c r="S64" s="407">
        <v>0</v>
      </c>
      <c r="T64" s="407">
        <v>0</v>
      </c>
      <c r="U64" s="407">
        <v>50</v>
      </c>
      <c r="V64" s="407">
        <v>50</v>
      </c>
      <c r="W64" s="407">
        <v>100</v>
      </c>
      <c r="X64" s="407">
        <v>100</v>
      </c>
      <c r="Y64" s="407">
        <v>100</v>
      </c>
      <c r="Z64" s="394"/>
      <c r="AA64" s="394"/>
      <c r="AB64" s="394"/>
      <c r="AC64" s="391">
        <f t="shared" si="0"/>
        <v>400</v>
      </c>
      <c r="AD64" s="510" t="s">
        <v>1015</v>
      </c>
    </row>
    <row r="65" spans="2:30" ht="16.2" thickBot="1">
      <c r="B65" s="415" t="s">
        <v>513</v>
      </c>
      <c r="C65" s="452" t="s">
        <v>467</v>
      </c>
      <c r="D65" s="453" t="s">
        <v>440</v>
      </c>
      <c r="E65" s="453" t="s">
        <v>640</v>
      </c>
      <c r="F65" s="453" t="s">
        <v>605</v>
      </c>
      <c r="G65" s="418" t="s">
        <v>679</v>
      </c>
      <c r="H65" s="476" t="s">
        <v>765</v>
      </c>
      <c r="I65" s="473" t="s">
        <v>391</v>
      </c>
      <c r="J65" s="456" t="s">
        <v>377</v>
      </c>
      <c r="K65" s="474" t="s">
        <v>604</v>
      </c>
      <c r="L65" s="456" t="s">
        <v>276</v>
      </c>
      <c r="M65" s="456" t="s">
        <v>339</v>
      </c>
      <c r="N65" s="456" t="s">
        <v>360</v>
      </c>
      <c r="O65" s="456" t="s">
        <v>452</v>
      </c>
      <c r="P65" s="453" t="s">
        <v>336</v>
      </c>
      <c r="Q65" s="407">
        <v>0</v>
      </c>
      <c r="R65" s="407"/>
      <c r="S65" s="407"/>
      <c r="T65" s="407">
        <v>0</v>
      </c>
      <c r="U65" s="512">
        <f>30-10+10</f>
        <v>30</v>
      </c>
      <c r="V65" s="512">
        <f>30-10</f>
        <v>20</v>
      </c>
      <c r="W65" s="407">
        <f>50-20</f>
        <v>30</v>
      </c>
      <c r="X65" s="407">
        <f>50-20</f>
        <v>30</v>
      </c>
      <c r="Y65" s="407">
        <f>50-20</f>
        <v>30</v>
      </c>
      <c r="Z65" s="394"/>
      <c r="AA65" s="394"/>
      <c r="AB65" s="394"/>
      <c r="AC65" s="391">
        <f t="shared" si="0"/>
        <v>140</v>
      </c>
      <c r="AD65" s="509" t="s">
        <v>1015</v>
      </c>
    </row>
    <row r="66" spans="2:30" ht="16.2" thickBot="1">
      <c r="B66" s="415" t="s">
        <v>513</v>
      </c>
      <c r="C66" s="452" t="s">
        <v>467</v>
      </c>
      <c r="D66" s="453" t="s">
        <v>440</v>
      </c>
      <c r="E66" s="500" t="s">
        <v>1046</v>
      </c>
      <c r="F66" s="500" t="s">
        <v>1047</v>
      </c>
      <c r="G66" s="501" t="s">
        <v>342</v>
      </c>
      <c r="H66" s="501" t="s">
        <v>342</v>
      </c>
      <c r="I66" s="473" t="s">
        <v>391</v>
      </c>
      <c r="J66" s="456" t="s">
        <v>377</v>
      </c>
      <c r="K66" s="474" t="s">
        <v>604</v>
      </c>
      <c r="L66" s="456" t="s">
        <v>276</v>
      </c>
      <c r="M66" s="456" t="s">
        <v>339</v>
      </c>
      <c r="N66" s="456" t="s">
        <v>360</v>
      </c>
      <c r="O66" s="456" t="s">
        <v>452</v>
      </c>
      <c r="P66" s="426" t="s">
        <v>867</v>
      </c>
      <c r="Q66" s="407"/>
      <c r="R66" s="407"/>
      <c r="S66" s="407"/>
      <c r="T66" s="407">
        <v>0</v>
      </c>
      <c r="U66" s="407">
        <f>30-30</f>
        <v>0</v>
      </c>
      <c r="V66" s="407">
        <v>30</v>
      </c>
      <c r="W66" s="407">
        <v>50</v>
      </c>
      <c r="X66" s="407">
        <v>50</v>
      </c>
      <c r="Y66" s="407">
        <v>50</v>
      </c>
      <c r="Z66" s="394"/>
      <c r="AA66" s="394"/>
      <c r="AB66" s="394"/>
      <c r="AC66" s="391">
        <f t="shared" si="0"/>
        <v>180</v>
      </c>
      <c r="AD66" s="509" t="s">
        <v>1015</v>
      </c>
    </row>
    <row r="67" spans="2:30" ht="16.2" thickBot="1">
      <c r="B67" s="415" t="s">
        <v>513</v>
      </c>
      <c r="C67" s="452" t="s">
        <v>467</v>
      </c>
      <c r="D67" s="453" t="s">
        <v>440</v>
      </c>
      <c r="E67" s="500" t="s">
        <v>982</v>
      </c>
      <c r="F67" s="500" t="s">
        <v>983</v>
      </c>
      <c r="G67" s="501" t="s">
        <v>342</v>
      </c>
      <c r="H67" s="501" t="s">
        <v>342</v>
      </c>
      <c r="I67" s="473" t="s">
        <v>866</v>
      </c>
      <c r="J67" s="456" t="s">
        <v>381</v>
      </c>
      <c r="K67" s="474" t="s">
        <v>620</v>
      </c>
      <c r="L67" s="456" t="s">
        <v>276</v>
      </c>
      <c r="M67" s="456" t="s">
        <v>339</v>
      </c>
      <c r="N67" s="456" t="s">
        <v>369</v>
      </c>
      <c r="O67" s="456" t="s">
        <v>452</v>
      </c>
      <c r="P67" s="456" t="s">
        <v>361</v>
      </c>
      <c r="Q67" s="407">
        <v>0</v>
      </c>
      <c r="R67" s="407">
        <v>0</v>
      </c>
      <c r="S67" s="407">
        <v>0</v>
      </c>
      <c r="T67" s="407"/>
      <c r="U67" s="407"/>
      <c r="V67" s="407"/>
      <c r="W67" s="407">
        <v>50</v>
      </c>
      <c r="X67" s="407">
        <v>50</v>
      </c>
      <c r="Y67" s="407">
        <v>50</v>
      </c>
      <c r="Z67" s="394"/>
      <c r="AA67" s="394"/>
      <c r="AB67" s="394"/>
      <c r="AC67" s="391">
        <f t="shared" si="0"/>
        <v>150</v>
      </c>
      <c r="AD67" s="508" t="s">
        <v>1015</v>
      </c>
    </row>
    <row r="68" spans="2:30" ht="16.2" thickBot="1">
      <c r="B68" s="413" t="s">
        <v>506</v>
      </c>
      <c r="C68" s="452" t="s">
        <v>467</v>
      </c>
      <c r="D68" s="453" t="s">
        <v>110</v>
      </c>
      <c r="E68" s="433" t="s">
        <v>641</v>
      </c>
      <c r="F68" s="433" t="s">
        <v>460</v>
      </c>
      <c r="G68" s="453" t="s">
        <v>542</v>
      </c>
      <c r="H68" s="453" t="s">
        <v>488</v>
      </c>
      <c r="I68" s="455" t="s">
        <v>376</v>
      </c>
      <c r="J68" s="456" t="s">
        <v>377</v>
      </c>
      <c r="K68" s="471" t="s">
        <v>297</v>
      </c>
      <c r="L68" s="453" t="s">
        <v>108</v>
      </c>
      <c r="M68" s="453" t="s">
        <v>378</v>
      </c>
      <c r="N68" s="453" t="s">
        <v>360</v>
      </c>
      <c r="O68" s="456" t="s">
        <v>419</v>
      </c>
      <c r="P68" s="453" t="s">
        <v>461</v>
      </c>
      <c r="Q68" s="407">
        <v>0</v>
      </c>
      <c r="R68" s="407">
        <v>0</v>
      </c>
      <c r="S68" s="407"/>
      <c r="T68" s="407">
        <v>0</v>
      </c>
      <c r="U68" s="407">
        <v>0</v>
      </c>
      <c r="V68" s="407">
        <v>0</v>
      </c>
      <c r="W68" s="407"/>
      <c r="X68" s="407"/>
      <c r="Y68" s="407"/>
      <c r="Z68" s="394"/>
      <c r="AA68" s="394"/>
      <c r="AB68" s="394"/>
      <c r="AC68" s="391">
        <f t="shared" si="0"/>
        <v>0</v>
      </c>
      <c r="AD68" s="508">
        <v>44713</v>
      </c>
    </row>
    <row r="69" spans="2:30" ht="16.2" thickBot="1">
      <c r="B69" s="420" t="s">
        <v>506</v>
      </c>
      <c r="C69" s="469" t="s">
        <v>467</v>
      </c>
      <c r="D69" s="453" t="s">
        <v>110</v>
      </c>
      <c r="E69" s="433" t="s">
        <v>642</v>
      </c>
      <c r="F69" s="433" t="s">
        <v>462</v>
      </c>
      <c r="G69" s="453" t="s">
        <v>699</v>
      </c>
      <c r="H69" s="453" t="s">
        <v>735</v>
      </c>
      <c r="I69" s="455" t="s">
        <v>376</v>
      </c>
      <c r="J69" s="456" t="s">
        <v>377</v>
      </c>
      <c r="K69" s="471" t="s">
        <v>297</v>
      </c>
      <c r="L69" s="453" t="s">
        <v>108</v>
      </c>
      <c r="M69" s="453" t="s">
        <v>378</v>
      </c>
      <c r="N69" s="453" t="s">
        <v>379</v>
      </c>
      <c r="O69" s="456" t="s">
        <v>419</v>
      </c>
      <c r="P69" s="453" t="s">
        <v>461</v>
      </c>
      <c r="Q69" s="407"/>
      <c r="R69" s="407"/>
      <c r="S69" s="407"/>
      <c r="T69" s="407">
        <v>0</v>
      </c>
      <c r="U69" s="407">
        <v>0</v>
      </c>
      <c r="V69" s="407">
        <v>0</v>
      </c>
      <c r="W69" s="407"/>
      <c r="X69" s="407"/>
      <c r="Y69" s="407"/>
      <c r="Z69" s="394"/>
      <c r="AA69" s="394"/>
      <c r="AB69" s="394"/>
      <c r="AC69" s="391">
        <f t="shared" ref="AC69:AC75" si="1">SUM(Q69:AB69)</f>
        <v>0</v>
      </c>
      <c r="AD69" s="508">
        <v>44986</v>
      </c>
    </row>
    <row r="70" spans="2:30" ht="16.2" thickBot="1">
      <c r="B70" s="420" t="s">
        <v>506</v>
      </c>
      <c r="C70" s="469" t="s">
        <v>467</v>
      </c>
      <c r="D70" s="453" t="s">
        <v>110</v>
      </c>
      <c r="E70" s="433" t="s">
        <v>700</v>
      </c>
      <c r="F70" s="433" t="s">
        <v>701</v>
      </c>
      <c r="G70" s="453" t="s">
        <v>736</v>
      </c>
      <c r="H70" s="453" t="s">
        <v>737</v>
      </c>
      <c r="I70" s="455" t="s">
        <v>376</v>
      </c>
      <c r="J70" s="456" t="s">
        <v>377</v>
      </c>
      <c r="K70" s="471" t="s">
        <v>297</v>
      </c>
      <c r="L70" s="453" t="s">
        <v>108</v>
      </c>
      <c r="M70" s="453" t="s">
        <v>378</v>
      </c>
      <c r="N70" s="453" t="s">
        <v>618</v>
      </c>
      <c r="O70" s="456" t="s">
        <v>419</v>
      </c>
      <c r="P70" s="453" t="s">
        <v>461</v>
      </c>
      <c r="Q70" s="407">
        <v>700</v>
      </c>
      <c r="R70" s="407">
        <v>1000</v>
      </c>
      <c r="S70" s="407">
        <v>950</v>
      </c>
      <c r="T70" s="407">
        <v>0</v>
      </c>
      <c r="U70" s="407">
        <v>0</v>
      </c>
      <c r="V70" s="407">
        <v>0</v>
      </c>
      <c r="W70" s="407"/>
      <c r="X70" s="407"/>
      <c r="Y70" s="407"/>
      <c r="Z70" s="394"/>
      <c r="AA70" s="394"/>
      <c r="AB70" s="394"/>
      <c r="AC70" s="391">
        <f t="shared" si="1"/>
        <v>2650</v>
      </c>
      <c r="AD70" s="508">
        <v>44986</v>
      </c>
    </row>
    <row r="71" spans="2:30" ht="16.2" thickBot="1">
      <c r="B71" s="420" t="s">
        <v>506</v>
      </c>
      <c r="C71" s="469" t="s">
        <v>467</v>
      </c>
      <c r="D71" s="422" t="s">
        <v>110</v>
      </c>
      <c r="E71" s="433" t="s">
        <v>463</v>
      </c>
      <c r="F71" s="433" t="s">
        <v>464</v>
      </c>
      <c r="G71" s="464" t="s">
        <v>738</v>
      </c>
      <c r="H71" s="464" t="s">
        <v>739</v>
      </c>
      <c r="I71" s="455" t="s">
        <v>376</v>
      </c>
      <c r="J71" s="456" t="s">
        <v>377</v>
      </c>
      <c r="K71" s="471" t="s">
        <v>297</v>
      </c>
      <c r="L71" s="422" t="s">
        <v>276</v>
      </c>
      <c r="M71" s="422" t="s">
        <v>378</v>
      </c>
      <c r="N71" s="422" t="s">
        <v>379</v>
      </c>
      <c r="O71" s="456" t="s">
        <v>419</v>
      </c>
      <c r="P71" s="453" t="s">
        <v>461</v>
      </c>
      <c r="Q71" s="407">
        <v>0</v>
      </c>
      <c r="R71" s="407"/>
      <c r="S71" s="407"/>
      <c r="T71" s="407">
        <v>0</v>
      </c>
      <c r="U71" s="407">
        <v>0</v>
      </c>
      <c r="V71" s="407">
        <v>0</v>
      </c>
      <c r="W71" s="407"/>
      <c r="X71" s="407"/>
      <c r="Y71" s="407"/>
      <c r="Z71" s="394"/>
      <c r="AA71" s="394"/>
      <c r="AB71" s="394"/>
      <c r="AC71" s="391">
        <f t="shared" si="1"/>
        <v>0</v>
      </c>
      <c r="AD71" s="508">
        <v>44986</v>
      </c>
    </row>
    <row r="72" spans="2:30" ht="16.2" thickBot="1">
      <c r="B72" s="420" t="s">
        <v>506</v>
      </c>
      <c r="C72" s="469" t="s">
        <v>467</v>
      </c>
      <c r="D72" s="422" t="s">
        <v>110</v>
      </c>
      <c r="E72" s="433" t="s">
        <v>702</v>
      </c>
      <c r="F72" s="433" t="s">
        <v>703</v>
      </c>
      <c r="G72" s="453" t="s">
        <v>740</v>
      </c>
      <c r="H72" s="453" t="s">
        <v>741</v>
      </c>
      <c r="I72" s="455" t="s">
        <v>376</v>
      </c>
      <c r="J72" s="456" t="s">
        <v>377</v>
      </c>
      <c r="K72" s="471" t="s">
        <v>297</v>
      </c>
      <c r="L72" s="422" t="s">
        <v>276</v>
      </c>
      <c r="M72" s="422" t="s">
        <v>378</v>
      </c>
      <c r="N72" s="453" t="s">
        <v>618</v>
      </c>
      <c r="O72" s="456" t="s">
        <v>419</v>
      </c>
      <c r="P72" s="453" t="s">
        <v>461</v>
      </c>
      <c r="Q72" s="407"/>
      <c r="R72" s="407">
        <v>50</v>
      </c>
      <c r="S72" s="407">
        <v>100</v>
      </c>
      <c r="T72" s="407">
        <v>0</v>
      </c>
      <c r="U72" s="407">
        <v>0</v>
      </c>
      <c r="V72" s="407">
        <v>0</v>
      </c>
      <c r="W72" s="407"/>
      <c r="X72" s="407"/>
      <c r="Y72" s="407"/>
      <c r="Z72" s="394"/>
      <c r="AA72" s="394"/>
      <c r="AB72" s="394"/>
      <c r="AC72" s="391">
        <f t="shared" si="1"/>
        <v>150</v>
      </c>
      <c r="AD72" s="508">
        <v>44986</v>
      </c>
    </row>
    <row r="73" spans="2:30" ht="16.2" thickBot="1">
      <c r="B73" s="420" t="s">
        <v>512</v>
      </c>
      <c r="C73" s="469" t="s">
        <v>467</v>
      </c>
      <c r="D73" s="422" t="s">
        <v>868</v>
      </c>
      <c r="E73" s="416" t="s">
        <v>869</v>
      </c>
      <c r="F73" s="417" t="s">
        <v>870</v>
      </c>
      <c r="G73" s="417" t="s">
        <v>855</v>
      </c>
      <c r="H73" s="417" t="s">
        <v>855</v>
      </c>
      <c r="I73" s="424" t="s">
        <v>391</v>
      </c>
      <c r="J73" s="418" t="s">
        <v>377</v>
      </c>
      <c r="K73" s="430" t="s">
        <v>373</v>
      </c>
      <c r="L73" s="419" t="s">
        <v>108</v>
      </c>
      <c r="M73" s="417" t="s">
        <v>871</v>
      </c>
      <c r="N73" s="419" t="s">
        <v>369</v>
      </c>
      <c r="O73" s="456" t="s">
        <v>419</v>
      </c>
      <c r="P73" s="419" t="s">
        <v>361</v>
      </c>
      <c r="Q73" s="407"/>
      <c r="R73" s="407"/>
      <c r="S73" s="407"/>
      <c r="T73" s="407">
        <v>300</v>
      </c>
      <c r="U73" s="407">
        <v>300</v>
      </c>
      <c r="V73" s="407">
        <v>300</v>
      </c>
      <c r="W73" s="407">
        <v>200</v>
      </c>
      <c r="X73" s="407">
        <v>300</v>
      </c>
      <c r="Y73" s="407">
        <v>300</v>
      </c>
      <c r="Z73" s="394"/>
      <c r="AA73" s="394"/>
      <c r="AB73" s="394"/>
      <c r="AC73" s="391">
        <f t="shared" si="1"/>
        <v>1700</v>
      </c>
      <c r="AD73" s="510" t="s">
        <v>1015</v>
      </c>
    </row>
    <row r="74" spans="2:30" ht="16.2" thickBot="1">
      <c r="B74" s="420" t="s">
        <v>512</v>
      </c>
      <c r="C74" s="469" t="s">
        <v>467</v>
      </c>
      <c r="D74" s="453" t="s">
        <v>198</v>
      </c>
      <c r="E74" s="453" t="s">
        <v>384</v>
      </c>
      <c r="F74" s="453" t="s">
        <v>385</v>
      </c>
      <c r="G74" s="453" t="s">
        <v>489</v>
      </c>
      <c r="H74" s="453" t="s">
        <v>490</v>
      </c>
      <c r="I74" s="465" t="s">
        <v>380</v>
      </c>
      <c r="J74" s="456" t="s">
        <v>381</v>
      </c>
      <c r="K74" s="477" t="s">
        <v>680</v>
      </c>
      <c r="L74" s="453" t="s">
        <v>108</v>
      </c>
      <c r="M74" s="453" t="s">
        <v>383</v>
      </c>
      <c r="N74" s="453" t="s">
        <v>360</v>
      </c>
      <c r="O74" s="456" t="s">
        <v>419</v>
      </c>
      <c r="P74" s="453" t="s">
        <v>361</v>
      </c>
      <c r="Q74" s="407">
        <v>0</v>
      </c>
      <c r="R74" s="407">
        <v>250</v>
      </c>
      <c r="S74" s="407">
        <v>0</v>
      </c>
      <c r="T74" s="407">
        <v>0</v>
      </c>
      <c r="U74" s="407">
        <v>0</v>
      </c>
      <c r="V74" s="407">
        <v>0</v>
      </c>
      <c r="W74" s="407"/>
      <c r="X74" s="407"/>
      <c r="Y74" s="407"/>
      <c r="Z74" s="394"/>
      <c r="AA74" s="394"/>
      <c r="AB74" s="394"/>
      <c r="AC74" s="391">
        <f t="shared" si="1"/>
        <v>250</v>
      </c>
      <c r="AD74" s="508">
        <v>44958</v>
      </c>
    </row>
    <row r="75" spans="2:30" ht="16.2" thickBot="1">
      <c r="B75" s="420" t="s">
        <v>512</v>
      </c>
      <c r="C75" s="469" t="s">
        <v>467</v>
      </c>
      <c r="D75" s="453" t="s">
        <v>198</v>
      </c>
      <c r="E75" s="453" t="s">
        <v>386</v>
      </c>
      <c r="F75" s="453" t="s">
        <v>387</v>
      </c>
      <c r="G75" s="453" t="s">
        <v>491</v>
      </c>
      <c r="H75" s="453" t="s">
        <v>492</v>
      </c>
      <c r="I75" s="465" t="s">
        <v>380</v>
      </c>
      <c r="J75" s="456" t="s">
        <v>381</v>
      </c>
      <c r="K75" s="477" t="s">
        <v>382</v>
      </c>
      <c r="L75" s="453" t="s">
        <v>108</v>
      </c>
      <c r="M75" s="453" t="s">
        <v>383</v>
      </c>
      <c r="N75" s="453" t="s">
        <v>360</v>
      </c>
      <c r="O75" s="456" t="s">
        <v>419</v>
      </c>
      <c r="P75" s="421" t="s">
        <v>514</v>
      </c>
      <c r="Q75" s="407">
        <v>150</v>
      </c>
      <c r="R75" s="407">
        <v>300</v>
      </c>
      <c r="S75" s="407">
        <v>0</v>
      </c>
      <c r="T75" s="407">
        <v>0</v>
      </c>
      <c r="U75" s="407">
        <v>0</v>
      </c>
      <c r="V75" s="407">
        <v>0</v>
      </c>
      <c r="W75" s="407"/>
      <c r="X75" s="407"/>
      <c r="Y75" s="407"/>
      <c r="Z75" s="394"/>
      <c r="AA75" s="394"/>
      <c r="AB75" s="394"/>
      <c r="AC75" s="391">
        <f t="shared" si="1"/>
        <v>450</v>
      </c>
      <c r="AD75" s="508">
        <v>44958</v>
      </c>
    </row>
    <row r="76" spans="2:30" ht="16.2" thickBot="1">
      <c r="B76" s="420" t="s">
        <v>512</v>
      </c>
      <c r="C76" s="469" t="s">
        <v>467</v>
      </c>
      <c r="D76" s="453" t="s">
        <v>198</v>
      </c>
      <c r="E76" s="453" t="s">
        <v>515</v>
      </c>
      <c r="F76" s="453" t="s">
        <v>388</v>
      </c>
      <c r="G76" s="453" t="s">
        <v>742</v>
      </c>
      <c r="H76" s="453" t="s">
        <v>743</v>
      </c>
      <c r="I76" s="465" t="s">
        <v>380</v>
      </c>
      <c r="J76" s="456" t="s">
        <v>381</v>
      </c>
      <c r="K76" s="477" t="s">
        <v>382</v>
      </c>
      <c r="L76" s="453" t="s">
        <v>108</v>
      </c>
      <c r="M76" s="453" t="s">
        <v>383</v>
      </c>
      <c r="N76" s="453" t="s">
        <v>379</v>
      </c>
      <c r="O76" s="456" t="s">
        <v>419</v>
      </c>
      <c r="P76" s="453" t="s">
        <v>361</v>
      </c>
      <c r="Q76" s="407">
        <v>0</v>
      </c>
      <c r="R76" s="407"/>
      <c r="S76" s="407"/>
      <c r="T76" s="407">
        <v>0</v>
      </c>
      <c r="U76" s="407">
        <v>0</v>
      </c>
      <c r="V76" s="407">
        <v>0</v>
      </c>
      <c r="W76" s="407"/>
      <c r="X76" s="407"/>
      <c r="Y76" s="407"/>
      <c r="Z76" s="394"/>
      <c r="AA76" s="394"/>
      <c r="AB76" s="394"/>
      <c r="AC76" s="391">
        <f t="shared" ref="AC76:AC114" si="2">SUM(Q76:AB76)</f>
        <v>0</v>
      </c>
      <c r="AD76" s="508">
        <v>44958</v>
      </c>
    </row>
    <row r="77" spans="2:30" ht="16.2" thickBot="1">
      <c r="B77" s="420" t="s">
        <v>512</v>
      </c>
      <c r="C77" s="469" t="s">
        <v>467</v>
      </c>
      <c r="D77" s="453" t="s">
        <v>198</v>
      </c>
      <c r="E77" s="453" t="s">
        <v>704</v>
      </c>
      <c r="F77" s="453" t="s">
        <v>705</v>
      </c>
      <c r="G77" s="453" t="s">
        <v>744</v>
      </c>
      <c r="H77" s="453" t="s">
        <v>745</v>
      </c>
      <c r="I77" s="465" t="s">
        <v>380</v>
      </c>
      <c r="J77" s="456" t="s">
        <v>381</v>
      </c>
      <c r="K77" s="477" t="s">
        <v>382</v>
      </c>
      <c r="L77" s="453" t="s">
        <v>108</v>
      </c>
      <c r="M77" s="453" t="s">
        <v>383</v>
      </c>
      <c r="N77" s="453" t="s">
        <v>618</v>
      </c>
      <c r="O77" s="456" t="s">
        <v>419</v>
      </c>
      <c r="P77" s="453" t="s">
        <v>361</v>
      </c>
      <c r="Q77" s="407">
        <v>0</v>
      </c>
      <c r="R77" s="407">
        <v>50</v>
      </c>
      <c r="S77" s="407">
        <v>0</v>
      </c>
      <c r="T77" s="407">
        <v>0</v>
      </c>
      <c r="U77" s="407">
        <v>0</v>
      </c>
      <c r="V77" s="407">
        <v>0</v>
      </c>
      <c r="W77" s="407"/>
      <c r="X77" s="407"/>
      <c r="Y77" s="407"/>
      <c r="Z77" s="394"/>
      <c r="AA77" s="394"/>
      <c r="AB77" s="394"/>
      <c r="AC77" s="391">
        <f t="shared" si="2"/>
        <v>50</v>
      </c>
      <c r="AD77" s="508">
        <v>44958</v>
      </c>
    </row>
    <row r="78" spans="2:30" ht="16.2" thickBot="1">
      <c r="B78" s="420" t="s">
        <v>512</v>
      </c>
      <c r="C78" s="469" t="s">
        <v>467</v>
      </c>
      <c r="D78" s="453" t="s">
        <v>198</v>
      </c>
      <c r="E78" s="453" t="s">
        <v>516</v>
      </c>
      <c r="F78" s="453" t="s">
        <v>389</v>
      </c>
      <c r="G78" s="453" t="s">
        <v>634</v>
      </c>
      <c r="H78" s="453" t="s">
        <v>493</v>
      </c>
      <c r="I78" s="465" t="s">
        <v>380</v>
      </c>
      <c r="J78" s="456" t="s">
        <v>381</v>
      </c>
      <c r="K78" s="477" t="s">
        <v>382</v>
      </c>
      <c r="L78" s="453" t="s">
        <v>276</v>
      </c>
      <c r="M78" s="453" t="s">
        <v>383</v>
      </c>
      <c r="N78" s="453" t="s">
        <v>369</v>
      </c>
      <c r="O78" s="456" t="s">
        <v>419</v>
      </c>
      <c r="P78" s="453" t="s">
        <v>361</v>
      </c>
      <c r="Q78" s="407">
        <v>0</v>
      </c>
      <c r="R78" s="407">
        <v>0</v>
      </c>
      <c r="S78" s="407">
        <v>0</v>
      </c>
      <c r="T78" s="407">
        <v>0</v>
      </c>
      <c r="U78" s="407">
        <v>0</v>
      </c>
      <c r="V78" s="407">
        <v>0</v>
      </c>
      <c r="W78" s="407"/>
      <c r="X78" s="407"/>
      <c r="Y78" s="407"/>
      <c r="Z78" s="394"/>
      <c r="AA78" s="394"/>
      <c r="AB78" s="394"/>
      <c r="AC78" s="391">
        <f t="shared" si="2"/>
        <v>0</v>
      </c>
      <c r="AD78" s="508">
        <v>44774</v>
      </c>
    </row>
    <row r="79" spans="2:30" ht="16.2" thickBot="1">
      <c r="B79" s="420" t="s">
        <v>512</v>
      </c>
      <c r="C79" s="469" t="s">
        <v>467</v>
      </c>
      <c r="D79" s="453" t="s">
        <v>198</v>
      </c>
      <c r="E79" s="453" t="s">
        <v>536</v>
      </c>
      <c r="F79" s="453" t="s">
        <v>517</v>
      </c>
      <c r="G79" s="464" t="s">
        <v>590</v>
      </c>
      <c r="H79" s="464" t="s">
        <v>591</v>
      </c>
      <c r="I79" s="465" t="s">
        <v>518</v>
      </c>
      <c r="J79" s="456" t="s">
        <v>519</v>
      </c>
      <c r="K79" s="477" t="s">
        <v>382</v>
      </c>
      <c r="L79" s="453" t="s">
        <v>276</v>
      </c>
      <c r="M79" s="453" t="s">
        <v>383</v>
      </c>
      <c r="N79" s="453" t="s">
        <v>520</v>
      </c>
      <c r="O79" s="456" t="s">
        <v>419</v>
      </c>
      <c r="P79" s="453" t="s">
        <v>361</v>
      </c>
      <c r="Q79" s="407"/>
      <c r="R79" s="407"/>
      <c r="S79" s="440"/>
      <c r="T79" s="407">
        <v>0</v>
      </c>
      <c r="U79" s="407">
        <v>0</v>
      </c>
      <c r="V79" s="407">
        <v>0</v>
      </c>
      <c r="W79" s="407"/>
      <c r="X79" s="407"/>
      <c r="Y79" s="407"/>
      <c r="Z79" s="394"/>
      <c r="AA79" s="394"/>
      <c r="AB79" s="394"/>
      <c r="AC79" s="391">
        <f t="shared" si="2"/>
        <v>0</v>
      </c>
      <c r="AD79" s="508">
        <v>44774</v>
      </c>
    </row>
    <row r="80" spans="2:30" ht="16.2" thickBot="1">
      <c r="B80" s="456" t="s">
        <v>513</v>
      </c>
      <c r="C80" s="469" t="s">
        <v>467</v>
      </c>
      <c r="D80" s="453" t="s">
        <v>439</v>
      </c>
      <c r="E80" s="453" t="s">
        <v>606</v>
      </c>
      <c r="F80" s="453" t="s">
        <v>607</v>
      </c>
      <c r="G80" s="476" t="s">
        <v>681</v>
      </c>
      <c r="H80" s="476" t="s">
        <v>682</v>
      </c>
      <c r="I80" s="473" t="s">
        <v>391</v>
      </c>
      <c r="J80" s="453" t="s">
        <v>592</v>
      </c>
      <c r="K80" s="477" t="s">
        <v>608</v>
      </c>
      <c r="L80" s="453" t="s">
        <v>276</v>
      </c>
      <c r="M80" s="453" t="s">
        <v>383</v>
      </c>
      <c r="N80" s="453" t="s">
        <v>369</v>
      </c>
      <c r="O80" s="456" t="s">
        <v>727</v>
      </c>
      <c r="P80" s="453" t="s">
        <v>361</v>
      </c>
      <c r="Q80" s="407">
        <v>200</v>
      </c>
      <c r="R80" s="407">
        <v>200</v>
      </c>
      <c r="S80" s="407">
        <v>200</v>
      </c>
      <c r="T80" s="407">
        <f>400-400</f>
        <v>0</v>
      </c>
      <c r="U80" s="407">
        <f>400-400</f>
        <v>0</v>
      </c>
      <c r="V80" s="407">
        <f>400-400</f>
        <v>0</v>
      </c>
      <c r="W80" s="407"/>
      <c r="X80" s="407"/>
      <c r="Y80" s="407"/>
      <c r="Z80" s="394"/>
      <c r="AA80" s="394"/>
      <c r="AB80" s="394"/>
      <c r="AC80" s="391">
        <f t="shared" si="2"/>
        <v>600</v>
      </c>
      <c r="AD80" s="508">
        <v>44986</v>
      </c>
    </row>
    <row r="81" spans="2:30" ht="16.2" thickBot="1">
      <c r="B81" s="456" t="s">
        <v>513</v>
      </c>
      <c r="C81" s="469" t="s">
        <v>467</v>
      </c>
      <c r="D81" s="453" t="s">
        <v>901</v>
      </c>
      <c r="E81" s="416" t="s">
        <v>894</v>
      </c>
      <c r="F81" s="417" t="s">
        <v>895</v>
      </c>
      <c r="G81" s="418" t="s">
        <v>967</v>
      </c>
      <c r="H81" s="418" t="s">
        <v>968</v>
      </c>
      <c r="I81" s="432" t="s">
        <v>866</v>
      </c>
      <c r="J81" s="418" t="s">
        <v>872</v>
      </c>
      <c r="K81" s="434" t="s">
        <v>622</v>
      </c>
      <c r="L81" s="418" t="s">
        <v>108</v>
      </c>
      <c r="M81" s="418" t="s">
        <v>383</v>
      </c>
      <c r="N81" s="418" t="s">
        <v>360</v>
      </c>
      <c r="O81" s="456" t="s">
        <v>727</v>
      </c>
      <c r="P81" s="418" t="s">
        <v>361</v>
      </c>
      <c r="Q81" s="407"/>
      <c r="R81" s="407"/>
      <c r="S81" s="407"/>
      <c r="T81" s="407">
        <v>500</v>
      </c>
      <c r="U81" s="407">
        <v>500</v>
      </c>
      <c r="V81" s="407">
        <v>500</v>
      </c>
      <c r="W81" s="407">
        <v>300</v>
      </c>
      <c r="X81" s="407">
        <v>400</v>
      </c>
      <c r="Y81" s="407">
        <v>400</v>
      </c>
      <c r="Z81" s="394"/>
      <c r="AA81" s="394"/>
      <c r="AB81" s="394"/>
      <c r="AC81" s="391">
        <f t="shared" si="2"/>
        <v>2600</v>
      </c>
      <c r="AD81" s="510" t="s">
        <v>1015</v>
      </c>
    </row>
    <row r="82" spans="2:30" ht="16.2" thickBot="1">
      <c r="B82" s="456" t="s">
        <v>513</v>
      </c>
      <c r="C82" s="469" t="s">
        <v>467</v>
      </c>
      <c r="D82" s="453" t="s">
        <v>901</v>
      </c>
      <c r="E82" s="502" t="s">
        <v>346</v>
      </c>
      <c r="F82" s="502" t="s">
        <v>346</v>
      </c>
      <c r="G82" s="425" t="s">
        <v>1048</v>
      </c>
      <c r="H82" s="425" t="s">
        <v>1049</v>
      </c>
      <c r="I82" s="432" t="s">
        <v>866</v>
      </c>
      <c r="J82" s="418" t="s">
        <v>872</v>
      </c>
      <c r="K82" s="434" t="s">
        <v>622</v>
      </c>
      <c r="L82" s="418" t="s">
        <v>108</v>
      </c>
      <c r="M82" s="418" t="s">
        <v>383</v>
      </c>
      <c r="N82" s="418" t="s">
        <v>360</v>
      </c>
      <c r="O82" s="456" t="s">
        <v>727</v>
      </c>
      <c r="P82" s="421" t="s">
        <v>596</v>
      </c>
      <c r="Q82" s="407"/>
      <c r="R82" s="407"/>
      <c r="S82" s="407"/>
      <c r="T82" s="407">
        <v>100</v>
      </c>
      <c r="U82" s="407">
        <v>100</v>
      </c>
      <c r="V82" s="407">
        <v>100</v>
      </c>
      <c r="W82" s="407">
        <v>300</v>
      </c>
      <c r="X82" s="407">
        <v>400</v>
      </c>
      <c r="Y82" s="407">
        <v>400</v>
      </c>
      <c r="Z82" s="394"/>
      <c r="AA82" s="394"/>
      <c r="AB82" s="394"/>
      <c r="AC82" s="391">
        <f t="shared" si="2"/>
        <v>1400</v>
      </c>
      <c r="AD82" s="510" t="s">
        <v>1015</v>
      </c>
    </row>
    <row r="83" spans="2:30" ht="16.2" thickBot="1">
      <c r="B83" s="456" t="s">
        <v>513</v>
      </c>
      <c r="C83" s="469" t="s">
        <v>467</v>
      </c>
      <c r="D83" s="453" t="s">
        <v>901</v>
      </c>
      <c r="E83" s="416" t="s">
        <v>896</v>
      </c>
      <c r="F83" s="417" t="s">
        <v>897</v>
      </c>
      <c r="G83" s="418" t="s">
        <v>969</v>
      </c>
      <c r="H83" s="418" t="s">
        <v>970</v>
      </c>
      <c r="I83" s="432" t="s">
        <v>866</v>
      </c>
      <c r="J83" s="418" t="s">
        <v>872</v>
      </c>
      <c r="K83" s="434" t="s">
        <v>622</v>
      </c>
      <c r="L83" s="418" t="s">
        <v>108</v>
      </c>
      <c r="M83" s="418" t="s">
        <v>383</v>
      </c>
      <c r="N83" s="418" t="s">
        <v>369</v>
      </c>
      <c r="O83" s="456" t="s">
        <v>727</v>
      </c>
      <c r="P83" s="418" t="s">
        <v>361</v>
      </c>
      <c r="Q83" s="407"/>
      <c r="R83" s="407"/>
      <c r="S83" s="407"/>
      <c r="T83" s="407">
        <v>100</v>
      </c>
      <c r="U83" s="407">
        <v>100</v>
      </c>
      <c r="V83" s="407">
        <v>100</v>
      </c>
      <c r="W83" s="407">
        <v>100</v>
      </c>
      <c r="X83" s="407">
        <v>100</v>
      </c>
      <c r="Y83" s="407">
        <v>100</v>
      </c>
      <c r="Z83" s="394"/>
      <c r="AA83" s="394"/>
      <c r="AB83" s="394"/>
      <c r="AC83" s="391">
        <f t="shared" si="2"/>
        <v>600</v>
      </c>
      <c r="AD83" s="510" t="s">
        <v>1015</v>
      </c>
    </row>
    <row r="84" spans="2:30" ht="16.2" thickBot="1">
      <c r="B84" s="456" t="s">
        <v>513</v>
      </c>
      <c r="C84" s="469" t="s">
        <v>467</v>
      </c>
      <c r="D84" s="453" t="s">
        <v>901</v>
      </c>
      <c r="E84" s="416" t="s">
        <v>898</v>
      </c>
      <c r="F84" s="417" t="s">
        <v>899</v>
      </c>
      <c r="G84" s="418" t="s">
        <v>971</v>
      </c>
      <c r="H84" s="418" t="s">
        <v>972</v>
      </c>
      <c r="I84" s="432" t="s">
        <v>866</v>
      </c>
      <c r="J84" s="418" t="s">
        <v>872</v>
      </c>
      <c r="K84" s="434" t="s">
        <v>622</v>
      </c>
      <c r="L84" s="418" t="s">
        <v>276</v>
      </c>
      <c r="M84" s="418" t="s">
        <v>383</v>
      </c>
      <c r="N84" s="418" t="s">
        <v>360</v>
      </c>
      <c r="O84" s="456" t="s">
        <v>727</v>
      </c>
      <c r="P84" s="418" t="s">
        <v>361</v>
      </c>
      <c r="Q84" s="407"/>
      <c r="R84" s="407"/>
      <c r="S84" s="407"/>
      <c r="T84" s="407">
        <v>100</v>
      </c>
      <c r="U84" s="407">
        <v>100</v>
      </c>
      <c r="V84" s="407">
        <v>100</v>
      </c>
      <c r="W84" s="407">
        <v>100</v>
      </c>
      <c r="X84" s="407">
        <v>100</v>
      </c>
      <c r="Y84" s="407">
        <v>100</v>
      </c>
      <c r="Z84" s="394"/>
      <c r="AA84" s="394"/>
      <c r="AB84" s="394"/>
      <c r="AC84" s="391">
        <f t="shared" si="2"/>
        <v>600</v>
      </c>
      <c r="AD84" s="510" t="s">
        <v>1015</v>
      </c>
    </row>
    <row r="85" spans="2:30" ht="16.2" thickBot="1">
      <c r="B85" s="456" t="s">
        <v>513</v>
      </c>
      <c r="C85" s="469" t="s">
        <v>467</v>
      </c>
      <c r="D85" s="453" t="s">
        <v>901</v>
      </c>
      <c r="E85" s="416" t="s">
        <v>1050</v>
      </c>
      <c r="F85" s="417" t="s">
        <v>900</v>
      </c>
      <c r="G85" s="418" t="s">
        <v>973</v>
      </c>
      <c r="H85" s="418" t="s">
        <v>974</v>
      </c>
      <c r="I85" s="432" t="s">
        <v>866</v>
      </c>
      <c r="J85" s="418" t="s">
        <v>872</v>
      </c>
      <c r="K85" s="434" t="s">
        <v>622</v>
      </c>
      <c r="L85" s="418" t="s">
        <v>276</v>
      </c>
      <c r="M85" s="418" t="s">
        <v>383</v>
      </c>
      <c r="N85" s="418" t="s">
        <v>618</v>
      </c>
      <c r="O85" s="456" t="s">
        <v>727</v>
      </c>
      <c r="P85" s="418" t="s">
        <v>361</v>
      </c>
      <c r="Q85" s="407"/>
      <c r="R85" s="407"/>
      <c r="S85" s="407"/>
      <c r="T85" s="407">
        <v>400</v>
      </c>
      <c r="U85" s="407">
        <v>400</v>
      </c>
      <c r="V85" s="407">
        <v>400</v>
      </c>
      <c r="W85" s="511">
        <v>600</v>
      </c>
      <c r="X85" s="511">
        <v>600</v>
      </c>
      <c r="Y85" s="511">
        <v>600</v>
      </c>
      <c r="Z85" s="394"/>
      <c r="AA85" s="394"/>
      <c r="AB85" s="394"/>
      <c r="AC85" s="391">
        <f t="shared" si="2"/>
        <v>3000</v>
      </c>
      <c r="AD85" s="510" t="s">
        <v>1015</v>
      </c>
    </row>
    <row r="86" spans="2:30" ht="16.2" thickBot="1">
      <c r="B86" s="420" t="s">
        <v>512</v>
      </c>
      <c r="C86" s="469" t="s">
        <v>467</v>
      </c>
      <c r="D86" s="453" t="s">
        <v>794</v>
      </c>
      <c r="E86" s="453" t="s">
        <v>795</v>
      </c>
      <c r="F86" s="453" t="s">
        <v>796</v>
      </c>
      <c r="G86" s="476" t="s">
        <v>797</v>
      </c>
      <c r="H86" s="476" t="s">
        <v>798</v>
      </c>
      <c r="I86" s="465" t="s">
        <v>518</v>
      </c>
      <c r="J86" s="453" t="s">
        <v>799</v>
      </c>
      <c r="K86" s="477" t="s">
        <v>382</v>
      </c>
      <c r="L86" s="453" t="s">
        <v>276</v>
      </c>
      <c r="M86" s="453" t="s">
        <v>383</v>
      </c>
      <c r="N86" s="453" t="s">
        <v>618</v>
      </c>
      <c r="O86" s="456" t="s">
        <v>419</v>
      </c>
      <c r="P86" s="453" t="s">
        <v>361</v>
      </c>
      <c r="Q86" s="407">
        <v>0</v>
      </c>
      <c r="R86" s="407"/>
      <c r="S86" s="407"/>
      <c r="T86" s="407">
        <v>0</v>
      </c>
      <c r="U86" s="407">
        <v>0</v>
      </c>
      <c r="V86" s="407">
        <v>0</v>
      </c>
      <c r="W86" s="518"/>
      <c r="X86" s="519"/>
      <c r="Y86" s="519"/>
      <c r="Z86" s="394"/>
      <c r="AA86" s="394"/>
      <c r="AB86" s="394"/>
      <c r="AC86" s="391">
        <f t="shared" si="2"/>
        <v>0</v>
      </c>
      <c r="AD86" s="508">
        <v>44896</v>
      </c>
    </row>
    <row r="87" spans="2:30" ht="16.2" thickBot="1">
      <c r="B87" s="420" t="s">
        <v>512</v>
      </c>
      <c r="C87" s="469" t="s">
        <v>467</v>
      </c>
      <c r="D87" s="453" t="s">
        <v>800</v>
      </c>
      <c r="E87" s="453" t="s">
        <v>801</v>
      </c>
      <c r="F87" s="453" t="s">
        <v>802</v>
      </c>
      <c r="G87" s="453" t="s">
        <v>803</v>
      </c>
      <c r="H87" s="453" t="s">
        <v>804</v>
      </c>
      <c r="I87" s="465" t="s">
        <v>380</v>
      </c>
      <c r="J87" s="456" t="s">
        <v>381</v>
      </c>
      <c r="K87" s="477" t="s">
        <v>382</v>
      </c>
      <c r="L87" s="453" t="s">
        <v>276</v>
      </c>
      <c r="M87" s="453" t="s">
        <v>805</v>
      </c>
      <c r="N87" s="453" t="s">
        <v>806</v>
      </c>
      <c r="O87" s="456" t="s">
        <v>419</v>
      </c>
      <c r="P87" s="453" t="s">
        <v>336</v>
      </c>
      <c r="Q87" s="407">
        <v>0</v>
      </c>
      <c r="R87" s="407">
        <v>0</v>
      </c>
      <c r="S87" s="407">
        <v>0</v>
      </c>
      <c r="T87" s="407">
        <v>0</v>
      </c>
      <c r="U87" s="407">
        <v>0</v>
      </c>
      <c r="V87" s="407">
        <v>0</v>
      </c>
      <c r="W87" s="407"/>
      <c r="X87" s="407"/>
      <c r="Y87" s="407"/>
      <c r="Z87" s="394"/>
      <c r="AA87" s="394"/>
      <c r="AB87" s="394"/>
      <c r="AC87" s="391">
        <f t="shared" si="2"/>
        <v>0</v>
      </c>
      <c r="AD87" s="508">
        <v>44866</v>
      </c>
    </row>
    <row r="88" spans="2:30" ht="16.2" thickBot="1">
      <c r="B88" s="420" t="s">
        <v>512</v>
      </c>
      <c r="C88" s="469" t="s">
        <v>467</v>
      </c>
      <c r="D88" s="453" t="s">
        <v>800</v>
      </c>
      <c r="E88" s="453" t="s">
        <v>807</v>
      </c>
      <c r="F88" s="453" t="s">
        <v>808</v>
      </c>
      <c r="G88" s="464" t="s">
        <v>809</v>
      </c>
      <c r="H88" s="464" t="s">
        <v>810</v>
      </c>
      <c r="I88" s="465" t="s">
        <v>518</v>
      </c>
      <c r="J88" s="456" t="s">
        <v>519</v>
      </c>
      <c r="K88" s="477" t="s">
        <v>382</v>
      </c>
      <c r="L88" s="453" t="s">
        <v>276</v>
      </c>
      <c r="M88" s="453" t="s">
        <v>805</v>
      </c>
      <c r="N88" s="453" t="s">
        <v>520</v>
      </c>
      <c r="O88" s="456" t="s">
        <v>419</v>
      </c>
      <c r="P88" s="453" t="s">
        <v>361</v>
      </c>
      <c r="Q88" s="407">
        <v>0</v>
      </c>
      <c r="R88" s="407">
        <v>0</v>
      </c>
      <c r="S88" s="407">
        <v>0</v>
      </c>
      <c r="T88" s="407">
        <v>0</v>
      </c>
      <c r="U88" s="407">
        <v>0</v>
      </c>
      <c r="V88" s="407">
        <v>0</v>
      </c>
      <c r="W88" s="407"/>
      <c r="X88" s="407"/>
      <c r="Y88" s="407"/>
      <c r="Z88" s="394"/>
      <c r="AA88" s="394"/>
      <c r="AB88" s="394"/>
      <c r="AC88" s="391">
        <f t="shared" si="2"/>
        <v>0</v>
      </c>
      <c r="AD88" s="508">
        <v>44835</v>
      </c>
    </row>
    <row r="89" spans="2:30" ht="16.2" thickBot="1">
      <c r="B89" s="453" t="s">
        <v>494</v>
      </c>
      <c r="C89" s="469" t="s">
        <v>495</v>
      </c>
      <c r="D89" s="453" t="s">
        <v>984</v>
      </c>
      <c r="E89" s="502" t="s">
        <v>1051</v>
      </c>
      <c r="F89" s="502" t="s">
        <v>985</v>
      </c>
      <c r="G89" s="503" t="s">
        <v>342</v>
      </c>
      <c r="H89" s="503" t="s">
        <v>342</v>
      </c>
      <c r="I89" s="465" t="s">
        <v>986</v>
      </c>
      <c r="J89" s="456" t="s">
        <v>987</v>
      </c>
      <c r="K89" s="477" t="s">
        <v>608</v>
      </c>
      <c r="L89" s="453" t="s">
        <v>276</v>
      </c>
      <c r="M89" s="453" t="s">
        <v>383</v>
      </c>
      <c r="N89" s="453" t="s">
        <v>369</v>
      </c>
      <c r="O89" s="456" t="s">
        <v>1032</v>
      </c>
      <c r="P89" s="453" t="s">
        <v>361</v>
      </c>
      <c r="Q89" s="407">
        <v>0</v>
      </c>
      <c r="R89" s="407">
        <v>0</v>
      </c>
      <c r="S89" s="407">
        <v>0</v>
      </c>
      <c r="T89" s="407"/>
      <c r="U89" s="407"/>
      <c r="V89" s="407"/>
      <c r="W89" s="407"/>
      <c r="X89" s="407">
        <v>150</v>
      </c>
      <c r="Y89" s="407">
        <v>150</v>
      </c>
      <c r="Z89" s="394"/>
      <c r="AA89" s="394"/>
      <c r="AB89" s="394"/>
      <c r="AC89" s="391">
        <f t="shared" si="2"/>
        <v>300</v>
      </c>
      <c r="AD89" s="510" t="s">
        <v>1015</v>
      </c>
    </row>
    <row r="90" spans="2:30" ht="16.2" thickBot="1">
      <c r="B90" s="453" t="s">
        <v>494</v>
      </c>
      <c r="C90" s="469" t="s">
        <v>495</v>
      </c>
      <c r="D90" s="453" t="s">
        <v>244</v>
      </c>
      <c r="E90" s="453" t="s">
        <v>811</v>
      </c>
      <c r="F90" s="453" t="s">
        <v>812</v>
      </c>
      <c r="G90" s="453" t="s">
        <v>813</v>
      </c>
      <c r="H90" s="453" t="s">
        <v>814</v>
      </c>
      <c r="I90" s="473" t="s">
        <v>391</v>
      </c>
      <c r="J90" s="453" t="s">
        <v>381</v>
      </c>
      <c r="K90" s="471" t="s">
        <v>815</v>
      </c>
      <c r="L90" s="453" t="s">
        <v>108</v>
      </c>
      <c r="M90" s="453" t="s">
        <v>816</v>
      </c>
      <c r="N90" s="453" t="s">
        <v>369</v>
      </c>
      <c r="O90" s="456" t="s">
        <v>420</v>
      </c>
      <c r="P90" s="453" t="s">
        <v>361</v>
      </c>
      <c r="Q90" s="407">
        <v>0</v>
      </c>
      <c r="R90" s="407">
        <v>0</v>
      </c>
      <c r="S90" s="407">
        <v>0</v>
      </c>
      <c r="T90" s="407">
        <v>0</v>
      </c>
      <c r="U90" s="407">
        <v>0</v>
      </c>
      <c r="V90" s="407">
        <v>0</v>
      </c>
      <c r="W90" s="407"/>
      <c r="X90" s="407"/>
      <c r="Y90" s="407"/>
      <c r="Z90" s="394"/>
      <c r="AA90" s="394"/>
      <c r="AB90" s="394"/>
      <c r="AC90" s="391">
        <f t="shared" si="2"/>
        <v>0</v>
      </c>
      <c r="AD90" s="508">
        <v>44835</v>
      </c>
    </row>
    <row r="91" spans="2:30" ht="16.2" thickBot="1">
      <c r="B91" s="453" t="s">
        <v>494</v>
      </c>
      <c r="C91" s="469" t="s">
        <v>467</v>
      </c>
      <c r="D91" s="453" t="s">
        <v>990</v>
      </c>
      <c r="E91" s="502" t="s">
        <v>991</v>
      </c>
      <c r="F91" s="502" t="s">
        <v>992</v>
      </c>
      <c r="G91" s="503" t="s">
        <v>342</v>
      </c>
      <c r="H91" s="503" t="s">
        <v>342</v>
      </c>
      <c r="I91" s="465" t="s">
        <v>986</v>
      </c>
      <c r="J91" s="453" t="s">
        <v>834</v>
      </c>
      <c r="K91" s="471" t="s">
        <v>1052</v>
      </c>
      <c r="L91" s="453" t="s">
        <v>108</v>
      </c>
      <c r="M91" s="453" t="s">
        <v>993</v>
      </c>
      <c r="N91" s="453" t="s">
        <v>369</v>
      </c>
      <c r="O91" s="456" t="s">
        <v>420</v>
      </c>
      <c r="P91" s="453" t="s">
        <v>361</v>
      </c>
      <c r="Q91" s="407">
        <v>0</v>
      </c>
      <c r="R91" s="407">
        <v>0</v>
      </c>
      <c r="S91" s="407">
        <v>0</v>
      </c>
      <c r="T91" s="407"/>
      <c r="U91" s="407"/>
      <c r="V91" s="407"/>
      <c r="W91" s="407">
        <v>400</v>
      </c>
      <c r="X91" s="407">
        <v>500</v>
      </c>
      <c r="Y91" s="407">
        <v>500</v>
      </c>
      <c r="Z91" s="394"/>
      <c r="AA91" s="394"/>
      <c r="AB91" s="394"/>
      <c r="AC91" s="391">
        <f t="shared" si="2"/>
        <v>1400</v>
      </c>
      <c r="AD91" s="510" t="s">
        <v>1015</v>
      </c>
    </row>
    <row r="92" spans="2:30" ht="16.2" thickBot="1">
      <c r="B92" s="453" t="s">
        <v>494</v>
      </c>
      <c r="C92" s="479" t="s">
        <v>467</v>
      </c>
      <c r="D92" s="453" t="s">
        <v>994</v>
      </c>
      <c r="E92" s="503" t="s">
        <v>342</v>
      </c>
      <c r="F92" s="503" t="s">
        <v>342</v>
      </c>
      <c r="G92" s="503" t="s">
        <v>342</v>
      </c>
      <c r="H92" s="503" t="s">
        <v>342</v>
      </c>
      <c r="I92" s="465" t="s">
        <v>986</v>
      </c>
      <c r="J92" s="453" t="s">
        <v>834</v>
      </c>
      <c r="K92" s="471" t="s">
        <v>1052</v>
      </c>
      <c r="L92" s="453" t="s">
        <v>108</v>
      </c>
      <c r="M92" s="453" t="s">
        <v>993</v>
      </c>
      <c r="N92" s="453" t="s">
        <v>369</v>
      </c>
      <c r="O92" s="456" t="s">
        <v>420</v>
      </c>
      <c r="P92" s="421" t="s">
        <v>995</v>
      </c>
      <c r="Q92" s="407"/>
      <c r="R92" s="407"/>
      <c r="S92" s="407"/>
      <c r="T92" s="407"/>
      <c r="U92" s="407"/>
      <c r="V92" s="407"/>
      <c r="W92" s="407">
        <v>200</v>
      </c>
      <c r="X92" s="407">
        <v>200</v>
      </c>
      <c r="Y92" s="407">
        <v>200</v>
      </c>
      <c r="Z92" s="394"/>
      <c r="AA92" s="394"/>
      <c r="AB92" s="394"/>
      <c r="AC92" s="391">
        <f t="shared" si="2"/>
        <v>600</v>
      </c>
      <c r="AD92" s="510" t="s">
        <v>1015</v>
      </c>
    </row>
    <row r="93" spans="2:30" ht="16.2" thickBot="1">
      <c r="B93" s="453" t="s">
        <v>494</v>
      </c>
      <c r="C93" s="479" t="s">
        <v>467</v>
      </c>
      <c r="D93" s="453" t="s">
        <v>990</v>
      </c>
      <c r="E93" s="503" t="s">
        <v>342</v>
      </c>
      <c r="F93" s="503" t="s">
        <v>342</v>
      </c>
      <c r="G93" s="503" t="s">
        <v>342</v>
      </c>
      <c r="H93" s="503" t="s">
        <v>342</v>
      </c>
      <c r="I93" s="465" t="s">
        <v>986</v>
      </c>
      <c r="J93" s="453" t="s">
        <v>834</v>
      </c>
      <c r="K93" s="471" t="s">
        <v>1052</v>
      </c>
      <c r="L93" s="453" t="s">
        <v>276</v>
      </c>
      <c r="M93" s="453" t="s">
        <v>993</v>
      </c>
      <c r="N93" s="453" t="s">
        <v>369</v>
      </c>
      <c r="O93" s="456" t="s">
        <v>420</v>
      </c>
      <c r="P93" s="421" t="s">
        <v>995</v>
      </c>
      <c r="Q93" s="407"/>
      <c r="R93" s="407"/>
      <c r="S93" s="407"/>
      <c r="T93" s="407"/>
      <c r="U93" s="407"/>
      <c r="V93" s="407"/>
      <c r="W93" s="407">
        <v>50</v>
      </c>
      <c r="X93" s="407">
        <v>50</v>
      </c>
      <c r="Y93" s="407">
        <v>50</v>
      </c>
      <c r="Z93" s="394"/>
      <c r="AA93" s="394"/>
      <c r="AB93" s="394"/>
      <c r="AC93" s="391">
        <f t="shared" si="2"/>
        <v>150</v>
      </c>
      <c r="AD93" s="510" t="s">
        <v>1015</v>
      </c>
    </row>
    <row r="94" spans="2:30" ht="16.2" thickBot="1">
      <c r="B94" s="453" t="s">
        <v>494</v>
      </c>
      <c r="C94" s="469" t="s">
        <v>495</v>
      </c>
      <c r="D94" s="453" t="s">
        <v>817</v>
      </c>
      <c r="E94" s="453" t="s">
        <v>818</v>
      </c>
      <c r="F94" s="453" t="s">
        <v>819</v>
      </c>
      <c r="G94" s="453" t="s">
        <v>820</v>
      </c>
      <c r="H94" s="453" t="s">
        <v>821</v>
      </c>
      <c r="I94" s="473" t="s">
        <v>391</v>
      </c>
      <c r="J94" s="456" t="s">
        <v>381</v>
      </c>
      <c r="K94" s="471" t="s">
        <v>815</v>
      </c>
      <c r="L94" s="453" t="s">
        <v>276</v>
      </c>
      <c r="M94" s="453" t="s">
        <v>409</v>
      </c>
      <c r="N94" s="453" t="s">
        <v>369</v>
      </c>
      <c r="O94" s="456" t="s">
        <v>420</v>
      </c>
      <c r="P94" s="453" t="s">
        <v>361</v>
      </c>
      <c r="Q94" s="407">
        <v>0</v>
      </c>
      <c r="R94" s="407">
        <v>0</v>
      </c>
      <c r="S94" s="407">
        <v>0</v>
      </c>
      <c r="T94" s="407">
        <v>0</v>
      </c>
      <c r="U94" s="407">
        <v>0</v>
      </c>
      <c r="V94" s="407">
        <v>0</v>
      </c>
      <c r="W94" s="407"/>
      <c r="X94" s="407"/>
      <c r="Y94" s="407"/>
      <c r="Z94" s="394"/>
      <c r="AA94" s="394"/>
      <c r="AB94" s="394"/>
      <c r="AC94" s="391">
        <f t="shared" si="2"/>
        <v>0</v>
      </c>
      <c r="AD94" s="508">
        <v>44835</v>
      </c>
    </row>
    <row r="95" spans="2:30" ht="16.2" thickBot="1">
      <c r="B95" s="453" t="s">
        <v>494</v>
      </c>
      <c r="C95" s="469" t="s">
        <v>495</v>
      </c>
      <c r="D95" s="453" t="s">
        <v>817</v>
      </c>
      <c r="E95" s="453" t="s">
        <v>822</v>
      </c>
      <c r="F95" s="453" t="s">
        <v>823</v>
      </c>
      <c r="G95" s="453" t="s">
        <v>824</v>
      </c>
      <c r="H95" s="453" t="s">
        <v>825</v>
      </c>
      <c r="I95" s="473" t="s">
        <v>391</v>
      </c>
      <c r="J95" s="456" t="s">
        <v>381</v>
      </c>
      <c r="K95" s="478" t="s">
        <v>826</v>
      </c>
      <c r="L95" s="453" t="s">
        <v>276</v>
      </c>
      <c r="M95" s="453" t="s">
        <v>409</v>
      </c>
      <c r="N95" s="453" t="s">
        <v>369</v>
      </c>
      <c r="O95" s="456" t="s">
        <v>420</v>
      </c>
      <c r="P95" s="453" t="s">
        <v>361</v>
      </c>
      <c r="Q95" s="407">
        <v>0</v>
      </c>
      <c r="R95" s="407">
        <v>0</v>
      </c>
      <c r="S95" s="407">
        <v>0</v>
      </c>
      <c r="T95" s="407">
        <v>0</v>
      </c>
      <c r="U95" s="407">
        <v>0</v>
      </c>
      <c r="V95" s="407">
        <v>0</v>
      </c>
      <c r="W95" s="407"/>
      <c r="X95" s="407"/>
      <c r="Y95" s="407"/>
      <c r="Z95" s="394"/>
      <c r="AA95" s="394"/>
      <c r="AB95" s="394"/>
      <c r="AC95" s="391">
        <f t="shared" si="2"/>
        <v>0</v>
      </c>
      <c r="AD95" s="508">
        <v>44866</v>
      </c>
    </row>
    <row r="96" spans="2:30" ht="16.2" thickBot="1">
      <c r="B96" s="453" t="s">
        <v>494</v>
      </c>
      <c r="C96" s="469" t="s">
        <v>495</v>
      </c>
      <c r="D96" s="453" t="s">
        <v>827</v>
      </c>
      <c r="E96" s="435" t="s">
        <v>828</v>
      </c>
      <c r="F96" s="422" t="s">
        <v>829</v>
      </c>
      <c r="G96" s="464" t="s">
        <v>830</v>
      </c>
      <c r="H96" s="464" t="s">
        <v>831</v>
      </c>
      <c r="I96" s="473" t="s">
        <v>391</v>
      </c>
      <c r="J96" s="412" t="s">
        <v>381</v>
      </c>
      <c r="K96" s="431" t="s">
        <v>832</v>
      </c>
      <c r="L96" s="422" t="s">
        <v>276</v>
      </c>
      <c r="M96" s="422" t="s">
        <v>833</v>
      </c>
      <c r="N96" s="422" t="s">
        <v>369</v>
      </c>
      <c r="O96" s="456" t="s">
        <v>420</v>
      </c>
      <c r="P96" s="422" t="s">
        <v>361</v>
      </c>
      <c r="Q96" s="407">
        <v>0</v>
      </c>
      <c r="R96" s="407">
        <v>0</v>
      </c>
      <c r="S96" s="407">
        <v>0</v>
      </c>
      <c r="T96" s="407">
        <v>0</v>
      </c>
      <c r="U96" s="407">
        <v>0</v>
      </c>
      <c r="V96" s="407">
        <v>0</v>
      </c>
      <c r="W96" s="407"/>
      <c r="X96" s="407"/>
      <c r="Y96" s="407"/>
      <c r="Z96" s="394"/>
      <c r="AA96" s="394"/>
      <c r="AB96" s="394"/>
      <c r="AC96" s="391">
        <f t="shared" si="2"/>
        <v>0</v>
      </c>
      <c r="AD96" s="508">
        <v>44866</v>
      </c>
    </row>
    <row r="97" spans="2:30" ht="16.2" thickBot="1">
      <c r="B97" s="453" t="s">
        <v>521</v>
      </c>
      <c r="C97" s="479" t="s">
        <v>495</v>
      </c>
      <c r="D97" s="453" t="s">
        <v>843</v>
      </c>
      <c r="E97" s="453" t="s">
        <v>845</v>
      </c>
      <c r="F97" s="453" t="s">
        <v>772</v>
      </c>
      <c r="G97" s="464" t="s">
        <v>902</v>
      </c>
      <c r="H97" s="464" t="s">
        <v>903</v>
      </c>
      <c r="I97" s="436" t="s">
        <v>1053</v>
      </c>
      <c r="J97" s="418" t="s">
        <v>834</v>
      </c>
      <c r="K97" s="430" t="s">
        <v>1052</v>
      </c>
      <c r="L97" s="419" t="s">
        <v>276</v>
      </c>
      <c r="M97" s="419" t="s">
        <v>833</v>
      </c>
      <c r="N97" s="419" t="s">
        <v>369</v>
      </c>
      <c r="O97" s="456" t="s">
        <v>777</v>
      </c>
      <c r="P97" s="453" t="s">
        <v>361</v>
      </c>
      <c r="Q97" s="407">
        <v>0</v>
      </c>
      <c r="R97" s="407">
        <v>200</v>
      </c>
      <c r="S97" s="407">
        <v>0</v>
      </c>
      <c r="T97" s="407">
        <v>100</v>
      </c>
      <c r="U97" s="407">
        <v>0</v>
      </c>
      <c r="V97" s="407">
        <v>0</v>
      </c>
      <c r="W97" s="407"/>
      <c r="X97" s="407"/>
      <c r="Y97" s="407"/>
      <c r="Z97" s="394"/>
      <c r="AA97" s="394"/>
      <c r="AB97" s="394"/>
      <c r="AC97" s="391">
        <f t="shared" si="2"/>
        <v>300</v>
      </c>
      <c r="AD97" s="509" t="s">
        <v>1015</v>
      </c>
    </row>
    <row r="98" spans="2:30" ht="16.2" thickBot="1">
      <c r="B98" s="453" t="s">
        <v>521</v>
      </c>
      <c r="C98" s="479" t="s">
        <v>467</v>
      </c>
      <c r="D98" s="453" t="s">
        <v>844</v>
      </c>
      <c r="E98" s="453" t="s">
        <v>835</v>
      </c>
      <c r="F98" s="453" t="s">
        <v>773</v>
      </c>
      <c r="G98" s="464" t="s">
        <v>904</v>
      </c>
      <c r="H98" s="464" t="s">
        <v>905</v>
      </c>
      <c r="I98" s="436" t="s">
        <v>1053</v>
      </c>
      <c r="J98" s="418" t="s">
        <v>834</v>
      </c>
      <c r="K98" s="437" t="s">
        <v>1054</v>
      </c>
      <c r="L98" s="419" t="s">
        <v>276</v>
      </c>
      <c r="M98" s="419" t="s">
        <v>833</v>
      </c>
      <c r="N98" s="419" t="s">
        <v>369</v>
      </c>
      <c r="O98" s="456" t="s">
        <v>777</v>
      </c>
      <c r="P98" s="453" t="s">
        <v>361</v>
      </c>
      <c r="Q98" s="407">
        <v>200</v>
      </c>
      <c r="R98" s="407">
        <v>300</v>
      </c>
      <c r="S98" s="407">
        <v>500</v>
      </c>
      <c r="T98" s="407">
        <f>400+200</f>
        <v>600</v>
      </c>
      <c r="U98" s="407">
        <f>400+100-100</f>
        <v>400</v>
      </c>
      <c r="V98" s="407">
        <f>400+100</f>
        <v>500</v>
      </c>
      <c r="W98" s="407">
        <f>200+200</f>
        <v>400</v>
      </c>
      <c r="X98" s="407">
        <v>500</v>
      </c>
      <c r="Y98" s="407">
        <v>500</v>
      </c>
      <c r="Z98" s="394"/>
      <c r="AA98" s="394"/>
      <c r="AB98" s="394"/>
      <c r="AC98" s="391">
        <f t="shared" si="2"/>
        <v>3900</v>
      </c>
      <c r="AD98" s="509" t="s">
        <v>1015</v>
      </c>
    </row>
    <row r="99" spans="2:30" ht="16.2" thickBot="1">
      <c r="B99" s="453" t="s">
        <v>521</v>
      </c>
      <c r="C99" s="479" t="s">
        <v>467</v>
      </c>
      <c r="D99" s="453" t="s">
        <v>844</v>
      </c>
      <c r="E99" s="453" t="s">
        <v>836</v>
      </c>
      <c r="F99" s="453" t="s">
        <v>774</v>
      </c>
      <c r="G99" s="464" t="s">
        <v>906</v>
      </c>
      <c r="H99" s="464" t="s">
        <v>907</v>
      </c>
      <c r="I99" s="436" t="s">
        <v>1053</v>
      </c>
      <c r="J99" s="418" t="s">
        <v>834</v>
      </c>
      <c r="K99" s="437" t="s">
        <v>1054</v>
      </c>
      <c r="L99" s="419" t="s">
        <v>276</v>
      </c>
      <c r="M99" s="419" t="s">
        <v>833</v>
      </c>
      <c r="N99" s="419" t="s">
        <v>535</v>
      </c>
      <c r="O99" s="456" t="s">
        <v>777</v>
      </c>
      <c r="P99" s="453" t="s">
        <v>361</v>
      </c>
      <c r="Q99" s="407">
        <v>50</v>
      </c>
      <c r="R99" s="407">
        <v>50</v>
      </c>
      <c r="S99" s="407">
        <v>50</v>
      </c>
      <c r="T99" s="407">
        <f>50+50</f>
        <v>100</v>
      </c>
      <c r="U99" s="407">
        <v>50</v>
      </c>
      <c r="V99" s="407">
        <f>50+50</f>
        <v>100</v>
      </c>
      <c r="W99" s="407">
        <v>50</v>
      </c>
      <c r="X99" s="407">
        <v>50</v>
      </c>
      <c r="Y99" s="407">
        <v>50</v>
      </c>
      <c r="Z99" s="394"/>
      <c r="AA99" s="394"/>
      <c r="AB99" s="394"/>
      <c r="AC99" s="391">
        <f t="shared" si="2"/>
        <v>550</v>
      </c>
      <c r="AD99" s="509" t="s">
        <v>1015</v>
      </c>
    </row>
    <row r="100" spans="2:30" ht="16.2" thickBot="1">
      <c r="B100" s="453" t="s">
        <v>521</v>
      </c>
      <c r="C100" s="479" t="s">
        <v>495</v>
      </c>
      <c r="D100" s="453" t="s">
        <v>768</v>
      </c>
      <c r="E100" s="453" t="s">
        <v>846</v>
      </c>
      <c r="F100" s="453" t="s">
        <v>847</v>
      </c>
      <c r="G100" s="464" t="s">
        <v>908</v>
      </c>
      <c r="H100" s="464" t="s">
        <v>909</v>
      </c>
      <c r="I100" s="436" t="s">
        <v>1053</v>
      </c>
      <c r="J100" s="418" t="s">
        <v>834</v>
      </c>
      <c r="K100" s="438" t="s">
        <v>783</v>
      </c>
      <c r="L100" s="419" t="s">
        <v>276</v>
      </c>
      <c r="M100" s="419" t="s">
        <v>833</v>
      </c>
      <c r="N100" s="419" t="s">
        <v>369</v>
      </c>
      <c r="O100" s="456" t="s">
        <v>777</v>
      </c>
      <c r="P100" s="453" t="s">
        <v>361</v>
      </c>
      <c r="Q100" s="407">
        <v>0</v>
      </c>
      <c r="R100" s="407">
        <v>200</v>
      </c>
      <c r="S100" s="407">
        <v>0</v>
      </c>
      <c r="T100" s="407">
        <v>100</v>
      </c>
      <c r="U100" s="407">
        <v>0</v>
      </c>
      <c r="V100" s="407">
        <v>0</v>
      </c>
      <c r="W100" s="407"/>
      <c r="X100" s="407"/>
      <c r="Y100" s="407"/>
      <c r="Z100" s="394"/>
      <c r="AA100" s="394"/>
      <c r="AB100" s="394"/>
      <c r="AC100" s="391">
        <f t="shared" si="2"/>
        <v>300</v>
      </c>
      <c r="AD100" s="509" t="s">
        <v>1015</v>
      </c>
    </row>
    <row r="101" spans="2:30" ht="16.2" thickBot="1">
      <c r="B101" s="480" t="s">
        <v>506</v>
      </c>
      <c r="C101" s="481" t="s">
        <v>928</v>
      </c>
      <c r="D101" s="482" t="s">
        <v>996</v>
      </c>
      <c r="E101" s="482" t="s">
        <v>1055</v>
      </c>
      <c r="F101" s="482" t="s">
        <v>1080</v>
      </c>
      <c r="G101" s="504" t="s">
        <v>342</v>
      </c>
      <c r="H101" s="504" t="s">
        <v>342</v>
      </c>
      <c r="I101" s="483" t="s">
        <v>337</v>
      </c>
      <c r="J101" s="419" t="s">
        <v>834</v>
      </c>
      <c r="K101" s="477" t="s">
        <v>523</v>
      </c>
      <c r="L101" s="484" t="s">
        <v>108</v>
      </c>
      <c r="M101" s="484" t="s">
        <v>833</v>
      </c>
      <c r="N101" s="484" t="s">
        <v>369</v>
      </c>
      <c r="O101" s="456" t="s">
        <v>975</v>
      </c>
      <c r="P101" s="485" t="s">
        <v>930</v>
      </c>
      <c r="Q101" s="407">
        <v>0</v>
      </c>
      <c r="R101" s="407">
        <v>0</v>
      </c>
      <c r="S101" s="407">
        <v>0</v>
      </c>
      <c r="T101" s="520">
        <f>200-100-100</f>
        <v>0</v>
      </c>
      <c r="U101" s="520">
        <v>200</v>
      </c>
      <c r="V101" s="520">
        <v>200</v>
      </c>
      <c r="W101" s="520">
        <f>300-100</f>
        <v>200</v>
      </c>
      <c r="X101" s="520">
        <v>300</v>
      </c>
      <c r="Y101" s="520">
        <v>300</v>
      </c>
      <c r="Z101" s="394"/>
      <c r="AA101" s="394"/>
      <c r="AB101" s="394"/>
      <c r="AC101" s="391">
        <f t="shared" si="2"/>
        <v>1200</v>
      </c>
      <c r="AD101" s="509" t="s">
        <v>1015</v>
      </c>
    </row>
    <row r="102" spans="2:30" ht="16.2" thickBot="1">
      <c r="B102" s="480" t="s">
        <v>506</v>
      </c>
      <c r="C102" s="481" t="s">
        <v>928</v>
      </c>
      <c r="D102" s="482" t="s">
        <v>996</v>
      </c>
      <c r="E102" s="482" t="s">
        <v>1056</v>
      </c>
      <c r="F102" s="482" t="s">
        <v>1057</v>
      </c>
      <c r="G102" s="504" t="s">
        <v>342</v>
      </c>
      <c r="H102" s="504" t="s">
        <v>342</v>
      </c>
      <c r="I102" s="483" t="s">
        <v>337</v>
      </c>
      <c r="J102" s="419" t="s">
        <v>834</v>
      </c>
      <c r="K102" s="477" t="s">
        <v>523</v>
      </c>
      <c r="L102" s="484" t="s">
        <v>276</v>
      </c>
      <c r="M102" s="484" t="s">
        <v>833</v>
      </c>
      <c r="N102" s="484" t="s">
        <v>369</v>
      </c>
      <c r="O102" s="456" t="s">
        <v>975</v>
      </c>
      <c r="P102" s="453" t="s">
        <v>361</v>
      </c>
      <c r="Q102" s="407">
        <v>0</v>
      </c>
      <c r="R102" s="407">
        <v>0</v>
      </c>
      <c r="S102" s="407">
        <v>0</v>
      </c>
      <c r="T102" s="520">
        <f>100-100</f>
        <v>0</v>
      </c>
      <c r="U102" s="520">
        <v>100</v>
      </c>
      <c r="V102" s="520">
        <v>100</v>
      </c>
      <c r="W102" s="520">
        <v>100</v>
      </c>
      <c r="X102" s="520">
        <v>100</v>
      </c>
      <c r="Y102" s="520">
        <v>100</v>
      </c>
      <c r="Z102" s="394"/>
      <c r="AA102" s="394"/>
      <c r="AB102" s="394"/>
      <c r="AC102" s="391">
        <f t="shared" si="2"/>
        <v>500</v>
      </c>
      <c r="AD102" s="509" t="s">
        <v>1015</v>
      </c>
    </row>
    <row r="103" spans="2:30" ht="16.2" thickBot="1">
      <c r="B103" s="480"/>
      <c r="C103" s="481"/>
      <c r="D103" s="482" t="s">
        <v>997</v>
      </c>
      <c r="E103" s="505" t="s">
        <v>998</v>
      </c>
      <c r="F103" s="506" t="s">
        <v>999</v>
      </c>
      <c r="G103" s="503" t="s">
        <v>342</v>
      </c>
      <c r="H103" s="503" t="s">
        <v>342</v>
      </c>
      <c r="I103" s="483" t="s">
        <v>337</v>
      </c>
      <c r="J103" s="419" t="s">
        <v>1000</v>
      </c>
      <c r="K103" s="437" t="s">
        <v>1058</v>
      </c>
      <c r="L103" s="484" t="s">
        <v>276</v>
      </c>
      <c r="M103" s="484" t="s">
        <v>1002</v>
      </c>
      <c r="N103" s="484" t="s">
        <v>369</v>
      </c>
      <c r="O103" s="456" t="s">
        <v>1033</v>
      </c>
      <c r="P103" s="453" t="s">
        <v>361</v>
      </c>
      <c r="Q103" s="407"/>
      <c r="R103" s="407"/>
      <c r="S103" s="407">
        <v>0</v>
      </c>
      <c r="T103" s="520"/>
      <c r="U103" s="520"/>
      <c r="V103" s="520"/>
      <c r="W103" s="520">
        <v>200</v>
      </c>
      <c r="X103" s="520">
        <v>100</v>
      </c>
      <c r="Y103" s="520">
        <v>100</v>
      </c>
      <c r="Z103" s="394"/>
      <c r="AA103" s="394"/>
      <c r="AB103" s="394"/>
      <c r="AC103" s="391">
        <f t="shared" si="2"/>
        <v>400</v>
      </c>
      <c r="AD103" s="510" t="s">
        <v>1015</v>
      </c>
    </row>
    <row r="104" spans="2:30" ht="16.2" thickBot="1">
      <c r="B104" s="453" t="s">
        <v>521</v>
      </c>
      <c r="C104" s="469" t="s">
        <v>495</v>
      </c>
      <c r="D104" s="453" t="s">
        <v>837</v>
      </c>
      <c r="E104" s="453" t="s">
        <v>838</v>
      </c>
      <c r="F104" s="453" t="s">
        <v>839</v>
      </c>
      <c r="G104" s="453" t="s">
        <v>840</v>
      </c>
      <c r="H104" s="453" t="s">
        <v>841</v>
      </c>
      <c r="I104" s="486" t="s">
        <v>392</v>
      </c>
      <c r="J104" s="456" t="s">
        <v>1007</v>
      </c>
      <c r="K104" s="471" t="s">
        <v>522</v>
      </c>
      <c r="L104" s="453" t="s">
        <v>108</v>
      </c>
      <c r="M104" s="453" t="s">
        <v>339</v>
      </c>
      <c r="N104" s="453" t="s">
        <v>360</v>
      </c>
      <c r="O104" s="456" t="s">
        <v>275</v>
      </c>
      <c r="P104" s="462" t="s">
        <v>336</v>
      </c>
      <c r="Q104" s="407"/>
      <c r="R104" s="407"/>
      <c r="S104" s="407">
        <v>0</v>
      </c>
      <c r="T104" s="407">
        <v>0</v>
      </c>
      <c r="U104" s="407">
        <v>0</v>
      </c>
      <c r="V104" s="407">
        <v>0</v>
      </c>
      <c r="W104" s="407"/>
      <c r="X104" s="407"/>
      <c r="Y104" s="407"/>
      <c r="Z104" s="394"/>
      <c r="AA104" s="394"/>
      <c r="AB104" s="394"/>
      <c r="AC104" s="391">
        <f t="shared" si="2"/>
        <v>0</v>
      </c>
      <c r="AD104" s="508">
        <v>44713</v>
      </c>
    </row>
    <row r="105" spans="2:30" ht="16.2" thickBot="1">
      <c r="B105" s="453" t="s">
        <v>521</v>
      </c>
      <c r="C105" s="479" t="s">
        <v>495</v>
      </c>
      <c r="D105" s="453" t="s">
        <v>609</v>
      </c>
      <c r="E105" s="453" t="s">
        <v>610</v>
      </c>
      <c r="F105" s="453" t="s">
        <v>611</v>
      </c>
      <c r="G105" s="476" t="s">
        <v>683</v>
      </c>
      <c r="H105" s="476" t="s">
        <v>684</v>
      </c>
      <c r="I105" s="486" t="s">
        <v>392</v>
      </c>
      <c r="J105" s="456" t="s">
        <v>1007</v>
      </c>
      <c r="K105" s="471" t="s">
        <v>635</v>
      </c>
      <c r="L105" s="453" t="s">
        <v>108</v>
      </c>
      <c r="M105" s="453" t="s">
        <v>339</v>
      </c>
      <c r="N105" s="453" t="s">
        <v>360</v>
      </c>
      <c r="O105" s="456" t="s">
        <v>275</v>
      </c>
      <c r="P105" s="453" t="s">
        <v>361</v>
      </c>
      <c r="Q105" s="407">
        <v>0</v>
      </c>
      <c r="R105" s="407">
        <v>0</v>
      </c>
      <c r="S105" s="407">
        <v>0</v>
      </c>
      <c r="T105" s="407">
        <v>0</v>
      </c>
      <c r="U105" s="407">
        <v>0</v>
      </c>
      <c r="V105" s="407">
        <v>0</v>
      </c>
      <c r="W105" s="407"/>
      <c r="X105" s="407"/>
      <c r="Y105" s="407"/>
      <c r="Z105" s="394"/>
      <c r="AA105" s="394"/>
      <c r="AB105" s="394"/>
      <c r="AC105" s="391">
        <f t="shared" si="2"/>
        <v>0</v>
      </c>
      <c r="AD105" s="508">
        <v>44958</v>
      </c>
    </row>
    <row r="106" spans="2:30" ht="16.2" thickBot="1">
      <c r="B106" s="453" t="s">
        <v>521</v>
      </c>
      <c r="C106" s="469" t="s">
        <v>495</v>
      </c>
      <c r="D106" s="453" t="s">
        <v>706</v>
      </c>
      <c r="E106" s="453" t="s">
        <v>707</v>
      </c>
      <c r="F106" s="453" t="s">
        <v>708</v>
      </c>
      <c r="G106" s="476" t="s">
        <v>750</v>
      </c>
      <c r="H106" s="476" t="s">
        <v>751</v>
      </c>
      <c r="I106" s="473" t="s">
        <v>392</v>
      </c>
      <c r="J106" s="456" t="s">
        <v>496</v>
      </c>
      <c r="K106" s="478" t="s">
        <v>709</v>
      </c>
      <c r="L106" s="453" t="s">
        <v>276</v>
      </c>
      <c r="M106" s="453" t="s">
        <v>537</v>
      </c>
      <c r="N106" s="453" t="s">
        <v>520</v>
      </c>
      <c r="O106" s="456" t="s">
        <v>275</v>
      </c>
      <c r="P106" s="453" t="s">
        <v>361</v>
      </c>
      <c r="Q106" s="407">
        <v>50</v>
      </c>
      <c r="R106" s="407">
        <v>100</v>
      </c>
      <c r="S106" s="407">
        <v>0</v>
      </c>
      <c r="T106" s="440">
        <v>0</v>
      </c>
      <c r="U106" s="489">
        <v>150</v>
      </c>
      <c r="V106" s="489">
        <v>150</v>
      </c>
      <c r="W106" s="407"/>
      <c r="X106" s="407"/>
      <c r="Y106" s="407"/>
      <c r="Z106" s="394"/>
      <c r="AA106" s="394"/>
      <c r="AB106" s="394"/>
      <c r="AC106" s="391">
        <f t="shared" si="2"/>
        <v>450</v>
      </c>
      <c r="AD106" s="510" t="s">
        <v>1015</v>
      </c>
    </row>
    <row r="107" spans="2:30" ht="16.2" thickBot="1">
      <c r="B107" s="453" t="s">
        <v>513</v>
      </c>
      <c r="C107" s="469" t="s">
        <v>495</v>
      </c>
      <c r="D107" s="453" t="s">
        <v>442</v>
      </c>
      <c r="E107" s="453" t="s">
        <v>648</v>
      </c>
      <c r="F107" s="453" t="s">
        <v>649</v>
      </c>
      <c r="G107" s="476" t="s">
        <v>746</v>
      </c>
      <c r="H107" s="476" t="s">
        <v>747</v>
      </c>
      <c r="I107" s="473" t="s">
        <v>392</v>
      </c>
      <c r="J107" s="456" t="s">
        <v>496</v>
      </c>
      <c r="K107" s="478" t="s">
        <v>523</v>
      </c>
      <c r="L107" s="453" t="s">
        <v>276</v>
      </c>
      <c r="M107" s="453" t="s">
        <v>537</v>
      </c>
      <c r="N107" s="453" t="s">
        <v>369</v>
      </c>
      <c r="O107" s="456" t="s">
        <v>453</v>
      </c>
      <c r="P107" s="453" t="s">
        <v>361</v>
      </c>
      <c r="Q107" s="407">
        <v>0</v>
      </c>
      <c r="R107" s="407">
        <v>0</v>
      </c>
      <c r="S107" s="407">
        <v>0</v>
      </c>
      <c r="T107" s="407">
        <v>0</v>
      </c>
      <c r="U107" s="407">
        <v>0</v>
      </c>
      <c r="V107" s="407">
        <v>0</v>
      </c>
      <c r="W107" s="407"/>
      <c r="X107" s="407"/>
      <c r="Y107" s="407"/>
      <c r="Z107" s="394"/>
      <c r="AA107" s="394"/>
      <c r="AB107" s="394"/>
      <c r="AC107" s="391">
        <f t="shared" si="2"/>
        <v>0</v>
      </c>
      <c r="AD107" s="508">
        <v>44805</v>
      </c>
    </row>
    <row r="108" spans="2:30" ht="16.2" thickBot="1">
      <c r="B108" s="453" t="s">
        <v>513</v>
      </c>
      <c r="C108" s="469" t="s">
        <v>495</v>
      </c>
      <c r="D108" s="453" t="s">
        <v>442</v>
      </c>
      <c r="E108" s="453" t="s">
        <v>650</v>
      </c>
      <c r="F108" s="453" t="s">
        <v>651</v>
      </c>
      <c r="G108" s="476" t="s">
        <v>748</v>
      </c>
      <c r="H108" s="476" t="s">
        <v>749</v>
      </c>
      <c r="I108" s="473" t="s">
        <v>392</v>
      </c>
      <c r="J108" s="456" t="s">
        <v>496</v>
      </c>
      <c r="K108" s="478" t="s">
        <v>523</v>
      </c>
      <c r="L108" s="453" t="s">
        <v>276</v>
      </c>
      <c r="M108" s="453" t="s">
        <v>537</v>
      </c>
      <c r="N108" s="453" t="s">
        <v>520</v>
      </c>
      <c r="O108" s="456" t="s">
        <v>453</v>
      </c>
      <c r="P108" s="453" t="s">
        <v>361</v>
      </c>
      <c r="Q108" s="407">
        <v>0</v>
      </c>
      <c r="R108" s="407">
        <v>0</v>
      </c>
      <c r="S108" s="407">
        <v>0</v>
      </c>
      <c r="T108" s="407">
        <v>0</v>
      </c>
      <c r="U108" s="407">
        <v>0</v>
      </c>
      <c r="V108" s="407">
        <v>0</v>
      </c>
      <c r="W108" s="407"/>
      <c r="X108" s="407"/>
      <c r="Y108" s="407"/>
      <c r="Z108" s="394"/>
      <c r="AA108" s="394"/>
      <c r="AB108" s="394"/>
      <c r="AC108" s="391">
        <f t="shared" si="2"/>
        <v>0</v>
      </c>
      <c r="AD108" s="508">
        <v>44682</v>
      </c>
    </row>
    <row r="109" spans="2:30" ht="16.2" thickBot="1">
      <c r="B109" s="453" t="s">
        <v>513</v>
      </c>
      <c r="C109" s="469" t="s">
        <v>495</v>
      </c>
      <c r="D109" s="453" t="s">
        <v>1003</v>
      </c>
      <c r="E109" s="505" t="s">
        <v>1004</v>
      </c>
      <c r="F109" s="505" t="s">
        <v>1005</v>
      </c>
      <c r="G109" s="503" t="s">
        <v>342</v>
      </c>
      <c r="H109" s="503" t="s">
        <v>342</v>
      </c>
      <c r="I109" s="473" t="s">
        <v>1006</v>
      </c>
      <c r="J109" s="456" t="s">
        <v>1007</v>
      </c>
      <c r="K109" s="478" t="s">
        <v>1059</v>
      </c>
      <c r="L109" s="453" t="s">
        <v>276</v>
      </c>
      <c r="M109" s="453" t="s">
        <v>383</v>
      </c>
      <c r="N109" s="453" t="s">
        <v>535</v>
      </c>
      <c r="O109" s="456" t="s">
        <v>275</v>
      </c>
      <c r="P109" s="453" t="s">
        <v>361</v>
      </c>
      <c r="Q109" s="347">
        <v>0</v>
      </c>
      <c r="R109" s="347">
        <v>0</v>
      </c>
      <c r="S109" s="347">
        <v>0</v>
      </c>
      <c r="T109" s="407"/>
      <c r="U109" s="407"/>
      <c r="V109" s="407"/>
      <c r="W109" s="407">
        <f>50+100</f>
        <v>150</v>
      </c>
      <c r="X109" s="407">
        <f>50-50</f>
        <v>0</v>
      </c>
      <c r="Y109" s="407">
        <f>50-50</f>
        <v>0</v>
      </c>
      <c r="Z109" s="394"/>
      <c r="AA109" s="394"/>
      <c r="AB109" s="394"/>
      <c r="AC109" s="391">
        <f t="shared" si="2"/>
        <v>150</v>
      </c>
      <c r="AD109" s="510" t="s">
        <v>1015</v>
      </c>
    </row>
    <row r="110" spans="2:30" ht="16.2" thickBot="1">
      <c r="B110" s="453" t="s">
        <v>513</v>
      </c>
      <c r="C110" s="469" t="s">
        <v>495</v>
      </c>
      <c r="D110" s="453" t="s">
        <v>1003</v>
      </c>
      <c r="E110" s="505" t="s">
        <v>1060</v>
      </c>
      <c r="F110" s="505" t="s">
        <v>1061</v>
      </c>
      <c r="G110" s="503" t="s">
        <v>342</v>
      </c>
      <c r="H110" s="503" t="s">
        <v>342</v>
      </c>
      <c r="I110" s="473" t="s">
        <v>1006</v>
      </c>
      <c r="J110" s="456" t="s">
        <v>1007</v>
      </c>
      <c r="K110" s="478" t="s">
        <v>1059</v>
      </c>
      <c r="L110" s="453" t="s">
        <v>1062</v>
      </c>
      <c r="M110" s="453" t="s">
        <v>383</v>
      </c>
      <c r="N110" s="453" t="s">
        <v>535</v>
      </c>
      <c r="O110" s="456" t="s">
        <v>275</v>
      </c>
      <c r="P110" s="453" t="s">
        <v>361</v>
      </c>
      <c r="Q110" s="347"/>
      <c r="R110" s="347"/>
      <c r="S110" s="347"/>
      <c r="T110" s="407"/>
      <c r="U110" s="407"/>
      <c r="V110" s="407"/>
      <c r="W110" s="407">
        <f>20+40</f>
        <v>60</v>
      </c>
      <c r="X110" s="407">
        <f>20-20</f>
        <v>0</v>
      </c>
      <c r="Y110" s="407">
        <f>20-20</f>
        <v>0</v>
      </c>
      <c r="Z110" s="394"/>
      <c r="AA110" s="394"/>
      <c r="AB110" s="394"/>
      <c r="AC110" s="391">
        <f t="shared" si="2"/>
        <v>60</v>
      </c>
      <c r="AD110" s="510" t="s">
        <v>1015</v>
      </c>
    </row>
    <row r="111" spans="2:30" ht="16.2" thickBot="1">
      <c r="B111" s="453" t="s">
        <v>513</v>
      </c>
      <c r="C111" s="469" t="s">
        <v>495</v>
      </c>
      <c r="D111" s="453" t="s">
        <v>410</v>
      </c>
      <c r="E111" s="453" t="s">
        <v>524</v>
      </c>
      <c r="F111" s="453" t="s">
        <v>497</v>
      </c>
      <c r="G111" s="453" t="s">
        <v>498</v>
      </c>
      <c r="H111" s="453" t="s">
        <v>499</v>
      </c>
      <c r="I111" s="487" t="s">
        <v>525</v>
      </c>
      <c r="J111" s="456" t="s">
        <v>393</v>
      </c>
      <c r="K111" s="488" t="s">
        <v>526</v>
      </c>
      <c r="L111" s="453" t="s">
        <v>108</v>
      </c>
      <c r="M111" s="453" t="s">
        <v>339</v>
      </c>
      <c r="N111" s="453" t="s">
        <v>369</v>
      </c>
      <c r="O111" s="456" t="s">
        <v>275</v>
      </c>
      <c r="P111" s="453" t="s">
        <v>361</v>
      </c>
      <c r="Q111" s="407">
        <v>0</v>
      </c>
      <c r="R111" s="407">
        <v>0</v>
      </c>
      <c r="S111" s="407">
        <v>0</v>
      </c>
      <c r="T111" s="407">
        <v>0</v>
      </c>
      <c r="U111" s="407">
        <v>0</v>
      </c>
      <c r="V111" s="407">
        <v>0</v>
      </c>
      <c r="W111" s="407"/>
      <c r="X111" s="407"/>
      <c r="Y111" s="407"/>
      <c r="AC111" s="391">
        <f t="shared" si="2"/>
        <v>0</v>
      </c>
      <c r="AD111" s="508">
        <v>44805</v>
      </c>
    </row>
    <row r="112" spans="2:30" ht="16.2" thickBot="1">
      <c r="B112" s="453" t="s">
        <v>512</v>
      </c>
      <c r="C112" s="469" t="s">
        <v>292</v>
      </c>
      <c r="D112" s="453" t="s">
        <v>296</v>
      </c>
      <c r="E112" s="453" t="s">
        <v>612</v>
      </c>
      <c r="F112" s="453" t="s">
        <v>613</v>
      </c>
      <c r="G112" s="439" t="s">
        <v>685</v>
      </c>
      <c r="H112" s="439" t="s">
        <v>686</v>
      </c>
      <c r="I112" s="487" t="s">
        <v>525</v>
      </c>
      <c r="J112" s="453" t="s">
        <v>393</v>
      </c>
      <c r="K112" s="488" t="s">
        <v>526</v>
      </c>
      <c r="L112" s="453" t="s">
        <v>108</v>
      </c>
      <c r="M112" s="453" t="s">
        <v>339</v>
      </c>
      <c r="N112" s="453" t="s">
        <v>369</v>
      </c>
      <c r="O112" s="456" t="s">
        <v>275</v>
      </c>
      <c r="P112" s="453" t="s">
        <v>361</v>
      </c>
      <c r="Q112" s="407">
        <v>0</v>
      </c>
      <c r="R112" s="407">
        <v>0</v>
      </c>
      <c r="S112" s="407">
        <v>0</v>
      </c>
      <c r="T112" s="407">
        <v>0</v>
      </c>
      <c r="U112" s="407">
        <v>0</v>
      </c>
      <c r="V112" s="407">
        <v>0</v>
      </c>
      <c r="W112" s="407"/>
      <c r="X112" s="407"/>
      <c r="Y112" s="407"/>
      <c r="Z112" s="491">
        <f t="shared" ref="Z112:AB112" si="3">SUM(Z4:Z110)</f>
        <v>0</v>
      </c>
      <c r="AA112" s="491">
        <f t="shared" si="3"/>
        <v>0</v>
      </c>
      <c r="AB112" s="491">
        <f t="shared" si="3"/>
        <v>0</v>
      </c>
      <c r="AC112" s="391">
        <f t="shared" si="2"/>
        <v>0</v>
      </c>
      <c r="AD112" s="508">
        <v>44682</v>
      </c>
    </row>
    <row r="113" spans="2:30" ht="16.2" thickBot="1">
      <c r="B113" s="456" t="s">
        <v>512</v>
      </c>
      <c r="C113" s="452" t="s">
        <v>495</v>
      </c>
      <c r="D113" s="453" t="s">
        <v>410</v>
      </c>
      <c r="E113" s="453" t="s">
        <v>500</v>
      </c>
      <c r="F113" s="453" t="s">
        <v>501</v>
      </c>
      <c r="G113" s="476" t="s">
        <v>502</v>
      </c>
      <c r="H113" s="476" t="s">
        <v>503</v>
      </c>
      <c r="I113" s="487" t="s">
        <v>525</v>
      </c>
      <c r="J113" s="456" t="s">
        <v>393</v>
      </c>
      <c r="K113" s="488" t="s">
        <v>526</v>
      </c>
      <c r="L113" s="456" t="s">
        <v>276</v>
      </c>
      <c r="M113" s="456" t="s">
        <v>339</v>
      </c>
      <c r="N113" s="456" t="s">
        <v>369</v>
      </c>
      <c r="O113" s="456" t="s">
        <v>275</v>
      </c>
      <c r="P113" s="456" t="s">
        <v>361</v>
      </c>
      <c r="Q113" s="407">
        <v>0</v>
      </c>
      <c r="R113" s="407">
        <v>0</v>
      </c>
      <c r="S113" s="407">
        <v>0</v>
      </c>
      <c r="T113" s="407">
        <v>0</v>
      </c>
      <c r="U113" s="407">
        <v>0</v>
      </c>
      <c r="V113" s="407">
        <v>0</v>
      </c>
      <c r="W113" s="407"/>
      <c r="X113" s="407"/>
      <c r="Y113" s="407"/>
      <c r="AC113" s="391">
        <f t="shared" si="2"/>
        <v>0</v>
      </c>
      <c r="AD113" s="508">
        <v>44835</v>
      </c>
    </row>
    <row r="114" spans="2:30" ht="16.2" thickBot="1">
      <c r="B114" s="453" t="s">
        <v>512</v>
      </c>
      <c r="C114" s="479" t="s">
        <v>292</v>
      </c>
      <c r="D114" s="453" t="s">
        <v>296</v>
      </c>
      <c r="E114" s="453" t="s">
        <v>614</v>
      </c>
      <c r="F114" s="453" t="s">
        <v>615</v>
      </c>
      <c r="G114" s="476" t="s">
        <v>687</v>
      </c>
      <c r="H114" s="476" t="s">
        <v>688</v>
      </c>
      <c r="I114" s="487" t="s">
        <v>525</v>
      </c>
      <c r="J114" s="453" t="s">
        <v>616</v>
      </c>
      <c r="K114" s="488" t="s">
        <v>526</v>
      </c>
      <c r="L114" s="453" t="s">
        <v>617</v>
      </c>
      <c r="M114" s="453" t="s">
        <v>537</v>
      </c>
      <c r="N114" s="453" t="s">
        <v>618</v>
      </c>
      <c r="O114" s="456" t="s">
        <v>275</v>
      </c>
      <c r="P114" s="453" t="s">
        <v>336</v>
      </c>
      <c r="Q114" s="347">
        <v>0</v>
      </c>
      <c r="R114" s="347">
        <v>0</v>
      </c>
      <c r="S114" s="347">
        <v>0</v>
      </c>
      <c r="T114" s="407">
        <v>0</v>
      </c>
      <c r="U114" s="407">
        <v>0</v>
      </c>
      <c r="V114" s="407">
        <v>0</v>
      </c>
      <c r="W114" s="407"/>
      <c r="X114" s="407"/>
      <c r="Y114" s="407"/>
      <c r="AC114" s="391">
        <f t="shared" si="2"/>
        <v>0</v>
      </c>
      <c r="AD114" s="508">
        <v>44835</v>
      </c>
    </row>
    <row r="115" spans="2:30" ht="16.2" thickBot="1">
      <c r="Q115" s="490"/>
      <c r="R115" s="490"/>
      <c r="S115" s="490"/>
      <c r="T115" s="490"/>
      <c r="U115" s="490"/>
      <c r="V115" s="490"/>
      <c r="W115" s="490"/>
      <c r="X115" s="490"/>
      <c r="Y115" s="490"/>
      <c r="AD115" s="342"/>
    </row>
    <row r="116" spans="2:30" ht="16.2" thickBot="1">
      <c r="Q116" s="491">
        <f t="shared" ref="Q116:W116" si="4">SUM(Q4:Q114)</f>
        <v>22000</v>
      </c>
      <c r="R116" s="491">
        <f t="shared" si="4"/>
        <v>23100</v>
      </c>
      <c r="S116" s="491">
        <f t="shared" si="4"/>
        <v>20600</v>
      </c>
      <c r="T116" s="521">
        <f>SUM(T4:T114)</f>
        <v>22750</v>
      </c>
      <c r="U116" s="521">
        <f t="shared" si="4"/>
        <v>23880</v>
      </c>
      <c r="V116" s="521">
        <f>SUM(V4:V114)-20</f>
        <v>23930</v>
      </c>
      <c r="W116" s="521">
        <f t="shared" si="4"/>
        <v>29490</v>
      </c>
      <c r="X116" s="521">
        <f>SUM(X4:X114)-20-20</f>
        <v>26890</v>
      </c>
      <c r="Y116" s="521">
        <f>SUM(Y4:Y114)-20-20</f>
        <v>25890</v>
      </c>
      <c r="AC116" s="521">
        <f>SUM(AC4:AC114)-20-20</f>
        <v>218590</v>
      </c>
      <c r="AD116" s="509"/>
    </row>
  </sheetData>
  <autoFilter ref="B3:AC112"/>
  <mergeCells count="1">
    <mergeCell ref="Q2:T2"/>
  </mergeCells>
  <phoneticPr fontId="71" type="noConversion"/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AC584"/>
  <sheetViews>
    <sheetView showGridLines="0" zoomScale="60" zoomScaleNormal="60" workbookViewId="0">
      <pane ySplit="5" topLeftCell="A516" activePane="bottomLeft" state="frozen"/>
      <selection pane="bottomLeft" activeCell="V603" sqref="V603"/>
    </sheetView>
  </sheetViews>
  <sheetFormatPr defaultRowHeight="14.4"/>
  <cols>
    <col min="1" max="2" width="9.109375" style="11" customWidth="1"/>
    <col min="3" max="3" width="9.44140625" style="41" bestFit="1" customWidth="1"/>
    <col min="4" max="4" width="9.109375" style="11" customWidth="1"/>
    <col min="5" max="5" width="9.44140625" style="41" bestFit="1" customWidth="1"/>
    <col min="6" max="6" width="9.88671875" customWidth="1"/>
    <col min="8" max="8" width="19.109375" customWidth="1"/>
    <col min="12" max="12" width="24.33203125" customWidth="1"/>
    <col min="13" max="14" width="9.109375" customWidth="1"/>
    <col min="21" max="21" width="13" bestFit="1" customWidth="1"/>
    <col min="22" max="22" width="13.88671875" bestFit="1" customWidth="1"/>
    <col min="27" max="27" width="18.44140625" bestFit="1" customWidth="1"/>
    <col min="28" max="28" width="20.109375" bestFit="1" customWidth="1"/>
  </cols>
  <sheetData>
    <row r="1" spans="3:28">
      <c r="C1" s="11"/>
      <c r="E1" s="11"/>
      <c r="F1" s="11"/>
      <c r="G1" s="11"/>
      <c r="H1" s="11"/>
      <c r="I1" s="39"/>
      <c r="J1" s="39"/>
      <c r="K1" s="39"/>
      <c r="L1" s="39"/>
      <c r="M1" s="39"/>
      <c r="N1" s="39"/>
      <c r="O1" s="11"/>
      <c r="P1" s="11"/>
      <c r="Q1" s="11"/>
      <c r="R1" s="11"/>
      <c r="S1" s="11"/>
      <c r="T1" s="11"/>
      <c r="U1" s="11"/>
    </row>
    <row r="2" spans="3:28">
      <c r="C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</row>
    <row r="3" spans="3:28">
      <c r="C3" s="11"/>
      <c r="E3" s="11"/>
      <c r="F3" s="11"/>
      <c r="G3" s="11"/>
      <c r="H3" s="11"/>
      <c r="I3" s="11"/>
    </row>
    <row r="4" spans="3:28">
      <c r="C4" s="41">
        <v>2022</v>
      </c>
      <c r="F4" s="11"/>
      <c r="G4" s="11"/>
      <c r="H4" s="11"/>
      <c r="I4" s="11"/>
      <c r="J4" s="11"/>
      <c r="K4" s="11"/>
      <c r="L4" s="11"/>
      <c r="M4" s="11"/>
      <c r="N4" s="11"/>
      <c r="O4" s="374" t="e">
        <f>SUBTOTAL(9,O6:O599)</f>
        <v>#REF!</v>
      </c>
      <c r="P4" s="374" t="e">
        <f t="shared" ref="P4:AB4" si="0">SUBTOTAL(9,P6:P599)</f>
        <v>#REF!</v>
      </c>
      <c r="Q4" s="374" t="e">
        <f t="shared" si="0"/>
        <v>#REF!</v>
      </c>
      <c r="R4" s="374" t="e">
        <f t="shared" si="0"/>
        <v>#REF!</v>
      </c>
      <c r="S4" s="374" t="e">
        <f t="shared" si="0"/>
        <v>#REF!</v>
      </c>
      <c r="T4" s="374" t="e">
        <f t="shared" si="0"/>
        <v>#REF!</v>
      </c>
      <c r="U4" s="374" t="e">
        <f t="shared" si="0"/>
        <v>#REF!</v>
      </c>
      <c r="V4" s="374" t="e">
        <f t="shared" si="0"/>
        <v>#REF!</v>
      </c>
      <c r="W4" s="374" t="e">
        <f t="shared" si="0"/>
        <v>#REF!</v>
      </c>
      <c r="X4" s="374" t="e">
        <f t="shared" si="0"/>
        <v>#REF!</v>
      </c>
      <c r="Y4" s="374" t="e">
        <f t="shared" si="0"/>
        <v>#REF!</v>
      </c>
      <c r="Z4" s="374" t="e">
        <f t="shared" si="0"/>
        <v>#REF!</v>
      </c>
      <c r="AA4" s="375" t="e">
        <f>SUBTOTAL(9,AA6:AA599)</f>
        <v>#REF!</v>
      </c>
      <c r="AB4" s="375" t="e">
        <f t="shared" si="0"/>
        <v>#REF!</v>
      </c>
    </row>
    <row r="5" spans="3:28" ht="27.6">
      <c r="C5" s="98" t="s">
        <v>30</v>
      </c>
      <c r="D5" s="376" t="s">
        <v>97</v>
      </c>
      <c r="E5" s="377" t="s">
        <v>22</v>
      </c>
      <c r="F5" s="378" t="s">
        <v>24</v>
      </c>
      <c r="G5" s="379" t="s">
        <v>14</v>
      </c>
      <c r="H5" s="308" t="s">
        <v>265</v>
      </c>
      <c r="I5" s="308" t="s">
        <v>15</v>
      </c>
      <c r="J5" s="380" t="s">
        <v>16</v>
      </c>
      <c r="K5" s="380" t="s">
        <v>17</v>
      </c>
      <c r="L5" s="381" t="s">
        <v>18</v>
      </c>
      <c r="M5" s="381" t="s">
        <v>122</v>
      </c>
      <c r="N5" s="382" t="s">
        <v>575</v>
      </c>
      <c r="O5" s="383" t="s">
        <v>1</v>
      </c>
      <c r="P5" s="383" t="s">
        <v>3</v>
      </c>
      <c r="Q5" s="383" t="s">
        <v>4</v>
      </c>
      <c r="R5" s="383" t="s">
        <v>5</v>
      </c>
      <c r="S5" s="383" t="s">
        <v>6</v>
      </c>
      <c r="T5" s="383" t="s">
        <v>89</v>
      </c>
      <c r="U5" s="383" t="s">
        <v>8</v>
      </c>
      <c r="V5" s="383" t="s">
        <v>9</v>
      </c>
      <c r="W5" s="383" t="s">
        <v>10</v>
      </c>
      <c r="X5" s="383" t="s">
        <v>11</v>
      </c>
      <c r="Y5" s="383" t="s">
        <v>12</v>
      </c>
      <c r="Z5" s="383" t="s">
        <v>210</v>
      </c>
      <c r="AA5" s="384" t="s">
        <v>93</v>
      </c>
      <c r="AB5" s="385" t="s">
        <v>593</v>
      </c>
    </row>
    <row r="6" spans="3:28">
      <c r="C6" s="98" t="s">
        <v>32</v>
      </c>
      <c r="D6" s="29" t="str">
        <f>MB!C14</f>
        <v>Q1 EOP</v>
      </c>
      <c r="E6" s="29" t="str">
        <f>MB!D14</f>
        <v>FCST</v>
      </c>
      <c r="F6" s="29">
        <f>MB!E14</f>
        <v>21300</v>
      </c>
      <c r="G6" s="29" t="str">
        <f>MB!F14</f>
        <v>X515JA</v>
      </c>
      <c r="H6" s="29" t="str">
        <f>MB!G14</f>
        <v>Core i3-1005G1</v>
      </c>
      <c r="I6" s="29">
        <f>MB!H14</f>
        <v>0</v>
      </c>
      <c r="J6" s="29">
        <f>MB!I14</f>
        <v>0</v>
      </c>
      <c r="K6" s="29">
        <f>MB!J14</f>
        <v>0</v>
      </c>
      <c r="L6" s="29">
        <f>MB!K14</f>
        <v>0</v>
      </c>
      <c r="M6" s="29">
        <f>MB!L14</f>
        <v>0</v>
      </c>
      <c r="N6" s="29">
        <f>MB!M14</f>
        <v>0</v>
      </c>
      <c r="O6" s="29">
        <f>MB!N14</f>
        <v>8800</v>
      </c>
      <c r="P6" s="29">
        <f>MB!P14</f>
        <v>6800</v>
      </c>
      <c r="Q6" s="29">
        <f>MB!Q14</f>
        <v>0</v>
      </c>
      <c r="R6" s="29">
        <f>MB!R14</f>
        <v>0</v>
      </c>
      <c r="S6" s="29">
        <f>MB!S14</f>
        <v>0</v>
      </c>
      <c r="T6" s="29">
        <f>MB!T14</f>
        <v>0</v>
      </c>
      <c r="U6" s="29">
        <f>MB!U14</f>
        <v>0</v>
      </c>
      <c r="V6" s="29">
        <f>MB!V14</f>
        <v>0</v>
      </c>
      <c r="W6" s="29">
        <f>MB!W14</f>
        <v>0</v>
      </c>
      <c r="X6" s="29">
        <f>MB!X14</f>
        <v>0</v>
      </c>
      <c r="Y6" s="29">
        <f>MB!Y14</f>
        <v>0</v>
      </c>
      <c r="Z6" s="29" t="e">
        <f>MB!#REF!</f>
        <v>#REF!</v>
      </c>
      <c r="AA6" s="29">
        <f>MB!Z14</f>
        <v>0</v>
      </c>
      <c r="AB6" s="29">
        <f>MB!AA14</f>
        <v>0</v>
      </c>
    </row>
    <row r="7" spans="3:28">
      <c r="C7" s="98" t="s">
        <v>32</v>
      </c>
      <c r="D7" s="29">
        <f>MB!C15</f>
        <v>0</v>
      </c>
      <c r="E7" s="29">
        <f>MB!D15</f>
        <v>0</v>
      </c>
      <c r="F7" s="29">
        <f>MB!E15</f>
        <v>0</v>
      </c>
      <c r="G7" s="29" t="str">
        <f>MB!F15</f>
        <v>X515JA</v>
      </c>
      <c r="H7" s="29" t="str">
        <f>MB!G15</f>
        <v>Core i3-1005G1</v>
      </c>
      <c r="I7" s="29" t="str">
        <f>MB!H15</f>
        <v>Imported</v>
      </c>
      <c r="J7" s="29" t="str">
        <f>MB!I15</f>
        <v>Asus</v>
      </c>
      <c r="K7" s="29" t="str">
        <f>MB!J15</f>
        <v>MB</v>
      </c>
      <c r="L7" s="29">
        <f>MB!K15</f>
        <v>0</v>
      </c>
      <c r="M7" s="29">
        <f>MB!L15</f>
        <v>0</v>
      </c>
      <c r="N7" s="29">
        <f>MB!M15</f>
        <v>0</v>
      </c>
      <c r="O7" s="29">
        <f>MB!N15</f>
        <v>0</v>
      </c>
      <c r="P7" s="29">
        <f>MB!P15</f>
        <v>0</v>
      </c>
      <c r="Q7" s="29">
        <f>MB!Q15</f>
        <v>0</v>
      </c>
      <c r="R7" s="29">
        <f>MB!R15</f>
        <v>0</v>
      </c>
      <c r="S7" s="29">
        <f>MB!S15</f>
        <v>0</v>
      </c>
      <c r="T7" s="29">
        <f>MB!T15</f>
        <v>0</v>
      </c>
      <c r="U7" s="29">
        <f>MB!U15</f>
        <v>0</v>
      </c>
      <c r="V7" s="29">
        <f>MB!V15</f>
        <v>0</v>
      </c>
      <c r="W7" s="29">
        <f>MB!W15</f>
        <v>0</v>
      </c>
      <c r="X7" s="29">
        <f>MB!X15</f>
        <v>0</v>
      </c>
      <c r="Y7" s="29">
        <f>MB!Y15</f>
        <v>0</v>
      </c>
      <c r="Z7" s="29" t="e">
        <f>MB!#REF!</f>
        <v>#REF!</v>
      </c>
      <c r="AA7" s="29">
        <f>MB!Z15</f>
        <v>0</v>
      </c>
      <c r="AB7" s="29">
        <f>MB!AA15</f>
        <v>0</v>
      </c>
    </row>
    <row r="8" spans="3:28">
      <c r="C8" s="98" t="s">
        <v>32</v>
      </c>
      <c r="D8" s="29">
        <f>MB!C16</f>
        <v>0</v>
      </c>
      <c r="E8" s="29">
        <f>MB!D16</f>
        <v>0</v>
      </c>
      <c r="F8" s="29">
        <f>MB!E16</f>
        <v>0</v>
      </c>
      <c r="G8" s="29" t="str">
        <f>MB!F16</f>
        <v>X515JA</v>
      </c>
      <c r="H8" s="29" t="str">
        <f>MB!G16</f>
        <v>Core i3-1005G1</v>
      </c>
      <c r="I8" s="29" t="str">
        <f>MB!H16</f>
        <v>Local</v>
      </c>
      <c r="J8" s="29" t="str">
        <f>MB!I16</f>
        <v>Asus</v>
      </c>
      <c r="K8" s="29" t="str">
        <f>MB!J16</f>
        <v>MB</v>
      </c>
      <c r="L8" s="29">
        <f>MB!K16</f>
        <v>0</v>
      </c>
      <c r="M8" s="29">
        <f>MB!L16</f>
        <v>0</v>
      </c>
      <c r="N8" s="29">
        <f>MB!M16</f>
        <v>0</v>
      </c>
      <c r="O8" s="29">
        <f>MB!N16</f>
        <v>8800</v>
      </c>
      <c r="P8" s="29">
        <f>MB!P16</f>
        <v>6800</v>
      </c>
      <c r="Q8" s="29">
        <f>MB!Q16</f>
        <v>0</v>
      </c>
      <c r="R8" s="29">
        <f>MB!R16</f>
        <v>0</v>
      </c>
      <c r="S8" s="29">
        <f>MB!S16</f>
        <v>0</v>
      </c>
      <c r="T8" s="29">
        <f>MB!T16</f>
        <v>0</v>
      </c>
      <c r="U8" s="29">
        <f>MB!U16</f>
        <v>0</v>
      </c>
      <c r="V8" s="29">
        <f>MB!V16</f>
        <v>0</v>
      </c>
      <c r="W8" s="29">
        <f>MB!W16</f>
        <v>0</v>
      </c>
      <c r="X8" s="29">
        <f>MB!X16</f>
        <v>0</v>
      </c>
      <c r="Y8" s="29">
        <f>MB!Y16</f>
        <v>0</v>
      </c>
      <c r="Z8" s="29" t="e">
        <f>MB!#REF!</f>
        <v>#REF!</v>
      </c>
      <c r="AA8" s="29">
        <f>MB!Z16</f>
        <v>21300</v>
      </c>
      <c r="AB8" s="29">
        <f>MB!AA16</f>
        <v>0</v>
      </c>
    </row>
    <row r="9" spans="3:28">
      <c r="C9" s="98" t="s">
        <v>32</v>
      </c>
      <c r="D9" s="29" t="str">
        <f>MB!C17</f>
        <v>Q2 EOP</v>
      </c>
      <c r="E9" s="29" t="str">
        <f>MB!D17</f>
        <v>FCST</v>
      </c>
      <c r="F9" s="29">
        <f>MB!E17</f>
        <v>23050</v>
      </c>
      <c r="G9" s="29" t="str">
        <f>MB!F17</f>
        <v>X515JA</v>
      </c>
      <c r="H9" s="29" t="str">
        <f>MB!G17</f>
        <v>Core i5-1035G1</v>
      </c>
      <c r="I9" s="29">
        <f>MB!H17</f>
        <v>0</v>
      </c>
      <c r="J9" s="29">
        <f>MB!I17</f>
        <v>0</v>
      </c>
      <c r="K9" s="29">
        <f>MB!J17</f>
        <v>0</v>
      </c>
      <c r="L9" s="29">
        <f>MB!K17</f>
        <v>0</v>
      </c>
      <c r="M9" s="29">
        <f>MB!L17</f>
        <v>0</v>
      </c>
      <c r="N9" s="29">
        <f>MB!M17</f>
        <v>0</v>
      </c>
      <c r="O9" s="29">
        <f>MB!N17</f>
        <v>5500</v>
      </c>
      <c r="P9" s="29">
        <f>MB!P17</f>
        <v>8000</v>
      </c>
      <c r="Q9" s="29">
        <f>MB!Q17</f>
        <v>5750</v>
      </c>
      <c r="R9" s="29">
        <f>MB!R17</f>
        <v>0</v>
      </c>
      <c r="S9" s="29">
        <f>MB!S17</f>
        <v>0</v>
      </c>
      <c r="T9" s="29">
        <f>MB!T17</f>
        <v>0</v>
      </c>
      <c r="U9" s="29">
        <f>MB!U17</f>
        <v>0</v>
      </c>
      <c r="V9" s="29">
        <f>MB!V17</f>
        <v>0</v>
      </c>
      <c r="W9" s="29">
        <f>MB!W17</f>
        <v>0</v>
      </c>
      <c r="X9" s="29">
        <f>MB!X17</f>
        <v>0</v>
      </c>
      <c r="Y9" s="29">
        <f>MB!Y17</f>
        <v>0</v>
      </c>
      <c r="Z9" s="29" t="e">
        <f>MB!#REF!</f>
        <v>#REF!</v>
      </c>
      <c r="AA9" s="29">
        <f>MB!Z17</f>
        <v>0</v>
      </c>
      <c r="AB9" s="29">
        <f>MB!AA17</f>
        <v>0</v>
      </c>
    </row>
    <row r="10" spans="3:28">
      <c r="C10" s="98" t="s">
        <v>32</v>
      </c>
      <c r="D10" s="29">
        <f>MB!C18</f>
        <v>0</v>
      </c>
      <c r="E10" s="29">
        <f>MB!D18</f>
        <v>0</v>
      </c>
      <c r="F10" s="29">
        <f>MB!E18</f>
        <v>0</v>
      </c>
      <c r="G10" s="29" t="str">
        <f>MB!F18</f>
        <v>X515JA</v>
      </c>
      <c r="H10" s="29" t="str">
        <f>MB!G18</f>
        <v>Core i5-1035G1</v>
      </c>
      <c r="I10" s="29" t="str">
        <f>MB!H18</f>
        <v>Imported</v>
      </c>
      <c r="J10" s="29" t="str">
        <f>MB!I18</f>
        <v>Asus</v>
      </c>
      <c r="K10" s="29" t="str">
        <f>MB!J18</f>
        <v>MB</v>
      </c>
      <c r="L10" s="29">
        <f>MB!K18</f>
        <v>0</v>
      </c>
      <c r="M10" s="29">
        <f>MB!L18</f>
        <v>0</v>
      </c>
      <c r="N10" s="29">
        <f>MB!M18</f>
        <v>0</v>
      </c>
      <c r="O10" s="29">
        <f>MB!N18</f>
        <v>0</v>
      </c>
      <c r="P10" s="29">
        <f>MB!P18</f>
        <v>0</v>
      </c>
      <c r="Q10" s="29">
        <f>MB!Q18</f>
        <v>0</v>
      </c>
      <c r="R10" s="29">
        <f>MB!R18</f>
        <v>0</v>
      </c>
      <c r="S10" s="29">
        <f>MB!S18</f>
        <v>0</v>
      </c>
      <c r="T10" s="29">
        <f>MB!T18</f>
        <v>0</v>
      </c>
      <c r="U10" s="29">
        <f>MB!U18</f>
        <v>0</v>
      </c>
      <c r="V10" s="29">
        <f>MB!V18</f>
        <v>0</v>
      </c>
      <c r="W10" s="29">
        <f>MB!W18</f>
        <v>0</v>
      </c>
      <c r="X10" s="29">
        <f>MB!X18</f>
        <v>0</v>
      </c>
      <c r="Y10" s="29">
        <f>MB!Y18</f>
        <v>0</v>
      </c>
      <c r="Z10" s="29" t="e">
        <f>MB!#REF!</f>
        <v>#REF!</v>
      </c>
      <c r="AA10" s="29">
        <f>MB!Z18</f>
        <v>0</v>
      </c>
      <c r="AB10" s="29">
        <f>MB!AA18</f>
        <v>0</v>
      </c>
    </row>
    <row r="11" spans="3:28">
      <c r="C11" s="98" t="s">
        <v>32</v>
      </c>
      <c r="D11" s="29">
        <f>MB!C19</f>
        <v>0</v>
      </c>
      <c r="E11" s="29">
        <f>MB!D19</f>
        <v>0</v>
      </c>
      <c r="F11" s="29">
        <f>MB!E19</f>
        <v>0</v>
      </c>
      <c r="G11" s="29" t="str">
        <f>MB!F19</f>
        <v>X515JA</v>
      </c>
      <c r="H11" s="29" t="str">
        <f>MB!G19</f>
        <v>Core i5-1035G1</v>
      </c>
      <c r="I11" s="29" t="str">
        <f>MB!H19</f>
        <v>Local</v>
      </c>
      <c r="J11" s="29" t="str">
        <f>MB!I19</f>
        <v>Asus</v>
      </c>
      <c r="K11" s="29" t="str">
        <f>MB!J19</f>
        <v>MB</v>
      </c>
      <c r="L11" s="29">
        <f>MB!K19</f>
        <v>0</v>
      </c>
      <c r="M11" s="29">
        <f>MB!L19</f>
        <v>0</v>
      </c>
      <c r="N11" s="29">
        <f>MB!M19</f>
        <v>0</v>
      </c>
      <c r="O11" s="29">
        <f>MB!N19</f>
        <v>5500</v>
      </c>
      <c r="P11" s="29">
        <f>MB!P19</f>
        <v>8000</v>
      </c>
      <c r="Q11" s="29">
        <f>MB!Q19</f>
        <v>5750</v>
      </c>
      <c r="R11" s="29">
        <f>MB!R19</f>
        <v>0</v>
      </c>
      <c r="S11" s="29">
        <f>MB!S19</f>
        <v>0</v>
      </c>
      <c r="T11" s="29">
        <f>MB!T19</f>
        <v>0</v>
      </c>
      <c r="U11" s="29">
        <f>MB!U19</f>
        <v>0</v>
      </c>
      <c r="V11" s="29">
        <f>MB!V19</f>
        <v>0</v>
      </c>
      <c r="W11" s="29">
        <f>MB!W19</f>
        <v>0</v>
      </c>
      <c r="X11" s="29">
        <f>MB!X19</f>
        <v>0</v>
      </c>
      <c r="Y11" s="29">
        <f>MB!Y19</f>
        <v>0</v>
      </c>
      <c r="Z11" s="29" t="e">
        <f>MB!#REF!</f>
        <v>#REF!</v>
      </c>
      <c r="AA11" s="29">
        <f>MB!Z19</f>
        <v>23050</v>
      </c>
      <c r="AB11" s="29">
        <f>MB!AA19</f>
        <v>0</v>
      </c>
    </row>
    <row r="12" spans="3:28">
      <c r="C12" s="98" t="s">
        <v>32</v>
      </c>
      <c r="D12" s="29" t="str">
        <f>MB!C20</f>
        <v>Q1 EOP</v>
      </c>
      <c r="E12" s="29" t="str">
        <f>MB!D20</f>
        <v>FCST</v>
      </c>
      <c r="F12" s="29">
        <f>MB!E20</f>
        <v>2800</v>
      </c>
      <c r="G12" s="29" t="str">
        <f>MB!F20</f>
        <v>X515JF</v>
      </c>
      <c r="H12" s="29" t="str">
        <f>MB!G20</f>
        <v>Core i5-1035G1</v>
      </c>
      <c r="I12" s="29">
        <f>MB!H20</f>
        <v>0</v>
      </c>
      <c r="J12" s="29">
        <f>MB!I20</f>
        <v>0</v>
      </c>
      <c r="K12" s="29">
        <f>MB!J20</f>
        <v>0</v>
      </c>
      <c r="L12" s="29">
        <f>MB!K20</f>
        <v>0</v>
      </c>
      <c r="M12" s="29">
        <f>MB!L20</f>
        <v>0</v>
      </c>
      <c r="N12" s="29">
        <f>MB!M20</f>
        <v>0</v>
      </c>
      <c r="O12" s="29">
        <f>MB!N20</f>
        <v>700</v>
      </c>
      <c r="P12" s="29">
        <f>MB!P20</f>
        <v>1050</v>
      </c>
      <c r="Q12" s="29">
        <f>MB!Q20</f>
        <v>0</v>
      </c>
      <c r="R12" s="29">
        <f>MB!R20</f>
        <v>0</v>
      </c>
      <c r="S12" s="29">
        <f>MB!S20</f>
        <v>0</v>
      </c>
      <c r="T12" s="29">
        <f>MB!T20</f>
        <v>0</v>
      </c>
      <c r="U12" s="29">
        <f>MB!U20</f>
        <v>0</v>
      </c>
      <c r="V12" s="29">
        <f>MB!V20</f>
        <v>0</v>
      </c>
      <c r="W12" s="29">
        <f>MB!W20</f>
        <v>0</v>
      </c>
      <c r="X12" s="29">
        <f>MB!X20</f>
        <v>0</v>
      </c>
      <c r="Y12" s="29">
        <f>MB!Y20</f>
        <v>0</v>
      </c>
      <c r="Z12" s="29" t="e">
        <f>MB!#REF!</f>
        <v>#REF!</v>
      </c>
      <c r="AA12" s="29">
        <f>MB!Z20</f>
        <v>0</v>
      </c>
      <c r="AB12" s="29">
        <f>MB!AA20</f>
        <v>0</v>
      </c>
    </row>
    <row r="13" spans="3:28">
      <c r="C13" s="98" t="s">
        <v>32</v>
      </c>
      <c r="D13" s="29">
        <f>MB!C21</f>
        <v>0</v>
      </c>
      <c r="E13" s="29">
        <f>MB!D21</f>
        <v>0</v>
      </c>
      <c r="F13" s="29">
        <f>MB!E21</f>
        <v>0</v>
      </c>
      <c r="G13" s="29" t="str">
        <f>MB!F21</f>
        <v>X515JF</v>
      </c>
      <c r="H13" s="29" t="str">
        <f>MB!G21</f>
        <v>Core i5-1035G1</v>
      </c>
      <c r="I13" s="29" t="str">
        <f>MB!H21</f>
        <v>Imported</v>
      </c>
      <c r="J13" s="29" t="str">
        <f>MB!I21</f>
        <v>Asus</v>
      </c>
      <c r="K13" s="29" t="str">
        <f>MB!J21</f>
        <v>MB</v>
      </c>
      <c r="L13" s="29">
        <f>MB!K21</f>
        <v>0</v>
      </c>
      <c r="M13" s="29">
        <f>MB!L21</f>
        <v>0</v>
      </c>
      <c r="N13" s="29">
        <f>MB!M21</f>
        <v>0</v>
      </c>
      <c r="O13" s="29">
        <f>MB!N21</f>
        <v>0</v>
      </c>
      <c r="P13" s="29">
        <f>MB!P21</f>
        <v>0</v>
      </c>
      <c r="Q13" s="29">
        <f>MB!Q21</f>
        <v>0</v>
      </c>
      <c r="R13" s="29">
        <f>MB!R21</f>
        <v>0</v>
      </c>
      <c r="S13" s="29">
        <f>MB!S21</f>
        <v>0</v>
      </c>
      <c r="T13" s="29">
        <f>MB!T21</f>
        <v>0</v>
      </c>
      <c r="U13" s="29">
        <f>MB!U21</f>
        <v>0</v>
      </c>
      <c r="V13" s="29">
        <f>MB!V21</f>
        <v>0</v>
      </c>
      <c r="W13" s="29">
        <f>MB!W21</f>
        <v>0</v>
      </c>
      <c r="X13" s="29">
        <f>MB!X21</f>
        <v>0</v>
      </c>
      <c r="Y13" s="29">
        <f>MB!Y21</f>
        <v>0</v>
      </c>
      <c r="Z13" s="29" t="e">
        <f>MB!#REF!</f>
        <v>#REF!</v>
      </c>
      <c r="AA13" s="29">
        <f>MB!Z21</f>
        <v>0</v>
      </c>
      <c r="AB13" s="29">
        <f>MB!AA21</f>
        <v>0</v>
      </c>
    </row>
    <row r="14" spans="3:28">
      <c r="C14" s="98" t="s">
        <v>32</v>
      </c>
      <c r="D14" s="29">
        <f>MB!C22</f>
        <v>0</v>
      </c>
      <c r="E14" s="29">
        <f>MB!D22</f>
        <v>0</v>
      </c>
      <c r="F14" s="29">
        <f>MB!E22</f>
        <v>0</v>
      </c>
      <c r="G14" s="29" t="str">
        <f>MB!F22</f>
        <v>X515JF</v>
      </c>
      <c r="H14" s="29" t="str">
        <f>MB!G22</f>
        <v>Core i5-1035G1</v>
      </c>
      <c r="I14" s="29" t="str">
        <f>MB!H22</f>
        <v>Local</v>
      </c>
      <c r="J14" s="29" t="str">
        <f>MB!I22</f>
        <v>Asus</v>
      </c>
      <c r="K14" s="29" t="str">
        <f>MB!J22</f>
        <v>MB</v>
      </c>
      <c r="L14" s="29">
        <f>MB!K22</f>
        <v>0</v>
      </c>
      <c r="M14" s="29">
        <f>MB!L22</f>
        <v>0</v>
      </c>
      <c r="N14" s="29">
        <f>MB!M22</f>
        <v>0</v>
      </c>
      <c r="O14" s="29">
        <f>MB!N22</f>
        <v>700</v>
      </c>
      <c r="P14" s="29">
        <f>MB!P22</f>
        <v>1050</v>
      </c>
      <c r="Q14" s="29">
        <f>MB!Q22</f>
        <v>0</v>
      </c>
      <c r="R14" s="29">
        <f>MB!R22</f>
        <v>0</v>
      </c>
      <c r="S14" s="29">
        <f>MB!S22</f>
        <v>0</v>
      </c>
      <c r="T14" s="29">
        <f>MB!T22</f>
        <v>0</v>
      </c>
      <c r="U14" s="29">
        <f>MB!U22</f>
        <v>0</v>
      </c>
      <c r="V14" s="29">
        <f>MB!V22</f>
        <v>0</v>
      </c>
      <c r="W14" s="29">
        <f>MB!W22</f>
        <v>0</v>
      </c>
      <c r="X14" s="29">
        <f>MB!X22</f>
        <v>0</v>
      </c>
      <c r="Y14" s="29">
        <f>MB!Y22</f>
        <v>0</v>
      </c>
      <c r="Z14" s="29" t="e">
        <f>MB!#REF!</f>
        <v>#REF!</v>
      </c>
      <c r="AA14" s="29">
        <f>MB!Z22</f>
        <v>2800</v>
      </c>
      <c r="AB14" s="29">
        <f>MB!AA22</f>
        <v>0</v>
      </c>
    </row>
    <row r="15" spans="3:28">
      <c r="C15" s="98" t="s">
        <v>32</v>
      </c>
      <c r="D15" s="29" t="str">
        <f>MB!C23</f>
        <v>EOP</v>
      </c>
      <c r="E15" s="29" t="str">
        <f>MB!D23</f>
        <v>FCST</v>
      </c>
      <c r="F15" s="29">
        <f>MB!E23</f>
        <v>0</v>
      </c>
      <c r="G15" s="29" t="str">
        <f>MB!F23</f>
        <v>X515EA</v>
      </c>
      <c r="H15" s="29" t="str">
        <f>MB!G23</f>
        <v>Core I3-1115G4</v>
      </c>
      <c r="I15" s="29">
        <f>MB!H23</f>
        <v>0</v>
      </c>
      <c r="J15" s="29">
        <f>MB!I23</f>
        <v>0</v>
      </c>
      <c r="K15" s="29">
        <f>MB!J23</f>
        <v>0</v>
      </c>
      <c r="L15" s="29">
        <f>MB!K23</f>
        <v>0</v>
      </c>
      <c r="M15" s="29">
        <f>MB!L23</f>
        <v>0</v>
      </c>
      <c r="N15" s="29">
        <f>MB!M23</f>
        <v>0</v>
      </c>
      <c r="O15" s="29">
        <f>MB!N23</f>
        <v>0</v>
      </c>
      <c r="P15" s="29">
        <f>MB!P23</f>
        <v>0</v>
      </c>
      <c r="Q15" s="29">
        <f>MB!Q23</f>
        <v>0</v>
      </c>
      <c r="R15" s="29">
        <f>MB!R23</f>
        <v>0</v>
      </c>
      <c r="S15" s="29">
        <f>MB!S23</f>
        <v>0</v>
      </c>
      <c r="T15" s="29">
        <f>MB!T23</f>
        <v>0</v>
      </c>
      <c r="U15" s="29">
        <f>MB!U23</f>
        <v>0</v>
      </c>
      <c r="V15" s="29">
        <f>MB!V23</f>
        <v>0</v>
      </c>
      <c r="W15" s="29">
        <f>MB!W23</f>
        <v>0</v>
      </c>
      <c r="X15" s="29">
        <f>MB!X23</f>
        <v>0</v>
      </c>
      <c r="Y15" s="29">
        <f>MB!Y23</f>
        <v>0</v>
      </c>
      <c r="Z15" s="29" t="e">
        <f>MB!#REF!</f>
        <v>#REF!</v>
      </c>
      <c r="AA15" s="29">
        <f>MB!Z23</f>
        <v>0</v>
      </c>
      <c r="AB15" s="29">
        <f>MB!AA23</f>
        <v>0</v>
      </c>
    </row>
    <row r="16" spans="3:28">
      <c r="C16" s="98" t="s">
        <v>32</v>
      </c>
      <c r="D16" s="29">
        <f>MB!C24</f>
        <v>0</v>
      </c>
      <c r="E16" s="29">
        <f>MB!D24</f>
        <v>0</v>
      </c>
      <c r="F16" s="29">
        <f>MB!E24</f>
        <v>0</v>
      </c>
      <c r="G16" s="29" t="str">
        <f>MB!F24</f>
        <v>X515EA</v>
      </c>
      <c r="H16" s="29" t="str">
        <f>MB!G24</f>
        <v>Core I3-1115G4</v>
      </c>
      <c r="I16" s="29" t="str">
        <f>MB!H24</f>
        <v>Imported</v>
      </c>
      <c r="J16" s="29" t="str">
        <f>MB!I24</f>
        <v>Asus</v>
      </c>
      <c r="K16" s="29" t="str">
        <f>MB!J24</f>
        <v>MB</v>
      </c>
      <c r="L16" s="29">
        <f>MB!K24</f>
        <v>0</v>
      </c>
      <c r="M16" s="29">
        <f>MB!L24</f>
        <v>0</v>
      </c>
      <c r="N16" s="29">
        <f>MB!M24</f>
        <v>0</v>
      </c>
      <c r="O16" s="29">
        <f>MB!N24</f>
        <v>0</v>
      </c>
      <c r="P16" s="29">
        <f>MB!P24</f>
        <v>0</v>
      </c>
      <c r="Q16" s="29">
        <f>MB!Q24</f>
        <v>0</v>
      </c>
      <c r="R16" s="29">
        <f>MB!R24</f>
        <v>0</v>
      </c>
      <c r="S16" s="29">
        <f>MB!S24</f>
        <v>0</v>
      </c>
      <c r="T16" s="29">
        <f>MB!T24</f>
        <v>0</v>
      </c>
      <c r="U16" s="29">
        <f>MB!U24</f>
        <v>0</v>
      </c>
      <c r="V16" s="29">
        <f>MB!V24</f>
        <v>0</v>
      </c>
      <c r="W16" s="29">
        <f>MB!W24</f>
        <v>0</v>
      </c>
      <c r="X16" s="29">
        <f>MB!X24</f>
        <v>0</v>
      </c>
      <c r="Y16" s="29">
        <f>MB!Y24</f>
        <v>0</v>
      </c>
      <c r="Z16" s="29" t="e">
        <f>MB!#REF!</f>
        <v>#REF!</v>
      </c>
      <c r="AA16" s="29">
        <f>MB!Z24</f>
        <v>0</v>
      </c>
      <c r="AB16" s="29">
        <f>MB!AA24</f>
        <v>0</v>
      </c>
    </row>
    <row r="17" spans="3:28">
      <c r="C17" s="98" t="s">
        <v>32</v>
      </c>
      <c r="D17" s="29">
        <f>MB!C25</f>
        <v>0</v>
      </c>
      <c r="E17" s="29">
        <f>MB!D25</f>
        <v>0</v>
      </c>
      <c r="F17" s="29">
        <f>MB!E25</f>
        <v>0</v>
      </c>
      <c r="G17" s="29" t="str">
        <f>MB!F25</f>
        <v>X515EA</v>
      </c>
      <c r="H17" s="29" t="str">
        <f>MB!G25</f>
        <v>Core I3-1115G4</v>
      </c>
      <c r="I17" s="29" t="str">
        <f>MB!H25</f>
        <v>Local</v>
      </c>
      <c r="J17" s="29" t="str">
        <f>MB!I25</f>
        <v>Asus</v>
      </c>
      <c r="K17" s="29" t="str">
        <f>MB!J25</f>
        <v>MB</v>
      </c>
      <c r="L17" s="29">
        <f>MB!K25</f>
        <v>0</v>
      </c>
      <c r="M17" s="29">
        <f>MB!L25</f>
        <v>0</v>
      </c>
      <c r="N17" s="29">
        <f>MB!M25</f>
        <v>0</v>
      </c>
      <c r="O17" s="29">
        <f>MB!N25</f>
        <v>0</v>
      </c>
      <c r="P17" s="29">
        <f>MB!P25</f>
        <v>0</v>
      </c>
      <c r="Q17" s="29">
        <f>MB!Q25</f>
        <v>0</v>
      </c>
      <c r="R17" s="29">
        <f>MB!R25</f>
        <v>0</v>
      </c>
      <c r="S17" s="29">
        <f>MB!S25</f>
        <v>0</v>
      </c>
      <c r="T17" s="29">
        <f>MB!T25</f>
        <v>0</v>
      </c>
      <c r="U17" s="29">
        <f>MB!U25</f>
        <v>0</v>
      </c>
      <c r="V17" s="29">
        <f>MB!V25</f>
        <v>0</v>
      </c>
      <c r="W17" s="29">
        <f>MB!W25</f>
        <v>0</v>
      </c>
      <c r="X17" s="29">
        <f>MB!X25</f>
        <v>0</v>
      </c>
      <c r="Y17" s="29">
        <f>MB!Y25</f>
        <v>0</v>
      </c>
      <c r="Z17" s="29" t="e">
        <f>MB!#REF!</f>
        <v>#REF!</v>
      </c>
      <c r="AA17" s="29">
        <f>MB!Z25</f>
        <v>0</v>
      </c>
      <c r="AB17" s="29">
        <f>MB!AA25</f>
        <v>0</v>
      </c>
    </row>
    <row r="18" spans="3:28">
      <c r="C18" s="98" t="s">
        <v>32</v>
      </c>
      <c r="D18" s="29" t="str">
        <f>MB!C26</f>
        <v>Q1 EOP</v>
      </c>
      <c r="E18" s="29" t="str">
        <f>MB!D26</f>
        <v>FCST</v>
      </c>
      <c r="F18" s="29">
        <f>MB!E26</f>
        <v>14100</v>
      </c>
      <c r="G18" s="29" t="str">
        <f>MB!F26</f>
        <v>X515MA</v>
      </c>
      <c r="H18" s="29" t="str">
        <f>MB!G26</f>
        <v>Celeron N4020</v>
      </c>
      <c r="I18" s="29">
        <f>MB!H26</f>
        <v>0</v>
      </c>
      <c r="J18" s="29">
        <f>MB!I26</f>
        <v>0</v>
      </c>
      <c r="K18" s="29">
        <f>MB!J26</f>
        <v>0</v>
      </c>
      <c r="L18" s="29">
        <f>MB!K26</f>
        <v>0</v>
      </c>
      <c r="M18" s="29">
        <f>MB!L26</f>
        <v>0</v>
      </c>
      <c r="N18" s="29">
        <f>MB!M26</f>
        <v>0</v>
      </c>
      <c r="O18" s="29">
        <f>MB!N26</f>
        <v>4000</v>
      </c>
      <c r="P18" s="29">
        <f>MB!P26</f>
        <v>0</v>
      </c>
      <c r="Q18" s="29">
        <f>MB!Q26</f>
        <v>0</v>
      </c>
      <c r="R18" s="29">
        <f>MB!R26</f>
        <v>0</v>
      </c>
      <c r="S18" s="29">
        <f>MB!S26</f>
        <v>0</v>
      </c>
      <c r="T18" s="29">
        <f>MB!T26</f>
        <v>2000</v>
      </c>
      <c r="U18" s="29">
        <f>MB!U26</f>
        <v>2000</v>
      </c>
      <c r="V18" s="29">
        <f>MB!V26</f>
        <v>1000</v>
      </c>
      <c r="W18" s="29">
        <f>MB!W26</f>
        <v>0</v>
      </c>
      <c r="X18" s="29">
        <f>MB!X26</f>
        <v>0</v>
      </c>
      <c r="Y18" s="29">
        <f>MB!Y26</f>
        <v>0</v>
      </c>
      <c r="Z18" s="29" t="e">
        <f>MB!#REF!</f>
        <v>#REF!</v>
      </c>
      <c r="AA18" s="29">
        <f>MB!Z26</f>
        <v>0</v>
      </c>
      <c r="AB18" s="29">
        <f>MB!AA26</f>
        <v>0</v>
      </c>
    </row>
    <row r="19" spans="3:28">
      <c r="C19" s="98" t="s">
        <v>32</v>
      </c>
      <c r="D19" s="29">
        <f>MB!C27</f>
        <v>0</v>
      </c>
      <c r="E19" s="29">
        <f>MB!D27</f>
        <v>0</v>
      </c>
      <c r="F19" s="29">
        <f>MB!E27</f>
        <v>0</v>
      </c>
      <c r="G19" s="29" t="str">
        <f>MB!F27</f>
        <v>X515MA</v>
      </c>
      <c r="H19" s="29" t="str">
        <f>MB!G27</f>
        <v>Celeron N4020</v>
      </c>
      <c r="I19" s="29" t="str">
        <f>MB!H27</f>
        <v>Imported</v>
      </c>
      <c r="J19" s="29" t="str">
        <f>MB!I27</f>
        <v>Asus</v>
      </c>
      <c r="K19" s="29" t="str">
        <f>MB!J27</f>
        <v>MB</v>
      </c>
      <c r="L19" s="29">
        <f>MB!K27</f>
        <v>0</v>
      </c>
      <c r="M19" s="29">
        <f>MB!L27</f>
        <v>0</v>
      </c>
      <c r="N19" s="29">
        <f>MB!M27</f>
        <v>0</v>
      </c>
      <c r="O19" s="29">
        <f>MB!N27</f>
        <v>0</v>
      </c>
      <c r="P19" s="29">
        <f>MB!P27</f>
        <v>0</v>
      </c>
      <c r="Q19" s="29">
        <f>MB!Q27</f>
        <v>0</v>
      </c>
      <c r="R19" s="29">
        <f>MB!R27</f>
        <v>0</v>
      </c>
      <c r="S19" s="29">
        <f>MB!S27</f>
        <v>0</v>
      </c>
      <c r="T19" s="29">
        <f>MB!T27</f>
        <v>0</v>
      </c>
      <c r="U19" s="29">
        <f>MB!U27</f>
        <v>0</v>
      </c>
      <c r="V19" s="29">
        <f>MB!V27</f>
        <v>0</v>
      </c>
      <c r="W19" s="29">
        <f>MB!W27</f>
        <v>0</v>
      </c>
      <c r="X19" s="29">
        <f>MB!X27</f>
        <v>0</v>
      </c>
      <c r="Y19" s="29">
        <f>MB!Y27</f>
        <v>0</v>
      </c>
      <c r="Z19" s="29" t="e">
        <f>MB!#REF!</f>
        <v>#REF!</v>
      </c>
      <c r="AA19" s="29">
        <f>MB!Z27</f>
        <v>0</v>
      </c>
      <c r="AB19" s="29">
        <f>MB!AA27</f>
        <v>0</v>
      </c>
    </row>
    <row r="20" spans="3:28">
      <c r="C20" s="98" t="s">
        <v>32</v>
      </c>
      <c r="D20" s="29">
        <f>MB!C28</f>
        <v>0</v>
      </c>
      <c r="E20" s="29">
        <f>MB!D28</f>
        <v>0</v>
      </c>
      <c r="F20" s="29">
        <f>MB!E28</f>
        <v>0</v>
      </c>
      <c r="G20" s="29" t="str">
        <f>MB!F28</f>
        <v>X515MA</v>
      </c>
      <c r="H20" s="29" t="str">
        <f>MB!G28</f>
        <v>Celeron N4020</v>
      </c>
      <c r="I20" s="29" t="str">
        <f>MB!H28</f>
        <v>Local</v>
      </c>
      <c r="J20" s="29" t="str">
        <f>MB!I28</f>
        <v>Asus</v>
      </c>
      <c r="K20" s="29" t="str">
        <f>MB!J28</f>
        <v>MB</v>
      </c>
      <c r="L20" s="29">
        <f>MB!K28</f>
        <v>0</v>
      </c>
      <c r="M20" s="29">
        <f>MB!L28</f>
        <v>0</v>
      </c>
      <c r="N20" s="29">
        <f>MB!M28</f>
        <v>0</v>
      </c>
      <c r="O20" s="29">
        <f>MB!N28</f>
        <v>4000</v>
      </c>
      <c r="P20" s="29">
        <f>MB!P28</f>
        <v>0</v>
      </c>
      <c r="Q20" s="29">
        <f>MB!Q28</f>
        <v>0</v>
      </c>
      <c r="R20" s="29">
        <f>MB!R28</f>
        <v>0</v>
      </c>
      <c r="S20" s="29">
        <f>MB!S28</f>
        <v>0</v>
      </c>
      <c r="T20" s="29">
        <f>MB!T28</f>
        <v>2000</v>
      </c>
      <c r="U20" s="29">
        <f>MB!U28</f>
        <v>2000</v>
      </c>
      <c r="V20" s="29">
        <f>MB!V28</f>
        <v>1000</v>
      </c>
      <c r="W20" s="29">
        <f>MB!W28</f>
        <v>0</v>
      </c>
      <c r="X20" s="29">
        <f>MB!X28</f>
        <v>0</v>
      </c>
      <c r="Y20" s="29">
        <f>MB!Y28</f>
        <v>0</v>
      </c>
      <c r="Z20" s="29" t="e">
        <f>MB!#REF!</f>
        <v>#REF!</v>
      </c>
      <c r="AA20" s="29">
        <f>MB!Z28</f>
        <v>14100</v>
      </c>
      <c r="AB20" s="29">
        <f>MB!AA28</f>
        <v>0</v>
      </c>
    </row>
    <row r="21" spans="3:28">
      <c r="C21" s="98" t="s">
        <v>32</v>
      </c>
      <c r="D21" s="29" t="str">
        <f>MB!C29</f>
        <v>Q2 EOP</v>
      </c>
      <c r="E21" s="29" t="str">
        <f>MB!D29</f>
        <v>FCST</v>
      </c>
      <c r="F21" s="29">
        <f>MB!E29</f>
        <v>17000</v>
      </c>
      <c r="G21" s="29" t="str">
        <f>MB!F29</f>
        <v>M515DA</v>
      </c>
      <c r="H21" s="29" t="str">
        <f>MB!G29</f>
        <v>Ryzen 5 3500U</v>
      </c>
      <c r="I21" s="29">
        <f>MB!H29</f>
        <v>0</v>
      </c>
      <c r="J21" s="29">
        <f>MB!I29</f>
        <v>0</v>
      </c>
      <c r="K21" s="29">
        <f>MB!J29</f>
        <v>0</v>
      </c>
      <c r="L21" s="29">
        <f>MB!K29</f>
        <v>0</v>
      </c>
      <c r="M21" s="29">
        <f>MB!L29</f>
        <v>0</v>
      </c>
      <c r="N21" s="29">
        <f>MB!M29</f>
        <v>0</v>
      </c>
      <c r="O21" s="29">
        <f>MB!N29</f>
        <v>1500</v>
      </c>
      <c r="P21" s="29">
        <f>MB!P29</f>
        <v>4000</v>
      </c>
      <c r="Q21" s="29">
        <f>MB!Q29</f>
        <v>4000</v>
      </c>
      <c r="R21" s="29">
        <f>MB!R29</f>
        <v>3800</v>
      </c>
      <c r="S21" s="29">
        <f>MB!S29</f>
        <v>0</v>
      </c>
      <c r="T21" s="29">
        <f>MB!T29</f>
        <v>0</v>
      </c>
      <c r="U21" s="29">
        <f>MB!U29</f>
        <v>0</v>
      </c>
      <c r="V21" s="29">
        <f>MB!V29</f>
        <v>0</v>
      </c>
      <c r="W21" s="29">
        <f>MB!W29</f>
        <v>0</v>
      </c>
      <c r="X21" s="29">
        <f>MB!X29</f>
        <v>0</v>
      </c>
      <c r="Y21" s="29">
        <f>MB!Y29</f>
        <v>0</v>
      </c>
      <c r="Z21" s="29" t="e">
        <f>MB!#REF!</f>
        <v>#REF!</v>
      </c>
      <c r="AA21" s="29">
        <f>MB!Z29</f>
        <v>0</v>
      </c>
      <c r="AB21" s="29">
        <f>MB!AA29</f>
        <v>0</v>
      </c>
    </row>
    <row r="22" spans="3:28">
      <c r="C22" s="98" t="s">
        <v>32</v>
      </c>
      <c r="D22" s="29">
        <f>MB!C30</f>
        <v>0</v>
      </c>
      <c r="E22" s="29">
        <f>MB!D30</f>
        <v>0</v>
      </c>
      <c r="F22" s="29">
        <f>MB!E30</f>
        <v>0</v>
      </c>
      <c r="G22" s="29" t="str">
        <f>MB!F30</f>
        <v>M515DA</v>
      </c>
      <c r="H22" s="29" t="str">
        <f>MB!G30</f>
        <v>Ryzen 5 3500U</v>
      </c>
      <c r="I22" s="29" t="str">
        <f>MB!H30</f>
        <v>Imported</v>
      </c>
      <c r="J22" s="29" t="str">
        <f>MB!I30</f>
        <v>Asus</v>
      </c>
      <c r="K22" s="29" t="str">
        <f>MB!J30</f>
        <v>MB</v>
      </c>
      <c r="L22" s="29">
        <f>MB!K30</f>
        <v>0</v>
      </c>
      <c r="M22" s="29">
        <f>MB!L30</f>
        <v>0</v>
      </c>
      <c r="N22" s="29">
        <f>MB!M30</f>
        <v>0</v>
      </c>
      <c r="O22" s="29">
        <f>MB!N30</f>
        <v>0</v>
      </c>
      <c r="P22" s="29">
        <f>MB!P30</f>
        <v>0</v>
      </c>
      <c r="Q22" s="29">
        <f>MB!Q30</f>
        <v>0</v>
      </c>
      <c r="R22" s="29">
        <f>MB!R30</f>
        <v>0</v>
      </c>
      <c r="S22" s="29">
        <f>MB!S30</f>
        <v>0</v>
      </c>
      <c r="T22" s="29">
        <f>MB!T30</f>
        <v>0</v>
      </c>
      <c r="U22" s="29">
        <f>MB!U30</f>
        <v>0</v>
      </c>
      <c r="V22" s="29">
        <f>MB!V30</f>
        <v>0</v>
      </c>
      <c r="W22" s="29">
        <f>MB!W30</f>
        <v>0</v>
      </c>
      <c r="X22" s="29">
        <f>MB!X30</f>
        <v>0</v>
      </c>
      <c r="Y22" s="29">
        <f>MB!Y30</f>
        <v>0</v>
      </c>
      <c r="Z22" s="29" t="e">
        <f>MB!#REF!</f>
        <v>#REF!</v>
      </c>
      <c r="AA22" s="29">
        <f>MB!Z30</f>
        <v>0</v>
      </c>
      <c r="AB22" s="29">
        <f>MB!AA30</f>
        <v>0</v>
      </c>
    </row>
    <row r="23" spans="3:28">
      <c r="C23" s="98" t="s">
        <v>32</v>
      </c>
      <c r="D23" s="29">
        <f>MB!C31</f>
        <v>0</v>
      </c>
      <c r="E23" s="29">
        <f>MB!D31</f>
        <v>0</v>
      </c>
      <c r="F23" s="29">
        <f>MB!E31</f>
        <v>0</v>
      </c>
      <c r="G23" s="29" t="str">
        <f>MB!F31</f>
        <v>M515DA</v>
      </c>
      <c r="H23" s="29" t="str">
        <f>MB!G31</f>
        <v>Ryzen 5 3500U</v>
      </c>
      <c r="I23" s="29" t="str">
        <f>MB!H31</f>
        <v>Local</v>
      </c>
      <c r="J23" s="29" t="str">
        <f>MB!I31</f>
        <v>Asus</v>
      </c>
      <c r="K23" s="29" t="str">
        <f>MB!J31</f>
        <v>MB</v>
      </c>
      <c r="L23" s="29">
        <f>MB!K31</f>
        <v>0</v>
      </c>
      <c r="M23" s="29">
        <f>MB!L31</f>
        <v>0</v>
      </c>
      <c r="N23" s="29">
        <f>MB!M31</f>
        <v>0</v>
      </c>
      <c r="O23" s="29">
        <f>MB!N31</f>
        <v>1500</v>
      </c>
      <c r="P23" s="29">
        <f>MB!P31</f>
        <v>4000</v>
      </c>
      <c r="Q23" s="29">
        <f>MB!Q31</f>
        <v>4000</v>
      </c>
      <c r="R23" s="29">
        <f>MB!R31</f>
        <v>3800</v>
      </c>
      <c r="S23" s="29">
        <f>MB!S31</f>
        <v>0</v>
      </c>
      <c r="T23" s="29">
        <f>MB!T31</f>
        <v>0</v>
      </c>
      <c r="U23" s="29">
        <f>MB!U31</f>
        <v>0</v>
      </c>
      <c r="V23" s="29">
        <f>MB!V31</f>
        <v>0</v>
      </c>
      <c r="W23" s="29">
        <f>MB!W31</f>
        <v>0</v>
      </c>
      <c r="X23" s="29">
        <f>MB!X31</f>
        <v>0</v>
      </c>
      <c r="Y23" s="29">
        <f>MB!Y31</f>
        <v>0</v>
      </c>
      <c r="Z23" s="29" t="e">
        <f>MB!#REF!</f>
        <v>#REF!</v>
      </c>
      <c r="AA23" s="29">
        <f>MB!Z31</f>
        <v>17000</v>
      </c>
      <c r="AB23" s="29">
        <f>MB!AA31</f>
        <v>0</v>
      </c>
    </row>
    <row r="24" spans="3:28">
      <c r="C24" s="98" t="s">
        <v>32</v>
      </c>
      <c r="D24" s="29" t="e">
        <f>MB!#REF!</f>
        <v>#REF!</v>
      </c>
      <c r="E24" s="29" t="e">
        <f>MB!#REF!</f>
        <v>#REF!</v>
      </c>
      <c r="F24" s="29" t="e">
        <f>MB!#REF!</f>
        <v>#REF!</v>
      </c>
      <c r="G24" s="29" t="e">
        <f>MB!#REF!</f>
        <v>#REF!</v>
      </c>
      <c r="H24" s="29" t="e">
        <f>MB!#REF!</f>
        <v>#REF!</v>
      </c>
      <c r="I24" s="29" t="e">
        <f>MB!#REF!</f>
        <v>#REF!</v>
      </c>
      <c r="J24" s="29" t="e">
        <f>MB!#REF!</f>
        <v>#REF!</v>
      </c>
      <c r="K24" s="29" t="e">
        <f>MB!#REF!</f>
        <v>#REF!</v>
      </c>
      <c r="L24" s="29" t="e">
        <f>MB!#REF!</f>
        <v>#REF!</v>
      </c>
      <c r="M24" s="29" t="e">
        <f>MB!#REF!</f>
        <v>#REF!</v>
      </c>
      <c r="N24" s="29" t="e">
        <f>MB!#REF!</f>
        <v>#REF!</v>
      </c>
      <c r="O24" s="29" t="e">
        <f>MB!#REF!</f>
        <v>#REF!</v>
      </c>
      <c r="P24" s="29" t="e">
        <f>MB!#REF!</f>
        <v>#REF!</v>
      </c>
      <c r="Q24" s="29" t="e">
        <f>MB!#REF!</f>
        <v>#REF!</v>
      </c>
      <c r="R24" s="29" t="e">
        <f>MB!#REF!</f>
        <v>#REF!</v>
      </c>
      <c r="S24" s="29" t="e">
        <f>MB!#REF!</f>
        <v>#REF!</v>
      </c>
      <c r="T24" s="29" t="e">
        <f>MB!#REF!</f>
        <v>#REF!</v>
      </c>
      <c r="U24" s="29" t="e">
        <f>MB!#REF!</f>
        <v>#REF!</v>
      </c>
      <c r="V24" s="29" t="e">
        <f>MB!#REF!</f>
        <v>#REF!</v>
      </c>
      <c r="W24" s="29" t="e">
        <f>MB!#REF!</f>
        <v>#REF!</v>
      </c>
      <c r="X24" s="29" t="e">
        <f>MB!#REF!</f>
        <v>#REF!</v>
      </c>
      <c r="Y24" s="29" t="e">
        <f>MB!#REF!</f>
        <v>#REF!</v>
      </c>
      <c r="Z24" s="29" t="e">
        <f>MB!#REF!</f>
        <v>#REF!</v>
      </c>
      <c r="AA24" s="29" t="e">
        <f>MB!#REF!</f>
        <v>#REF!</v>
      </c>
      <c r="AB24" s="29" t="e">
        <f>MB!#REF!</f>
        <v>#REF!</v>
      </c>
    </row>
    <row r="25" spans="3:28">
      <c r="C25" s="98" t="s">
        <v>32</v>
      </c>
      <c r="D25" s="29" t="e">
        <f>MB!#REF!</f>
        <v>#REF!</v>
      </c>
      <c r="E25" s="29" t="e">
        <f>MB!#REF!</f>
        <v>#REF!</v>
      </c>
      <c r="F25" s="29" t="e">
        <f>MB!#REF!</f>
        <v>#REF!</v>
      </c>
      <c r="G25" s="29" t="e">
        <f>MB!#REF!</f>
        <v>#REF!</v>
      </c>
      <c r="H25" s="29" t="e">
        <f>MB!#REF!</f>
        <v>#REF!</v>
      </c>
      <c r="I25" s="29" t="e">
        <f>MB!#REF!</f>
        <v>#REF!</v>
      </c>
      <c r="J25" s="29" t="e">
        <f>MB!#REF!</f>
        <v>#REF!</v>
      </c>
      <c r="K25" s="29" t="e">
        <f>MB!#REF!</f>
        <v>#REF!</v>
      </c>
      <c r="L25" s="29" t="e">
        <f>MB!#REF!</f>
        <v>#REF!</v>
      </c>
      <c r="M25" s="29" t="e">
        <f>MB!#REF!</f>
        <v>#REF!</v>
      </c>
      <c r="N25" s="29" t="e">
        <f>MB!#REF!</f>
        <v>#REF!</v>
      </c>
      <c r="O25" s="29" t="e">
        <f>MB!#REF!</f>
        <v>#REF!</v>
      </c>
      <c r="P25" s="29" t="e">
        <f>MB!#REF!</f>
        <v>#REF!</v>
      </c>
      <c r="Q25" s="29" t="e">
        <f>MB!#REF!</f>
        <v>#REF!</v>
      </c>
      <c r="R25" s="29" t="e">
        <f>MB!#REF!</f>
        <v>#REF!</v>
      </c>
      <c r="S25" s="29" t="e">
        <f>MB!#REF!</f>
        <v>#REF!</v>
      </c>
      <c r="T25" s="29" t="e">
        <f>MB!#REF!</f>
        <v>#REF!</v>
      </c>
      <c r="U25" s="29" t="e">
        <f>MB!#REF!</f>
        <v>#REF!</v>
      </c>
      <c r="V25" s="29" t="e">
        <f>MB!#REF!</f>
        <v>#REF!</v>
      </c>
      <c r="W25" s="29" t="e">
        <f>MB!#REF!</f>
        <v>#REF!</v>
      </c>
      <c r="X25" s="29" t="e">
        <f>MB!#REF!</f>
        <v>#REF!</v>
      </c>
      <c r="Y25" s="29" t="e">
        <f>MB!#REF!</f>
        <v>#REF!</v>
      </c>
      <c r="Z25" s="29" t="e">
        <f>MB!#REF!</f>
        <v>#REF!</v>
      </c>
      <c r="AA25" s="29" t="e">
        <f>MB!#REF!</f>
        <v>#REF!</v>
      </c>
      <c r="AB25" s="29" t="e">
        <f>MB!#REF!</f>
        <v>#REF!</v>
      </c>
    </row>
    <row r="26" spans="3:28">
      <c r="C26" s="98" t="s">
        <v>32</v>
      </c>
      <c r="D26" s="29" t="e">
        <f>MB!#REF!</f>
        <v>#REF!</v>
      </c>
      <c r="E26" s="29" t="e">
        <f>MB!#REF!</f>
        <v>#REF!</v>
      </c>
      <c r="F26" s="29" t="e">
        <f>MB!#REF!</f>
        <v>#REF!</v>
      </c>
      <c r="G26" s="29" t="e">
        <f>MB!#REF!</f>
        <v>#REF!</v>
      </c>
      <c r="H26" s="29" t="e">
        <f>MB!#REF!</f>
        <v>#REF!</v>
      </c>
      <c r="I26" s="29" t="e">
        <f>MB!#REF!</f>
        <v>#REF!</v>
      </c>
      <c r="J26" s="29" t="e">
        <f>MB!#REF!</f>
        <v>#REF!</v>
      </c>
      <c r="K26" s="29" t="e">
        <f>MB!#REF!</f>
        <v>#REF!</v>
      </c>
      <c r="L26" s="29" t="e">
        <f>MB!#REF!</f>
        <v>#REF!</v>
      </c>
      <c r="M26" s="29" t="e">
        <f>MB!#REF!</f>
        <v>#REF!</v>
      </c>
      <c r="N26" s="29" t="e">
        <f>MB!#REF!</f>
        <v>#REF!</v>
      </c>
      <c r="O26" s="29" t="e">
        <f>MB!#REF!</f>
        <v>#REF!</v>
      </c>
      <c r="P26" s="29" t="e">
        <f>MB!#REF!</f>
        <v>#REF!</v>
      </c>
      <c r="Q26" s="29" t="e">
        <f>MB!#REF!</f>
        <v>#REF!</v>
      </c>
      <c r="R26" s="29" t="e">
        <f>MB!#REF!</f>
        <v>#REF!</v>
      </c>
      <c r="S26" s="29" t="e">
        <f>MB!#REF!</f>
        <v>#REF!</v>
      </c>
      <c r="T26" s="29" t="e">
        <f>MB!#REF!</f>
        <v>#REF!</v>
      </c>
      <c r="U26" s="29" t="e">
        <f>MB!#REF!</f>
        <v>#REF!</v>
      </c>
      <c r="V26" s="29" t="e">
        <f>MB!#REF!</f>
        <v>#REF!</v>
      </c>
      <c r="W26" s="29" t="e">
        <f>MB!#REF!</f>
        <v>#REF!</v>
      </c>
      <c r="X26" s="29" t="e">
        <f>MB!#REF!</f>
        <v>#REF!</v>
      </c>
      <c r="Y26" s="29" t="e">
        <f>MB!#REF!</f>
        <v>#REF!</v>
      </c>
      <c r="Z26" s="29" t="e">
        <f>MB!#REF!</f>
        <v>#REF!</v>
      </c>
      <c r="AA26" s="29" t="e">
        <f>MB!#REF!</f>
        <v>#REF!</v>
      </c>
      <c r="AB26" s="29" t="e">
        <f>MB!#REF!</f>
        <v>#REF!</v>
      </c>
    </row>
    <row r="27" spans="3:28">
      <c r="C27" s="98" t="s">
        <v>32</v>
      </c>
      <c r="D27" s="29">
        <f>MB!C35</f>
        <v>0</v>
      </c>
      <c r="E27" s="29" t="str">
        <f>MB!D35</f>
        <v>FCST</v>
      </c>
      <c r="F27" s="29">
        <f>MB!E35</f>
        <v>2600</v>
      </c>
      <c r="G27" s="29" t="str">
        <f>MB!F35</f>
        <v>E510MA</v>
      </c>
      <c r="H27" s="29" t="str">
        <f>MB!G35</f>
        <v>Celeron N4020</v>
      </c>
      <c r="I27" s="29">
        <f>MB!H35</f>
        <v>0</v>
      </c>
      <c r="J27" s="29">
        <f>MB!I35</f>
        <v>0</v>
      </c>
      <c r="K27" s="29">
        <f>MB!J35</f>
        <v>0</v>
      </c>
      <c r="L27" s="29">
        <f>MB!K35</f>
        <v>0</v>
      </c>
      <c r="M27" s="29">
        <f>MB!L35</f>
        <v>0</v>
      </c>
      <c r="N27" s="29">
        <f>MB!M35</f>
        <v>0</v>
      </c>
      <c r="O27" s="29">
        <f>MB!N35</f>
        <v>200</v>
      </c>
      <c r="P27" s="29">
        <f>MB!P35</f>
        <v>0</v>
      </c>
      <c r="Q27" s="29">
        <f>MB!Q35</f>
        <v>0</v>
      </c>
      <c r="R27" s="29">
        <f>MB!R35</f>
        <v>600</v>
      </c>
      <c r="S27" s="29">
        <f>MB!S35</f>
        <v>600</v>
      </c>
      <c r="T27" s="29">
        <f>MB!T35</f>
        <v>0</v>
      </c>
      <c r="U27" s="29">
        <f>MB!U35</f>
        <v>0</v>
      </c>
      <c r="V27" s="29">
        <f>MB!V35</f>
        <v>0</v>
      </c>
      <c r="W27" s="29">
        <f>MB!W35</f>
        <v>0</v>
      </c>
      <c r="X27" s="29">
        <f>MB!X35</f>
        <v>0</v>
      </c>
      <c r="Y27" s="29">
        <f>MB!Y35</f>
        <v>0</v>
      </c>
      <c r="Z27" s="29" t="e">
        <f>MB!#REF!</f>
        <v>#REF!</v>
      </c>
      <c r="AA27" s="29">
        <f>MB!Z35</f>
        <v>0</v>
      </c>
      <c r="AB27" s="29">
        <f>MB!AA35</f>
        <v>0</v>
      </c>
    </row>
    <row r="28" spans="3:28">
      <c r="C28" s="98" t="s">
        <v>32</v>
      </c>
      <c r="D28" s="29">
        <f>MB!C36</f>
        <v>0</v>
      </c>
      <c r="E28" s="29">
        <f>MB!D36</f>
        <v>0</v>
      </c>
      <c r="F28" s="29">
        <f>MB!E36</f>
        <v>0</v>
      </c>
      <c r="G28" s="29" t="str">
        <f>MB!F36</f>
        <v>E510MA</v>
      </c>
      <c r="H28" s="29" t="str">
        <f>MB!G36</f>
        <v>Celeron N4020</v>
      </c>
      <c r="I28" s="29" t="str">
        <f>MB!H36</f>
        <v>Imported</v>
      </c>
      <c r="J28" s="29" t="str">
        <f>MB!I36</f>
        <v>Asus</v>
      </c>
      <c r="K28" s="29" t="str">
        <f>MB!J36</f>
        <v>MB</v>
      </c>
      <c r="L28" s="29">
        <f>MB!K36</f>
        <v>0</v>
      </c>
      <c r="M28" s="29">
        <f>MB!L36</f>
        <v>0</v>
      </c>
      <c r="N28" s="29">
        <f>MB!M36</f>
        <v>0</v>
      </c>
      <c r="O28" s="29">
        <f>MB!N36</f>
        <v>0</v>
      </c>
      <c r="P28" s="29">
        <f>MB!P36</f>
        <v>0</v>
      </c>
      <c r="Q28" s="29">
        <f>MB!Q36</f>
        <v>0</v>
      </c>
      <c r="R28" s="29">
        <f>MB!R36</f>
        <v>0</v>
      </c>
      <c r="S28" s="29">
        <f>MB!S36</f>
        <v>0</v>
      </c>
      <c r="T28" s="29">
        <f>MB!T36</f>
        <v>0</v>
      </c>
      <c r="U28" s="29">
        <f>MB!U36</f>
        <v>0</v>
      </c>
      <c r="V28" s="29">
        <f>MB!V36</f>
        <v>0</v>
      </c>
      <c r="W28" s="29">
        <f>MB!W36</f>
        <v>0</v>
      </c>
      <c r="X28" s="29">
        <f>MB!X36</f>
        <v>0</v>
      </c>
      <c r="Y28" s="29">
        <f>MB!Y36</f>
        <v>0</v>
      </c>
      <c r="Z28" s="29" t="e">
        <f>MB!#REF!</f>
        <v>#REF!</v>
      </c>
      <c r="AA28" s="29">
        <f>MB!Z36</f>
        <v>0</v>
      </c>
      <c r="AB28" s="29">
        <f>MB!AA36</f>
        <v>0</v>
      </c>
    </row>
    <row r="29" spans="3:28">
      <c r="C29" s="98" t="s">
        <v>32</v>
      </c>
      <c r="D29" s="29">
        <f>MB!C37</f>
        <v>0</v>
      </c>
      <c r="E29" s="29">
        <f>MB!D37</f>
        <v>0</v>
      </c>
      <c r="F29" s="29">
        <f>MB!E37</f>
        <v>0</v>
      </c>
      <c r="G29" s="29" t="str">
        <f>MB!F37</f>
        <v>E510MA</v>
      </c>
      <c r="H29" s="29" t="str">
        <f>MB!G37</f>
        <v>Celeron N4020</v>
      </c>
      <c r="I29" s="29" t="str">
        <f>MB!H37</f>
        <v>Local</v>
      </c>
      <c r="J29" s="29" t="str">
        <f>MB!I37</f>
        <v>Asus</v>
      </c>
      <c r="K29" s="29" t="str">
        <f>MB!J37</f>
        <v>MB</v>
      </c>
      <c r="L29" s="29">
        <f>MB!K37</f>
        <v>0</v>
      </c>
      <c r="M29" s="29">
        <f>MB!L37</f>
        <v>0</v>
      </c>
      <c r="N29" s="29">
        <f>MB!M37</f>
        <v>0</v>
      </c>
      <c r="O29" s="29">
        <f>MB!N37</f>
        <v>200</v>
      </c>
      <c r="P29" s="29">
        <f>MB!P37</f>
        <v>0</v>
      </c>
      <c r="Q29" s="29">
        <f>MB!Q37</f>
        <v>0</v>
      </c>
      <c r="R29" s="29">
        <f>MB!R37</f>
        <v>600</v>
      </c>
      <c r="S29" s="29">
        <f>MB!S37</f>
        <v>600</v>
      </c>
      <c r="T29" s="29">
        <f>MB!T37</f>
        <v>0</v>
      </c>
      <c r="U29" s="29">
        <f>MB!U37</f>
        <v>0</v>
      </c>
      <c r="V29" s="29">
        <f>MB!V37</f>
        <v>0</v>
      </c>
      <c r="W29" s="29">
        <f>MB!W37</f>
        <v>0</v>
      </c>
      <c r="X29" s="29">
        <f>MB!X37</f>
        <v>0</v>
      </c>
      <c r="Y29" s="29">
        <f>MB!Y37</f>
        <v>0</v>
      </c>
      <c r="Z29" s="29" t="e">
        <f>MB!#REF!</f>
        <v>#REF!</v>
      </c>
      <c r="AA29" s="29">
        <f>MB!Z37</f>
        <v>2600</v>
      </c>
      <c r="AB29" s="29">
        <f>MB!AA37</f>
        <v>0</v>
      </c>
    </row>
    <row r="30" spans="3:28">
      <c r="C30" s="98" t="s">
        <v>32</v>
      </c>
      <c r="D30" s="29" t="str">
        <f>MB!C38</f>
        <v>EOP</v>
      </c>
      <c r="E30" s="29" t="str">
        <f>MB!D38</f>
        <v>FCST</v>
      </c>
      <c r="F30" s="29">
        <f>MB!E38</f>
        <v>0</v>
      </c>
      <c r="G30" s="29" t="str">
        <f>MB!F38</f>
        <v>E410MA</v>
      </c>
      <c r="H30" s="29" t="str">
        <f>MB!G38</f>
        <v>Celeron N4020</v>
      </c>
      <c r="I30" s="29">
        <f>MB!H38</f>
        <v>0</v>
      </c>
      <c r="J30" s="29">
        <f>MB!I38</f>
        <v>0</v>
      </c>
      <c r="K30" s="29">
        <f>MB!J38</f>
        <v>0</v>
      </c>
      <c r="L30" s="29">
        <f>MB!K38</f>
        <v>0</v>
      </c>
      <c r="M30" s="29">
        <f>MB!L38</f>
        <v>0</v>
      </c>
      <c r="N30" s="29">
        <f>MB!M38</f>
        <v>0</v>
      </c>
      <c r="O30" s="29">
        <f>MB!N38</f>
        <v>0</v>
      </c>
      <c r="P30" s="29">
        <f>MB!P38</f>
        <v>0</v>
      </c>
      <c r="Q30" s="29">
        <f>MB!Q38</f>
        <v>0</v>
      </c>
      <c r="R30" s="29">
        <f>MB!R38</f>
        <v>0</v>
      </c>
      <c r="S30" s="29">
        <f>MB!S38</f>
        <v>0</v>
      </c>
      <c r="T30" s="29">
        <f>MB!T38</f>
        <v>0</v>
      </c>
      <c r="U30" s="29">
        <f>MB!U38</f>
        <v>0</v>
      </c>
      <c r="V30" s="29">
        <f>MB!V38</f>
        <v>0</v>
      </c>
      <c r="W30" s="29">
        <f>MB!W38</f>
        <v>0</v>
      </c>
      <c r="X30" s="29">
        <f>MB!X38</f>
        <v>0</v>
      </c>
      <c r="Y30" s="29">
        <f>MB!Y38</f>
        <v>0</v>
      </c>
      <c r="Z30" s="29" t="e">
        <f>MB!#REF!</f>
        <v>#REF!</v>
      </c>
      <c r="AA30" s="29">
        <f>MB!Z38</f>
        <v>0</v>
      </c>
      <c r="AB30" s="29">
        <f>MB!AA38</f>
        <v>0</v>
      </c>
    </row>
    <row r="31" spans="3:28">
      <c r="C31" s="98" t="s">
        <v>32</v>
      </c>
      <c r="D31" s="29">
        <f>MB!C39</f>
        <v>0</v>
      </c>
      <c r="E31" s="29">
        <f>MB!D39</f>
        <v>0</v>
      </c>
      <c r="F31" s="29">
        <f>MB!E39</f>
        <v>0</v>
      </c>
      <c r="G31" s="29" t="str">
        <f>MB!F39</f>
        <v>E410MA</v>
      </c>
      <c r="H31" s="29" t="str">
        <f>MB!G39</f>
        <v>Celeron N4020</v>
      </c>
      <c r="I31" s="29" t="str">
        <f>MB!H39</f>
        <v>Imported</v>
      </c>
      <c r="J31" s="29" t="str">
        <f>MB!I39</f>
        <v>Asus</v>
      </c>
      <c r="K31" s="29" t="str">
        <f>MB!J39</f>
        <v>MB</v>
      </c>
      <c r="L31" s="29">
        <f>MB!K39</f>
        <v>0</v>
      </c>
      <c r="M31" s="29">
        <f>MB!L39</f>
        <v>0</v>
      </c>
      <c r="N31" s="29">
        <f>MB!M39</f>
        <v>0</v>
      </c>
      <c r="O31" s="29">
        <f>MB!N39</f>
        <v>0</v>
      </c>
      <c r="P31" s="29">
        <f>MB!P39</f>
        <v>0</v>
      </c>
      <c r="Q31" s="29">
        <f>MB!Q39</f>
        <v>0</v>
      </c>
      <c r="R31" s="29">
        <f>MB!R39</f>
        <v>0</v>
      </c>
      <c r="S31" s="29">
        <f>MB!S39</f>
        <v>0</v>
      </c>
      <c r="T31" s="29">
        <f>MB!T39</f>
        <v>0</v>
      </c>
      <c r="U31" s="29">
        <f>MB!U39</f>
        <v>0</v>
      </c>
      <c r="V31" s="29">
        <f>MB!V39</f>
        <v>0</v>
      </c>
      <c r="W31" s="29">
        <f>MB!W39</f>
        <v>0</v>
      </c>
      <c r="X31" s="29">
        <f>MB!X39</f>
        <v>0</v>
      </c>
      <c r="Y31" s="29">
        <f>MB!Y39</f>
        <v>0</v>
      </c>
      <c r="Z31" s="29" t="e">
        <f>MB!#REF!</f>
        <v>#REF!</v>
      </c>
      <c r="AA31" s="29">
        <f>MB!Z39</f>
        <v>0</v>
      </c>
      <c r="AB31" s="29">
        <f>MB!AA39</f>
        <v>0</v>
      </c>
    </row>
    <row r="32" spans="3:28">
      <c r="C32" s="98" t="s">
        <v>32</v>
      </c>
      <c r="D32" s="29">
        <f>MB!C40</f>
        <v>0</v>
      </c>
      <c r="E32" s="29">
        <f>MB!D40</f>
        <v>0</v>
      </c>
      <c r="F32" s="29">
        <f>MB!E40</f>
        <v>0</v>
      </c>
      <c r="G32" s="29" t="str">
        <f>MB!F40</f>
        <v>E410MA</v>
      </c>
      <c r="H32" s="29" t="str">
        <f>MB!G40</f>
        <v>Celeron N4020</v>
      </c>
      <c r="I32" s="29" t="str">
        <f>MB!H40</f>
        <v>Local</v>
      </c>
      <c r="J32" s="29" t="str">
        <f>MB!I40</f>
        <v>Asus</v>
      </c>
      <c r="K32" s="29" t="str">
        <f>MB!J40</f>
        <v>MB</v>
      </c>
      <c r="L32" s="29">
        <f>MB!K40</f>
        <v>0</v>
      </c>
      <c r="M32" s="29">
        <f>MB!L40</f>
        <v>0</v>
      </c>
      <c r="N32" s="29">
        <f>MB!M40</f>
        <v>0</v>
      </c>
      <c r="O32" s="29">
        <f>MB!N40</f>
        <v>0</v>
      </c>
      <c r="P32" s="29">
        <f>MB!P40</f>
        <v>0</v>
      </c>
      <c r="Q32" s="29">
        <f>MB!Q40</f>
        <v>0</v>
      </c>
      <c r="R32" s="29">
        <f>MB!R40</f>
        <v>0</v>
      </c>
      <c r="S32" s="29">
        <f>MB!S40</f>
        <v>0</v>
      </c>
      <c r="T32" s="29">
        <f>MB!T40</f>
        <v>0</v>
      </c>
      <c r="U32" s="29">
        <f>MB!U40</f>
        <v>0</v>
      </c>
      <c r="V32" s="29">
        <f>MB!V40</f>
        <v>0</v>
      </c>
      <c r="W32" s="29">
        <f>MB!W40</f>
        <v>0</v>
      </c>
      <c r="X32" s="29">
        <f>MB!X40</f>
        <v>0</v>
      </c>
      <c r="Y32" s="29">
        <f>MB!Y40</f>
        <v>0</v>
      </c>
      <c r="Z32" s="29" t="e">
        <f>MB!#REF!</f>
        <v>#REF!</v>
      </c>
      <c r="AA32" s="29">
        <f>MB!Z40</f>
        <v>0</v>
      </c>
      <c r="AB32" s="29">
        <f>MB!AA40</f>
        <v>0</v>
      </c>
    </row>
    <row r="33" spans="3:28">
      <c r="C33" s="98" t="s">
        <v>32</v>
      </c>
      <c r="D33" s="29" t="str">
        <f>MB!C41</f>
        <v>Q1 EOP</v>
      </c>
      <c r="E33" s="29" t="str">
        <f>MB!D41</f>
        <v>FCST</v>
      </c>
      <c r="F33" s="29">
        <f>MB!E41</f>
        <v>950</v>
      </c>
      <c r="G33" s="29" t="str">
        <f>MB!F41</f>
        <v>X513EA</v>
      </c>
      <c r="H33" s="29" t="str">
        <f>MB!G41</f>
        <v>Core i5-1135G7</v>
      </c>
      <c r="I33" s="29">
        <f>MB!H41</f>
        <v>0</v>
      </c>
      <c r="J33" s="29">
        <f>MB!I41</f>
        <v>0</v>
      </c>
      <c r="K33" s="29">
        <f>MB!J41</f>
        <v>0</v>
      </c>
      <c r="L33" s="29">
        <f>MB!K41</f>
        <v>0</v>
      </c>
      <c r="M33" s="29">
        <f>MB!L41</f>
        <v>0</v>
      </c>
      <c r="N33" s="29">
        <f>MB!M41</f>
        <v>0</v>
      </c>
      <c r="O33" s="29">
        <f>MB!N41</f>
        <v>150</v>
      </c>
      <c r="P33" s="29">
        <f>MB!P41</f>
        <v>0</v>
      </c>
      <c r="Q33" s="29">
        <f>MB!Q41</f>
        <v>0</v>
      </c>
      <c r="R33" s="29">
        <f>MB!R41</f>
        <v>0</v>
      </c>
      <c r="S33" s="29">
        <f>MB!S41</f>
        <v>0</v>
      </c>
      <c r="T33" s="29">
        <f>MB!T41</f>
        <v>0</v>
      </c>
      <c r="U33" s="29">
        <f>MB!U41</f>
        <v>0</v>
      </c>
      <c r="V33" s="29">
        <f>MB!V41</f>
        <v>0</v>
      </c>
      <c r="W33" s="29">
        <f>MB!W41</f>
        <v>0</v>
      </c>
      <c r="X33" s="29">
        <f>MB!X41</f>
        <v>0</v>
      </c>
      <c r="Y33" s="29">
        <f>MB!Y41</f>
        <v>0</v>
      </c>
      <c r="Z33" s="29" t="e">
        <f>MB!#REF!</f>
        <v>#REF!</v>
      </c>
      <c r="AA33" s="29">
        <f>MB!Z41</f>
        <v>0</v>
      </c>
      <c r="AB33" s="29">
        <f>MB!AA41</f>
        <v>0</v>
      </c>
    </row>
    <row r="34" spans="3:28">
      <c r="C34" s="98" t="s">
        <v>32</v>
      </c>
      <c r="D34" s="29">
        <f>MB!C42</f>
        <v>0</v>
      </c>
      <c r="E34" s="29">
        <f>MB!D42</f>
        <v>0</v>
      </c>
      <c r="F34" s="29">
        <f>MB!E42</f>
        <v>0</v>
      </c>
      <c r="G34" s="29" t="str">
        <f>MB!F42</f>
        <v>X513EA</v>
      </c>
      <c r="H34" s="29" t="str">
        <f>MB!G42</f>
        <v>Core i5-1135G7</v>
      </c>
      <c r="I34" s="29" t="str">
        <f>MB!H42</f>
        <v>Imported</v>
      </c>
      <c r="J34" s="29" t="str">
        <f>MB!I42</f>
        <v>Asus</v>
      </c>
      <c r="K34" s="29" t="str">
        <f>MB!J42</f>
        <v>MB</v>
      </c>
      <c r="L34" s="29">
        <f>MB!K42</f>
        <v>0</v>
      </c>
      <c r="M34" s="29">
        <f>MB!L42</f>
        <v>0</v>
      </c>
      <c r="N34" s="29">
        <f>MB!M42</f>
        <v>0</v>
      </c>
      <c r="O34" s="29">
        <f>MB!N42</f>
        <v>0</v>
      </c>
      <c r="P34" s="29">
        <f>MB!P42</f>
        <v>0</v>
      </c>
      <c r="Q34" s="29">
        <f>MB!Q42</f>
        <v>0</v>
      </c>
      <c r="R34" s="29">
        <f>MB!R42</f>
        <v>0</v>
      </c>
      <c r="S34" s="29">
        <f>MB!S42</f>
        <v>0</v>
      </c>
      <c r="T34" s="29">
        <f>MB!T42</f>
        <v>0</v>
      </c>
      <c r="U34" s="29">
        <f>MB!U42</f>
        <v>0</v>
      </c>
      <c r="V34" s="29">
        <f>MB!V42</f>
        <v>0</v>
      </c>
      <c r="W34" s="29">
        <f>MB!W42</f>
        <v>0</v>
      </c>
      <c r="X34" s="29">
        <f>MB!X42</f>
        <v>0</v>
      </c>
      <c r="Y34" s="29">
        <f>MB!Y42</f>
        <v>0</v>
      </c>
      <c r="Z34" s="29" t="e">
        <f>MB!#REF!</f>
        <v>#REF!</v>
      </c>
      <c r="AA34" s="29">
        <f>MB!Z42</f>
        <v>0</v>
      </c>
      <c r="AB34" s="29">
        <f>MB!AA42</f>
        <v>0</v>
      </c>
    </row>
    <row r="35" spans="3:28">
      <c r="C35" s="98" t="s">
        <v>32</v>
      </c>
      <c r="D35" s="29">
        <f>MB!C43</f>
        <v>0</v>
      </c>
      <c r="E35" s="29">
        <f>MB!D43</f>
        <v>0</v>
      </c>
      <c r="F35" s="29">
        <f>MB!E43</f>
        <v>0</v>
      </c>
      <c r="G35" s="29" t="str">
        <f>MB!F43</f>
        <v>X513EA</v>
      </c>
      <c r="H35" s="29" t="str">
        <f>MB!G43</f>
        <v>Core i5-1135G7</v>
      </c>
      <c r="I35" s="29" t="str">
        <f>MB!H43</f>
        <v>Local</v>
      </c>
      <c r="J35" s="29" t="str">
        <f>MB!I43</f>
        <v>Asus</v>
      </c>
      <c r="K35" s="29" t="str">
        <f>MB!J43</f>
        <v>MB</v>
      </c>
      <c r="L35" s="29">
        <f>MB!K43</f>
        <v>0</v>
      </c>
      <c r="M35" s="29">
        <f>MB!L43</f>
        <v>0</v>
      </c>
      <c r="N35" s="29">
        <f>MB!M43</f>
        <v>0</v>
      </c>
      <c r="O35" s="29">
        <f>MB!N43</f>
        <v>150</v>
      </c>
      <c r="P35" s="29">
        <f>MB!P43</f>
        <v>0</v>
      </c>
      <c r="Q35" s="29">
        <f>MB!Q43</f>
        <v>0</v>
      </c>
      <c r="R35" s="29">
        <f>MB!R43</f>
        <v>0</v>
      </c>
      <c r="S35" s="29">
        <f>MB!S43</f>
        <v>0</v>
      </c>
      <c r="T35" s="29">
        <f>MB!T43</f>
        <v>0</v>
      </c>
      <c r="U35" s="29">
        <f>MB!U43</f>
        <v>0</v>
      </c>
      <c r="V35" s="29">
        <f>MB!V43</f>
        <v>0</v>
      </c>
      <c r="W35" s="29">
        <f>MB!W43</f>
        <v>0</v>
      </c>
      <c r="X35" s="29">
        <f>MB!X43</f>
        <v>0</v>
      </c>
      <c r="Y35" s="29">
        <f>MB!Y43</f>
        <v>0</v>
      </c>
      <c r="Z35" s="29" t="e">
        <f>MB!#REF!</f>
        <v>#REF!</v>
      </c>
      <c r="AA35" s="29">
        <f>MB!Z43</f>
        <v>950</v>
      </c>
      <c r="AB35" s="29">
        <f>MB!AA43</f>
        <v>0</v>
      </c>
    </row>
    <row r="36" spans="3:28">
      <c r="C36" s="98" t="s">
        <v>32</v>
      </c>
      <c r="D36" s="29" t="str">
        <f>MB!C44</f>
        <v>Q1 EOP</v>
      </c>
      <c r="E36" s="29" t="str">
        <f>MB!D44</f>
        <v>FCST</v>
      </c>
      <c r="F36" s="29">
        <f>MB!E44</f>
        <v>750</v>
      </c>
      <c r="G36" s="29" t="str">
        <f>MB!F44</f>
        <v>X513EA</v>
      </c>
      <c r="H36" s="29" t="str">
        <f>MB!G44</f>
        <v>Core i7-1165G7</v>
      </c>
      <c r="I36" s="29">
        <f>MB!H44</f>
        <v>0</v>
      </c>
      <c r="J36" s="29">
        <f>MB!I44</f>
        <v>0</v>
      </c>
      <c r="K36" s="29">
        <f>MB!J44</f>
        <v>0</v>
      </c>
      <c r="L36" s="29">
        <f>MB!K44</f>
        <v>0</v>
      </c>
      <c r="M36" s="29">
        <f>MB!L44</f>
        <v>0</v>
      </c>
      <c r="N36" s="29">
        <f>MB!M44</f>
        <v>0</v>
      </c>
      <c r="O36" s="29">
        <f>MB!N44</f>
        <v>150</v>
      </c>
      <c r="P36" s="29">
        <f>MB!P44</f>
        <v>0</v>
      </c>
      <c r="Q36" s="29">
        <f>MB!Q44</f>
        <v>0</v>
      </c>
      <c r="R36" s="29">
        <f>MB!R44</f>
        <v>0</v>
      </c>
      <c r="S36" s="29">
        <f>MB!S44</f>
        <v>0</v>
      </c>
      <c r="T36" s="29">
        <f>MB!T44</f>
        <v>0</v>
      </c>
      <c r="U36" s="29">
        <f>MB!U44</f>
        <v>0</v>
      </c>
      <c r="V36" s="29">
        <f>MB!V44</f>
        <v>0</v>
      </c>
      <c r="W36" s="29">
        <f>MB!W44</f>
        <v>0</v>
      </c>
      <c r="X36" s="29">
        <f>MB!X44</f>
        <v>0</v>
      </c>
      <c r="Y36" s="29">
        <f>MB!Y44</f>
        <v>0</v>
      </c>
      <c r="Z36" s="29" t="e">
        <f>MB!#REF!</f>
        <v>#REF!</v>
      </c>
      <c r="AA36" s="29">
        <f>MB!Z44</f>
        <v>0</v>
      </c>
      <c r="AB36" s="29">
        <f>MB!AA44</f>
        <v>0</v>
      </c>
    </row>
    <row r="37" spans="3:28">
      <c r="C37" s="98" t="s">
        <v>32</v>
      </c>
      <c r="D37" s="29">
        <f>MB!C45</f>
        <v>0</v>
      </c>
      <c r="E37" s="29">
        <f>MB!D45</f>
        <v>0</v>
      </c>
      <c r="F37" s="29">
        <f>MB!E45</f>
        <v>0</v>
      </c>
      <c r="G37" s="29" t="str">
        <f>MB!F45</f>
        <v>X513EA</v>
      </c>
      <c r="H37" s="29" t="str">
        <f>MB!G45</f>
        <v>Core i7-1165G7</v>
      </c>
      <c r="I37" s="29" t="str">
        <f>MB!H45</f>
        <v>Imported</v>
      </c>
      <c r="J37" s="29" t="str">
        <f>MB!I45</f>
        <v>Asus</v>
      </c>
      <c r="K37" s="29" t="str">
        <f>MB!J45</f>
        <v>MB</v>
      </c>
      <c r="L37" s="29">
        <f>MB!K45</f>
        <v>0</v>
      </c>
      <c r="M37" s="29">
        <f>MB!L45</f>
        <v>0</v>
      </c>
      <c r="N37" s="29">
        <f>MB!M45</f>
        <v>0</v>
      </c>
      <c r="O37" s="29">
        <f>MB!N45</f>
        <v>0</v>
      </c>
      <c r="P37" s="29">
        <f>MB!P45</f>
        <v>0</v>
      </c>
      <c r="Q37" s="29">
        <f>MB!Q45</f>
        <v>0</v>
      </c>
      <c r="R37" s="29">
        <f>MB!R45</f>
        <v>0</v>
      </c>
      <c r="S37" s="29">
        <f>MB!S45</f>
        <v>0</v>
      </c>
      <c r="T37" s="29">
        <f>MB!T45</f>
        <v>0</v>
      </c>
      <c r="U37" s="29">
        <f>MB!U45</f>
        <v>0</v>
      </c>
      <c r="V37" s="29">
        <f>MB!V45</f>
        <v>0</v>
      </c>
      <c r="W37" s="29">
        <f>MB!W45</f>
        <v>0</v>
      </c>
      <c r="X37" s="29">
        <f>MB!X45</f>
        <v>0</v>
      </c>
      <c r="Y37" s="29">
        <f>MB!Y45</f>
        <v>0</v>
      </c>
      <c r="Z37" s="29" t="e">
        <f>MB!#REF!</f>
        <v>#REF!</v>
      </c>
      <c r="AA37" s="29">
        <f>MB!Z45</f>
        <v>0</v>
      </c>
      <c r="AB37" s="29">
        <f>MB!AA45</f>
        <v>0</v>
      </c>
    </row>
    <row r="38" spans="3:28">
      <c r="C38" s="98" t="s">
        <v>32</v>
      </c>
      <c r="D38" s="29">
        <f>MB!C46</f>
        <v>0</v>
      </c>
      <c r="E38" s="29">
        <f>MB!D46</f>
        <v>0</v>
      </c>
      <c r="F38" s="29">
        <f>MB!E46</f>
        <v>0</v>
      </c>
      <c r="G38" s="29" t="str">
        <f>MB!F46</f>
        <v>X513EA</v>
      </c>
      <c r="H38" s="29" t="str">
        <f>MB!G46</f>
        <v>Core i7-1165G7</v>
      </c>
      <c r="I38" s="29" t="str">
        <f>MB!H46</f>
        <v>Local</v>
      </c>
      <c r="J38" s="29" t="str">
        <f>MB!I46</f>
        <v>Asus</v>
      </c>
      <c r="K38" s="29" t="str">
        <f>MB!J46</f>
        <v>MB</v>
      </c>
      <c r="L38" s="29">
        <f>MB!K46</f>
        <v>0</v>
      </c>
      <c r="M38" s="29">
        <f>MB!L46</f>
        <v>0</v>
      </c>
      <c r="N38" s="29">
        <f>MB!M46</f>
        <v>0</v>
      </c>
      <c r="O38" s="29">
        <f>MB!N46</f>
        <v>150</v>
      </c>
      <c r="P38" s="29">
        <f>MB!P46</f>
        <v>0</v>
      </c>
      <c r="Q38" s="29">
        <f>MB!Q46</f>
        <v>0</v>
      </c>
      <c r="R38" s="29">
        <f>MB!R46</f>
        <v>0</v>
      </c>
      <c r="S38" s="29">
        <f>MB!S46</f>
        <v>0</v>
      </c>
      <c r="T38" s="29">
        <f>MB!T46</f>
        <v>0</v>
      </c>
      <c r="U38" s="29">
        <f>MB!U46</f>
        <v>0</v>
      </c>
      <c r="V38" s="29">
        <f>MB!V46</f>
        <v>0</v>
      </c>
      <c r="W38" s="29">
        <f>MB!W46</f>
        <v>0</v>
      </c>
      <c r="X38" s="29">
        <f>MB!X46</f>
        <v>0</v>
      </c>
      <c r="Y38" s="29">
        <f>MB!Y46</f>
        <v>0</v>
      </c>
      <c r="Z38" s="29" t="e">
        <f>MB!#REF!</f>
        <v>#REF!</v>
      </c>
      <c r="AA38" s="29">
        <f>MB!Z46</f>
        <v>750</v>
      </c>
      <c r="AB38" s="29">
        <f>MB!AA46</f>
        <v>0</v>
      </c>
    </row>
    <row r="39" spans="3:28">
      <c r="C39" s="98" t="s">
        <v>32</v>
      </c>
      <c r="D39" s="29" t="str">
        <f>MB!C50</f>
        <v>EOP</v>
      </c>
      <c r="E39" s="29" t="str">
        <f>MB!D50</f>
        <v>FCST</v>
      </c>
      <c r="F39" s="29">
        <f>MB!E50</f>
        <v>0</v>
      </c>
      <c r="G39" s="29" t="str">
        <f>MB!F50</f>
        <v>K513EQ</v>
      </c>
      <c r="H39" s="29" t="str">
        <f>MB!G50</f>
        <v>Core i7-1165G7</v>
      </c>
      <c r="I39" s="29">
        <f>MB!H50</f>
        <v>0</v>
      </c>
      <c r="J39" s="29">
        <f>MB!I50</f>
        <v>0</v>
      </c>
      <c r="K39" s="29">
        <f>MB!J50</f>
        <v>0</v>
      </c>
      <c r="L39" s="29">
        <f>MB!K50</f>
        <v>0</v>
      </c>
      <c r="M39" s="29">
        <f>MB!L50</f>
        <v>0</v>
      </c>
      <c r="N39" s="29">
        <f>MB!M50</f>
        <v>0</v>
      </c>
      <c r="O39" s="29">
        <f>MB!N50</f>
        <v>0</v>
      </c>
      <c r="P39" s="29">
        <f>MB!P50</f>
        <v>0</v>
      </c>
      <c r="Q39" s="29">
        <f>MB!Q50</f>
        <v>0</v>
      </c>
      <c r="R39" s="29">
        <f>MB!R50</f>
        <v>0</v>
      </c>
      <c r="S39" s="29">
        <f>MB!S50</f>
        <v>0</v>
      </c>
      <c r="T39" s="29">
        <f>MB!T50</f>
        <v>0</v>
      </c>
      <c r="U39" s="29">
        <f>MB!U50</f>
        <v>0</v>
      </c>
      <c r="V39" s="29">
        <f>MB!V50</f>
        <v>0</v>
      </c>
      <c r="W39" s="29">
        <f>MB!W50</f>
        <v>0</v>
      </c>
      <c r="X39" s="29">
        <f>MB!X50</f>
        <v>0</v>
      </c>
      <c r="Y39" s="29">
        <f>MB!Y50</f>
        <v>0</v>
      </c>
      <c r="Z39" s="29" t="e">
        <f>MB!#REF!</f>
        <v>#REF!</v>
      </c>
      <c r="AA39" s="29">
        <f>MB!Z50</f>
        <v>0</v>
      </c>
      <c r="AB39" s="29">
        <f>MB!AA50</f>
        <v>0</v>
      </c>
    </row>
    <row r="40" spans="3:28">
      <c r="C40" s="98" t="s">
        <v>32</v>
      </c>
      <c r="D40" s="29">
        <f>MB!C51</f>
        <v>0</v>
      </c>
      <c r="E40" s="29">
        <f>MB!D51</f>
        <v>0</v>
      </c>
      <c r="F40" s="29">
        <f>MB!E51</f>
        <v>0</v>
      </c>
      <c r="G40" s="29" t="str">
        <f>MB!F51</f>
        <v>K513EQ</v>
      </c>
      <c r="H40" s="29" t="str">
        <f>MB!G51</f>
        <v>Core i7-1165G7</v>
      </c>
      <c r="I40" s="29" t="str">
        <f>MB!H51</f>
        <v>Imported</v>
      </c>
      <c r="J40" s="29" t="str">
        <f>MB!I51</f>
        <v>Asus</v>
      </c>
      <c r="K40" s="29" t="str">
        <f>MB!J51</f>
        <v>MB</v>
      </c>
      <c r="L40" s="29">
        <f>MB!K51</f>
        <v>0</v>
      </c>
      <c r="M40" s="29">
        <f>MB!L51</f>
        <v>0</v>
      </c>
      <c r="N40" s="29">
        <f>MB!M51</f>
        <v>0</v>
      </c>
      <c r="O40" s="29">
        <f>MB!N51</f>
        <v>0</v>
      </c>
      <c r="P40" s="29">
        <f>MB!P51</f>
        <v>0</v>
      </c>
      <c r="Q40" s="29">
        <f>MB!Q51</f>
        <v>0</v>
      </c>
      <c r="R40" s="29">
        <f>MB!R51</f>
        <v>0</v>
      </c>
      <c r="S40" s="29">
        <f>MB!S51</f>
        <v>0</v>
      </c>
      <c r="T40" s="29">
        <f>MB!T51</f>
        <v>0</v>
      </c>
      <c r="U40" s="29">
        <f>MB!U51</f>
        <v>0</v>
      </c>
      <c r="V40" s="29">
        <f>MB!V51</f>
        <v>0</v>
      </c>
      <c r="W40" s="29">
        <f>MB!W51</f>
        <v>0</v>
      </c>
      <c r="X40" s="29">
        <f>MB!X51</f>
        <v>0</v>
      </c>
      <c r="Y40" s="29">
        <f>MB!Y51</f>
        <v>0</v>
      </c>
      <c r="Z40" s="29" t="e">
        <f>MB!#REF!</f>
        <v>#REF!</v>
      </c>
      <c r="AA40" s="29">
        <f>MB!Z51</f>
        <v>0</v>
      </c>
      <c r="AB40" s="29">
        <f>MB!AA51</f>
        <v>0</v>
      </c>
    </row>
    <row r="41" spans="3:28">
      <c r="C41" s="98" t="s">
        <v>32</v>
      </c>
      <c r="D41" s="29">
        <f>MB!C52</f>
        <v>0</v>
      </c>
      <c r="E41" s="29">
        <f>MB!D52</f>
        <v>0</v>
      </c>
      <c r="F41" s="29">
        <f>MB!E52</f>
        <v>0</v>
      </c>
      <c r="G41" s="29" t="str">
        <f>MB!F52</f>
        <v>K513EQ</v>
      </c>
      <c r="H41" s="29" t="str">
        <f>MB!G52</f>
        <v>Core i7-1165G7</v>
      </c>
      <c r="I41" s="29" t="str">
        <f>MB!H52</f>
        <v>Local</v>
      </c>
      <c r="J41" s="29" t="str">
        <f>MB!I52</f>
        <v>Asus</v>
      </c>
      <c r="K41" s="29" t="str">
        <f>MB!J52</f>
        <v>MB</v>
      </c>
      <c r="L41" s="29">
        <f>MB!K52</f>
        <v>0</v>
      </c>
      <c r="M41" s="29">
        <f>MB!L52</f>
        <v>0</v>
      </c>
      <c r="N41" s="29">
        <f>MB!M52</f>
        <v>0</v>
      </c>
      <c r="O41" s="29">
        <f>MB!N52</f>
        <v>0</v>
      </c>
      <c r="P41" s="29">
        <f>MB!P52</f>
        <v>0</v>
      </c>
      <c r="Q41" s="29">
        <f>MB!Q52</f>
        <v>0</v>
      </c>
      <c r="R41" s="29">
        <f>MB!R52</f>
        <v>0</v>
      </c>
      <c r="S41" s="29">
        <f>MB!S52</f>
        <v>0</v>
      </c>
      <c r="T41" s="29">
        <f>MB!T52</f>
        <v>0</v>
      </c>
      <c r="U41" s="29">
        <f>MB!U52</f>
        <v>0</v>
      </c>
      <c r="V41" s="29">
        <f>MB!V52</f>
        <v>0</v>
      </c>
      <c r="W41" s="29">
        <f>MB!W52</f>
        <v>0</v>
      </c>
      <c r="X41" s="29">
        <f>MB!X52</f>
        <v>0</v>
      </c>
      <c r="Y41" s="29">
        <f>MB!Y52</f>
        <v>0</v>
      </c>
      <c r="Z41" s="29" t="e">
        <f>MB!#REF!</f>
        <v>#REF!</v>
      </c>
      <c r="AA41" s="29">
        <f>MB!Z52</f>
        <v>0</v>
      </c>
      <c r="AB41" s="29">
        <f>MB!AA52</f>
        <v>0</v>
      </c>
    </row>
    <row r="42" spans="3:28">
      <c r="C42" s="98" t="s">
        <v>32</v>
      </c>
      <c r="D42" s="29" t="str">
        <f>MB!C53</f>
        <v>EOP</v>
      </c>
      <c r="E42" s="29" t="str">
        <f>MB!D53</f>
        <v>FCST</v>
      </c>
      <c r="F42" s="29">
        <f>MB!E53</f>
        <v>0</v>
      </c>
      <c r="G42" s="29" t="str">
        <f>MB!F53</f>
        <v>K3500PC</v>
      </c>
      <c r="H42" s="29" t="str">
        <f>MB!G53</f>
        <v>Core i5-11300H</v>
      </c>
      <c r="I42" s="29">
        <f>MB!H53</f>
        <v>0</v>
      </c>
      <c r="J42" s="29">
        <f>MB!I53</f>
        <v>0</v>
      </c>
      <c r="K42" s="29">
        <f>MB!J53</f>
        <v>0</v>
      </c>
      <c r="L42" s="29">
        <f>MB!K53</f>
        <v>0</v>
      </c>
      <c r="M42" s="29">
        <f>MB!L53</f>
        <v>0</v>
      </c>
      <c r="N42" s="29">
        <f>MB!M53</f>
        <v>0</v>
      </c>
      <c r="O42" s="29">
        <f>MB!N53</f>
        <v>0</v>
      </c>
      <c r="P42" s="29">
        <f>MB!P53</f>
        <v>0</v>
      </c>
      <c r="Q42" s="29">
        <f>MB!Q53</f>
        <v>0</v>
      </c>
      <c r="R42" s="29">
        <f>MB!R53</f>
        <v>0</v>
      </c>
      <c r="S42" s="29">
        <f>MB!S53</f>
        <v>0</v>
      </c>
      <c r="T42" s="29">
        <f>MB!T53</f>
        <v>0</v>
      </c>
      <c r="U42" s="29">
        <f>MB!U53</f>
        <v>0</v>
      </c>
      <c r="V42" s="29">
        <f>MB!V53</f>
        <v>0</v>
      </c>
      <c r="W42" s="29">
        <f>MB!W53</f>
        <v>0</v>
      </c>
      <c r="X42" s="29">
        <f>MB!X53</f>
        <v>0</v>
      </c>
      <c r="Y42" s="29">
        <f>MB!Y53</f>
        <v>0</v>
      </c>
      <c r="Z42" s="29" t="e">
        <f>MB!#REF!</f>
        <v>#REF!</v>
      </c>
      <c r="AA42" s="29">
        <f>MB!Z53</f>
        <v>0</v>
      </c>
      <c r="AB42" s="29">
        <f>MB!AA53</f>
        <v>0</v>
      </c>
    </row>
    <row r="43" spans="3:28">
      <c r="C43" s="98" t="s">
        <v>32</v>
      </c>
      <c r="D43" s="29">
        <f>MB!C54</f>
        <v>0</v>
      </c>
      <c r="E43" s="29">
        <f>MB!D54</f>
        <v>0</v>
      </c>
      <c r="F43" s="29">
        <f>MB!E54</f>
        <v>0</v>
      </c>
      <c r="G43" s="29" t="str">
        <f>MB!F54</f>
        <v>K3500PC</v>
      </c>
      <c r="H43" s="29" t="str">
        <f>MB!G54</f>
        <v>Core i5-11300H</v>
      </c>
      <c r="I43" s="29" t="str">
        <f>MB!H54</f>
        <v>Imported</v>
      </c>
      <c r="J43" s="29" t="str">
        <f>MB!I54</f>
        <v>Asus</v>
      </c>
      <c r="K43" s="29" t="str">
        <f>MB!J54</f>
        <v>MB</v>
      </c>
      <c r="L43" s="29" t="str">
        <f>MB!K54</f>
        <v>SKD</v>
      </c>
      <c r="M43" s="29">
        <f>MB!L54</f>
        <v>0</v>
      </c>
      <c r="N43" s="29">
        <f>MB!M54</f>
        <v>0</v>
      </c>
      <c r="O43" s="29">
        <f>MB!N54</f>
        <v>0</v>
      </c>
      <c r="P43" s="29">
        <f>MB!P54</f>
        <v>0</v>
      </c>
      <c r="Q43" s="29">
        <f>MB!Q54</f>
        <v>0</v>
      </c>
      <c r="R43" s="29">
        <f>MB!R54</f>
        <v>0</v>
      </c>
      <c r="S43" s="29">
        <f>MB!S54</f>
        <v>0</v>
      </c>
      <c r="T43" s="29">
        <f>MB!T54</f>
        <v>0</v>
      </c>
      <c r="U43" s="29">
        <f>MB!U54</f>
        <v>0</v>
      </c>
      <c r="V43" s="29">
        <f>MB!V54</f>
        <v>0</v>
      </c>
      <c r="W43" s="29">
        <f>MB!W54</f>
        <v>0</v>
      </c>
      <c r="X43" s="29">
        <f>MB!X54</f>
        <v>0</v>
      </c>
      <c r="Y43" s="29">
        <f>MB!Y54</f>
        <v>0</v>
      </c>
      <c r="Z43" s="29" t="e">
        <f>MB!#REF!</f>
        <v>#REF!</v>
      </c>
      <c r="AA43" s="29">
        <f>MB!Z54</f>
        <v>0</v>
      </c>
      <c r="AB43" s="29">
        <f>MB!AA54</f>
        <v>0</v>
      </c>
    </row>
    <row r="44" spans="3:28">
      <c r="C44" s="98" t="s">
        <v>32</v>
      </c>
      <c r="D44" s="29">
        <f>MB!C55</f>
        <v>0</v>
      </c>
      <c r="E44" s="29">
        <f>MB!D55</f>
        <v>0</v>
      </c>
      <c r="F44" s="29">
        <f>MB!E55</f>
        <v>0</v>
      </c>
      <c r="G44" s="29" t="str">
        <f>MB!F55</f>
        <v>K3500PC</v>
      </c>
      <c r="H44" s="29" t="str">
        <f>MB!G55</f>
        <v>Core i5-11300H</v>
      </c>
      <c r="I44" s="29" t="str">
        <f>MB!H55</f>
        <v>Local</v>
      </c>
      <c r="J44" s="29" t="str">
        <f>MB!I55</f>
        <v>Asus</v>
      </c>
      <c r="K44" s="29" t="str">
        <f>MB!J55</f>
        <v>MB</v>
      </c>
      <c r="L44" s="29" t="str">
        <f>MB!K55</f>
        <v>SKD</v>
      </c>
      <c r="M44" s="29">
        <f>MB!L55</f>
        <v>0</v>
      </c>
      <c r="N44" s="29">
        <f>MB!M55</f>
        <v>0</v>
      </c>
      <c r="O44" s="29">
        <f>MB!N55</f>
        <v>0</v>
      </c>
      <c r="P44" s="29">
        <f>MB!P55</f>
        <v>0</v>
      </c>
      <c r="Q44" s="29">
        <f>MB!Q55</f>
        <v>0</v>
      </c>
      <c r="R44" s="29">
        <f>MB!R55</f>
        <v>0</v>
      </c>
      <c r="S44" s="29">
        <f>MB!S55</f>
        <v>0</v>
      </c>
      <c r="T44" s="29">
        <f>MB!T55</f>
        <v>0</v>
      </c>
      <c r="U44" s="29">
        <f>MB!U55</f>
        <v>0</v>
      </c>
      <c r="V44" s="29">
        <f>MB!V55</f>
        <v>0</v>
      </c>
      <c r="W44" s="29">
        <f>MB!W55</f>
        <v>0</v>
      </c>
      <c r="X44" s="29">
        <f>MB!X55</f>
        <v>0</v>
      </c>
      <c r="Y44" s="29">
        <f>MB!Y55</f>
        <v>0</v>
      </c>
      <c r="Z44" s="29" t="e">
        <f>MB!#REF!</f>
        <v>#REF!</v>
      </c>
      <c r="AA44" s="29">
        <f>MB!Z55</f>
        <v>0</v>
      </c>
      <c r="AB44" s="29">
        <f>MB!AA55</f>
        <v>0</v>
      </c>
    </row>
    <row r="45" spans="3:28">
      <c r="C45" s="98" t="s">
        <v>32</v>
      </c>
      <c r="D45" s="29" t="str">
        <f>MB!C56</f>
        <v>EOP</v>
      </c>
      <c r="E45" s="29" t="str">
        <f>MB!D56</f>
        <v>FCST</v>
      </c>
      <c r="F45" s="29">
        <f>MB!E56</f>
        <v>0</v>
      </c>
      <c r="G45" s="29" t="str">
        <f>MB!F56</f>
        <v>K3500PC</v>
      </c>
      <c r="H45" s="29" t="str">
        <f>MB!G56</f>
        <v>Core i7-11370H</v>
      </c>
      <c r="I45" s="29">
        <f>MB!H56</f>
        <v>0</v>
      </c>
      <c r="J45" s="29">
        <f>MB!I56</f>
        <v>0</v>
      </c>
      <c r="K45" s="29">
        <f>MB!J56</f>
        <v>0</v>
      </c>
      <c r="L45" s="29">
        <f>MB!K56</f>
        <v>0</v>
      </c>
      <c r="M45" s="29">
        <f>MB!L56</f>
        <v>0</v>
      </c>
      <c r="N45" s="29">
        <f>MB!M56</f>
        <v>0</v>
      </c>
      <c r="O45" s="29">
        <f>MB!N56</f>
        <v>0</v>
      </c>
      <c r="P45" s="29">
        <f>MB!P56</f>
        <v>0</v>
      </c>
      <c r="Q45" s="29">
        <f>MB!Q56</f>
        <v>0</v>
      </c>
      <c r="R45" s="29">
        <f>MB!R56</f>
        <v>0</v>
      </c>
      <c r="S45" s="29">
        <f>MB!S56</f>
        <v>0</v>
      </c>
      <c r="T45" s="29">
        <f>MB!T56</f>
        <v>0</v>
      </c>
      <c r="U45" s="29">
        <f>MB!U56</f>
        <v>0</v>
      </c>
      <c r="V45" s="29">
        <f>MB!V56</f>
        <v>0</v>
      </c>
      <c r="W45" s="29">
        <f>MB!W56</f>
        <v>0</v>
      </c>
      <c r="X45" s="29">
        <f>MB!X56</f>
        <v>0</v>
      </c>
      <c r="Y45" s="29">
        <f>MB!Y56</f>
        <v>0</v>
      </c>
      <c r="Z45" s="29" t="e">
        <f>MB!#REF!</f>
        <v>#REF!</v>
      </c>
      <c r="AA45" s="29">
        <f>MB!Z56</f>
        <v>0</v>
      </c>
      <c r="AB45" s="29">
        <f>MB!AA56</f>
        <v>0</v>
      </c>
    </row>
    <row r="46" spans="3:28">
      <c r="C46" s="98" t="s">
        <v>32</v>
      </c>
      <c r="D46" s="29">
        <f>MB!C57</f>
        <v>0</v>
      </c>
      <c r="E46" s="29">
        <f>MB!D57</f>
        <v>0</v>
      </c>
      <c r="F46" s="29">
        <f>MB!E57</f>
        <v>0</v>
      </c>
      <c r="G46" s="29" t="str">
        <f>MB!F57</f>
        <v>K3500PC</v>
      </c>
      <c r="H46" s="29" t="str">
        <f>MB!G57</f>
        <v>Core i7-11370H</v>
      </c>
      <c r="I46" s="29" t="str">
        <f>MB!H57</f>
        <v>Imported</v>
      </c>
      <c r="J46" s="29" t="str">
        <f>MB!I57</f>
        <v>Asus</v>
      </c>
      <c r="K46" s="29" t="str">
        <f>MB!J57</f>
        <v>MB</v>
      </c>
      <c r="L46" s="29" t="str">
        <f>MB!K57</f>
        <v>SKD</v>
      </c>
      <c r="M46" s="29">
        <f>MB!L57</f>
        <v>0</v>
      </c>
      <c r="N46" s="29">
        <f>MB!M57</f>
        <v>0</v>
      </c>
      <c r="O46" s="29">
        <f>MB!N57</f>
        <v>0</v>
      </c>
      <c r="P46" s="29">
        <f>MB!P57</f>
        <v>0</v>
      </c>
      <c r="Q46" s="29">
        <f>MB!Q57</f>
        <v>0</v>
      </c>
      <c r="R46" s="29">
        <f>MB!R57</f>
        <v>0</v>
      </c>
      <c r="S46" s="29">
        <f>MB!S57</f>
        <v>0</v>
      </c>
      <c r="T46" s="29">
        <f>MB!T57</f>
        <v>0</v>
      </c>
      <c r="U46" s="29">
        <f>MB!U57</f>
        <v>0</v>
      </c>
      <c r="V46" s="29">
        <f>MB!V57</f>
        <v>0</v>
      </c>
      <c r="W46" s="29">
        <f>MB!W57</f>
        <v>0</v>
      </c>
      <c r="X46" s="29">
        <f>MB!X57</f>
        <v>0</v>
      </c>
      <c r="Y46" s="29">
        <f>MB!Y57</f>
        <v>0</v>
      </c>
      <c r="Z46" s="29" t="e">
        <f>MB!#REF!</f>
        <v>#REF!</v>
      </c>
      <c r="AA46" s="29">
        <f>MB!Z57</f>
        <v>0</v>
      </c>
      <c r="AB46" s="29">
        <f>MB!AA57</f>
        <v>0</v>
      </c>
    </row>
    <row r="47" spans="3:28">
      <c r="C47" s="98" t="s">
        <v>32</v>
      </c>
      <c r="D47" s="29">
        <f>MB!C58</f>
        <v>0</v>
      </c>
      <c r="E47" s="29">
        <f>MB!D58</f>
        <v>0</v>
      </c>
      <c r="F47" s="29">
        <f>MB!E58</f>
        <v>0</v>
      </c>
      <c r="G47" s="29" t="str">
        <f>MB!F58</f>
        <v>K3500PC</v>
      </c>
      <c r="H47" s="29" t="str">
        <f>MB!G58</f>
        <v>Core i7-11370H</v>
      </c>
      <c r="I47" s="29" t="str">
        <f>MB!H58</f>
        <v>Local</v>
      </c>
      <c r="J47" s="29" t="str">
        <f>MB!I58</f>
        <v>Asus</v>
      </c>
      <c r="K47" s="29" t="str">
        <f>MB!J58</f>
        <v>MB</v>
      </c>
      <c r="L47" s="29" t="str">
        <f>MB!K58</f>
        <v>SKD</v>
      </c>
      <c r="M47" s="29">
        <f>MB!L58</f>
        <v>0</v>
      </c>
      <c r="N47" s="29">
        <f>MB!M58</f>
        <v>0</v>
      </c>
      <c r="O47" s="29">
        <f>MB!N58</f>
        <v>0</v>
      </c>
      <c r="P47" s="29">
        <f>MB!P58</f>
        <v>0</v>
      </c>
      <c r="Q47" s="29">
        <f>MB!Q58</f>
        <v>0</v>
      </c>
      <c r="R47" s="29">
        <f>MB!R58</f>
        <v>0</v>
      </c>
      <c r="S47" s="29">
        <f>MB!S58</f>
        <v>0</v>
      </c>
      <c r="T47" s="29">
        <f>MB!T58</f>
        <v>0</v>
      </c>
      <c r="U47" s="29">
        <f>MB!U58</f>
        <v>0</v>
      </c>
      <c r="V47" s="29">
        <f>MB!V58</f>
        <v>0</v>
      </c>
      <c r="W47" s="29">
        <f>MB!W58</f>
        <v>0</v>
      </c>
      <c r="X47" s="29">
        <f>MB!X58</f>
        <v>0</v>
      </c>
      <c r="Y47" s="29">
        <f>MB!Y58</f>
        <v>0</v>
      </c>
      <c r="Z47" s="29" t="e">
        <f>MB!#REF!</f>
        <v>#REF!</v>
      </c>
      <c r="AA47" s="29">
        <f>MB!Z58</f>
        <v>0</v>
      </c>
      <c r="AB47" s="29">
        <f>MB!AA58</f>
        <v>0</v>
      </c>
    </row>
    <row r="48" spans="3:28">
      <c r="C48" s="98" t="s">
        <v>32</v>
      </c>
      <c r="D48" s="29" t="str">
        <f>MB!C59</f>
        <v>EOP</v>
      </c>
      <c r="E48" s="29" t="str">
        <f>MB!D59</f>
        <v>FCST</v>
      </c>
      <c r="F48" s="29">
        <f>MB!E59</f>
        <v>0</v>
      </c>
      <c r="G48" s="29" t="str">
        <f>MB!F59</f>
        <v>K3500PH</v>
      </c>
      <c r="H48" s="29" t="str">
        <f>MB!G59</f>
        <v>Core i5-11300H</v>
      </c>
      <c r="I48" s="29">
        <f>MB!H59</f>
        <v>0</v>
      </c>
      <c r="J48" s="29">
        <f>MB!I59</f>
        <v>0</v>
      </c>
      <c r="K48" s="29">
        <f>MB!J59</f>
        <v>0</v>
      </c>
      <c r="L48" s="29">
        <f>MB!K59</f>
        <v>0</v>
      </c>
      <c r="M48" s="29">
        <f>MB!L59</f>
        <v>0</v>
      </c>
      <c r="N48" s="29">
        <f>MB!M59</f>
        <v>0</v>
      </c>
      <c r="O48" s="29">
        <f>MB!N59</f>
        <v>0</v>
      </c>
      <c r="P48" s="29">
        <f>MB!P59</f>
        <v>0</v>
      </c>
      <c r="Q48" s="29">
        <f>MB!Q59</f>
        <v>0</v>
      </c>
      <c r="R48" s="29">
        <f>MB!R59</f>
        <v>0</v>
      </c>
      <c r="S48" s="29">
        <f>MB!S59</f>
        <v>0</v>
      </c>
      <c r="T48" s="29">
        <f>MB!T59</f>
        <v>0</v>
      </c>
      <c r="U48" s="29">
        <f>MB!U59</f>
        <v>0</v>
      </c>
      <c r="V48" s="29">
        <f>MB!V59</f>
        <v>0</v>
      </c>
      <c r="W48" s="29">
        <f>MB!W59</f>
        <v>0</v>
      </c>
      <c r="X48" s="29">
        <f>MB!X59</f>
        <v>0</v>
      </c>
      <c r="Y48" s="29">
        <f>MB!Y59</f>
        <v>0</v>
      </c>
      <c r="Z48" s="29" t="e">
        <f>MB!#REF!</f>
        <v>#REF!</v>
      </c>
      <c r="AA48" s="29">
        <f>MB!Z59</f>
        <v>0</v>
      </c>
      <c r="AB48" s="29">
        <f>MB!AA59</f>
        <v>0</v>
      </c>
    </row>
    <row r="49" spans="3:28">
      <c r="C49" s="98" t="s">
        <v>32</v>
      </c>
      <c r="D49" s="29">
        <f>MB!C60</f>
        <v>0</v>
      </c>
      <c r="E49" s="29">
        <f>MB!D60</f>
        <v>0</v>
      </c>
      <c r="F49" s="29">
        <f>MB!E60</f>
        <v>0</v>
      </c>
      <c r="G49" s="29" t="str">
        <f>MB!F60</f>
        <v>K3500PH</v>
      </c>
      <c r="H49" s="29" t="str">
        <f>MB!G60</f>
        <v>Core i5-11300H</v>
      </c>
      <c r="I49" s="29" t="str">
        <f>MB!H60</f>
        <v>Imported</v>
      </c>
      <c r="J49" s="29" t="str">
        <f>MB!I60</f>
        <v>Asus</v>
      </c>
      <c r="K49" s="29" t="str">
        <f>MB!J60</f>
        <v>MB</v>
      </c>
      <c r="L49" s="29" t="str">
        <f>MB!K60</f>
        <v>SKD</v>
      </c>
      <c r="M49" s="29">
        <f>MB!L60</f>
        <v>0</v>
      </c>
      <c r="N49" s="29">
        <f>MB!M60</f>
        <v>0</v>
      </c>
      <c r="O49" s="29">
        <f>MB!N60</f>
        <v>0</v>
      </c>
      <c r="P49" s="29">
        <f>MB!P60</f>
        <v>0</v>
      </c>
      <c r="Q49" s="29">
        <f>MB!Q60</f>
        <v>0</v>
      </c>
      <c r="R49" s="29">
        <f>MB!R60</f>
        <v>0</v>
      </c>
      <c r="S49" s="29">
        <f>MB!S60</f>
        <v>0</v>
      </c>
      <c r="T49" s="29">
        <f>MB!T60</f>
        <v>0</v>
      </c>
      <c r="U49" s="29">
        <f>MB!U60</f>
        <v>0</v>
      </c>
      <c r="V49" s="29">
        <f>MB!V60</f>
        <v>0</v>
      </c>
      <c r="W49" s="29">
        <f>MB!W60</f>
        <v>0</v>
      </c>
      <c r="X49" s="29">
        <f>MB!X60</f>
        <v>0</v>
      </c>
      <c r="Y49" s="29">
        <f>MB!Y60</f>
        <v>0</v>
      </c>
      <c r="Z49" s="29" t="e">
        <f>MB!#REF!</f>
        <v>#REF!</v>
      </c>
      <c r="AA49" s="29">
        <f>MB!Z60</f>
        <v>0</v>
      </c>
      <c r="AB49" s="29">
        <f>MB!AA60</f>
        <v>0</v>
      </c>
    </row>
    <row r="50" spans="3:28">
      <c r="C50" s="98" t="s">
        <v>32</v>
      </c>
      <c r="D50" s="29">
        <f>MB!C61</f>
        <v>0</v>
      </c>
      <c r="E50" s="29">
        <f>MB!D61</f>
        <v>0</v>
      </c>
      <c r="F50" s="29">
        <f>MB!E61</f>
        <v>0</v>
      </c>
      <c r="G50" s="29" t="str">
        <f>MB!F61</f>
        <v>K3500PH</v>
      </c>
      <c r="H50" s="29" t="str">
        <f>MB!G61</f>
        <v>Core i5-11300H</v>
      </c>
      <c r="I50" s="29" t="str">
        <f>MB!H61</f>
        <v>Local</v>
      </c>
      <c r="J50" s="29" t="str">
        <f>MB!I61</f>
        <v>Asus</v>
      </c>
      <c r="K50" s="29" t="str">
        <f>MB!J61</f>
        <v>MB</v>
      </c>
      <c r="L50" s="29" t="str">
        <f>MB!K61</f>
        <v>SKD</v>
      </c>
      <c r="M50" s="29">
        <f>MB!L61</f>
        <v>0</v>
      </c>
      <c r="N50" s="29">
        <f>MB!M61</f>
        <v>0</v>
      </c>
      <c r="O50" s="29">
        <f>MB!N61</f>
        <v>0</v>
      </c>
      <c r="P50" s="29">
        <f>MB!P61</f>
        <v>0</v>
      </c>
      <c r="Q50" s="29">
        <f>MB!Q61</f>
        <v>0</v>
      </c>
      <c r="R50" s="29">
        <f>MB!R61</f>
        <v>0</v>
      </c>
      <c r="S50" s="29">
        <f>MB!S61</f>
        <v>0</v>
      </c>
      <c r="T50" s="29">
        <f>MB!T61</f>
        <v>0</v>
      </c>
      <c r="U50" s="29">
        <f>MB!U61</f>
        <v>0</v>
      </c>
      <c r="V50" s="29">
        <f>MB!V61</f>
        <v>0</v>
      </c>
      <c r="W50" s="29">
        <f>MB!W61</f>
        <v>0</v>
      </c>
      <c r="X50" s="29">
        <f>MB!X61</f>
        <v>0</v>
      </c>
      <c r="Y50" s="29">
        <f>MB!Y61</f>
        <v>0</v>
      </c>
      <c r="Z50" s="29" t="e">
        <f>MB!#REF!</f>
        <v>#REF!</v>
      </c>
      <c r="AA50" s="29">
        <f>MB!Z61</f>
        <v>0</v>
      </c>
      <c r="AB50" s="29">
        <f>MB!AA61</f>
        <v>0</v>
      </c>
    </row>
    <row r="51" spans="3:28">
      <c r="C51" s="98" t="s">
        <v>32</v>
      </c>
      <c r="D51" s="29" t="str">
        <f>MB!C62</f>
        <v>EOP</v>
      </c>
      <c r="E51" s="29" t="str">
        <f>MB!D62</f>
        <v>FCST</v>
      </c>
      <c r="F51" s="29">
        <f>MB!E62</f>
        <v>0</v>
      </c>
      <c r="G51" s="29" t="str">
        <f>MB!F62</f>
        <v>M3500QC</v>
      </c>
      <c r="H51" s="29" t="str">
        <f>MB!G62</f>
        <v>Ryzen 7-5800H</v>
      </c>
      <c r="I51" s="29">
        <f>MB!H62</f>
        <v>0</v>
      </c>
      <c r="J51" s="29">
        <f>MB!I62</f>
        <v>0</v>
      </c>
      <c r="K51" s="29">
        <f>MB!J62</f>
        <v>0</v>
      </c>
      <c r="L51" s="29">
        <f>MB!K62</f>
        <v>0</v>
      </c>
      <c r="M51" s="29">
        <f>MB!L62</f>
        <v>0</v>
      </c>
      <c r="N51" s="29">
        <f>MB!M62</f>
        <v>0</v>
      </c>
      <c r="O51" s="29">
        <f>MB!N62</f>
        <v>0</v>
      </c>
      <c r="P51" s="29">
        <f>MB!P62</f>
        <v>0</v>
      </c>
      <c r="Q51" s="29">
        <f>MB!Q62</f>
        <v>0</v>
      </c>
      <c r="R51" s="29">
        <f>MB!R62</f>
        <v>0</v>
      </c>
      <c r="S51" s="29">
        <f>MB!S62</f>
        <v>0</v>
      </c>
      <c r="T51" s="29">
        <f>MB!T62</f>
        <v>0</v>
      </c>
      <c r="U51" s="29">
        <f>MB!U62</f>
        <v>0</v>
      </c>
      <c r="V51" s="29">
        <f>MB!V62</f>
        <v>0</v>
      </c>
      <c r="W51" s="29">
        <f>MB!W62</f>
        <v>0</v>
      </c>
      <c r="X51" s="29">
        <f>MB!X62</f>
        <v>0</v>
      </c>
      <c r="Y51" s="29">
        <f>MB!Y62</f>
        <v>0</v>
      </c>
      <c r="Z51" s="29" t="e">
        <f>MB!#REF!</f>
        <v>#REF!</v>
      </c>
      <c r="AA51" s="29">
        <f>MB!Z62</f>
        <v>0</v>
      </c>
      <c r="AB51" s="29">
        <f>MB!AA62</f>
        <v>0</v>
      </c>
    </row>
    <row r="52" spans="3:28">
      <c r="C52" s="98" t="s">
        <v>32</v>
      </c>
      <c r="D52" s="29">
        <f>MB!C63</f>
        <v>0</v>
      </c>
      <c r="E52" s="29">
        <f>MB!D63</f>
        <v>0</v>
      </c>
      <c r="F52" s="29">
        <f>MB!E63</f>
        <v>0</v>
      </c>
      <c r="G52" s="29" t="str">
        <f>MB!F63</f>
        <v>M3500QC</v>
      </c>
      <c r="H52" s="29" t="str">
        <f>MB!G63</f>
        <v>Ryzen 7-5800H</v>
      </c>
      <c r="I52" s="29" t="str">
        <f>MB!H63</f>
        <v>Imported</v>
      </c>
      <c r="J52" s="29" t="str">
        <f>MB!I63</f>
        <v>Asus</v>
      </c>
      <c r="K52" s="29" t="str">
        <f>MB!J63</f>
        <v>MB</v>
      </c>
      <c r="L52" s="29" t="str">
        <f>MB!K63</f>
        <v>SKD</v>
      </c>
      <c r="M52" s="29">
        <f>MB!L63</f>
        <v>0</v>
      </c>
      <c r="N52" s="29">
        <f>MB!M63</f>
        <v>0</v>
      </c>
      <c r="O52" s="29">
        <f>MB!N63</f>
        <v>0</v>
      </c>
      <c r="P52" s="29">
        <f>MB!P63</f>
        <v>0</v>
      </c>
      <c r="Q52" s="29">
        <f>MB!Q63</f>
        <v>0</v>
      </c>
      <c r="R52" s="29">
        <f>MB!R63</f>
        <v>0</v>
      </c>
      <c r="S52" s="29">
        <f>MB!S63</f>
        <v>0</v>
      </c>
      <c r="T52" s="29">
        <f>MB!T63</f>
        <v>0</v>
      </c>
      <c r="U52" s="29">
        <f>MB!U63</f>
        <v>0</v>
      </c>
      <c r="V52" s="29">
        <f>MB!V63</f>
        <v>0</v>
      </c>
      <c r="W52" s="29">
        <f>MB!W63</f>
        <v>0</v>
      </c>
      <c r="X52" s="29">
        <f>MB!X63</f>
        <v>0</v>
      </c>
      <c r="Y52" s="29">
        <f>MB!Y63</f>
        <v>0</v>
      </c>
      <c r="Z52" s="29" t="e">
        <f>MB!#REF!</f>
        <v>#REF!</v>
      </c>
      <c r="AA52" s="29">
        <f>MB!Z63</f>
        <v>0</v>
      </c>
      <c r="AB52" s="29">
        <f>MB!AA63</f>
        <v>0</v>
      </c>
    </row>
    <row r="53" spans="3:28">
      <c r="C53" s="98" t="s">
        <v>32</v>
      </c>
      <c r="D53" s="29">
        <f>MB!C64</f>
        <v>0</v>
      </c>
      <c r="E53" s="29">
        <f>MB!D64</f>
        <v>0</v>
      </c>
      <c r="F53" s="29">
        <f>MB!E64</f>
        <v>0</v>
      </c>
      <c r="G53" s="29" t="str">
        <f>MB!F64</f>
        <v>M3500QC</v>
      </c>
      <c r="H53" s="29" t="str">
        <f>MB!G64</f>
        <v>Ryzen 7-5800H</v>
      </c>
      <c r="I53" s="29" t="str">
        <f>MB!H64</f>
        <v>Local</v>
      </c>
      <c r="J53" s="29" t="str">
        <f>MB!I64</f>
        <v>Asus</v>
      </c>
      <c r="K53" s="29" t="str">
        <f>MB!J64</f>
        <v>MB</v>
      </c>
      <c r="L53" s="29" t="str">
        <f>MB!K64</f>
        <v>SKD</v>
      </c>
      <c r="M53" s="29">
        <f>MB!L64</f>
        <v>0</v>
      </c>
      <c r="N53" s="29">
        <f>MB!M64</f>
        <v>0</v>
      </c>
      <c r="O53" s="29">
        <f>MB!N64</f>
        <v>0</v>
      </c>
      <c r="P53" s="29">
        <f>MB!P64</f>
        <v>0</v>
      </c>
      <c r="Q53" s="29">
        <f>MB!Q64</f>
        <v>0</v>
      </c>
      <c r="R53" s="29">
        <f>MB!R64</f>
        <v>0</v>
      </c>
      <c r="S53" s="29">
        <f>MB!S64</f>
        <v>0</v>
      </c>
      <c r="T53" s="29">
        <f>MB!T64</f>
        <v>0</v>
      </c>
      <c r="U53" s="29">
        <f>MB!U64</f>
        <v>0</v>
      </c>
      <c r="V53" s="29">
        <f>MB!V64</f>
        <v>0</v>
      </c>
      <c r="W53" s="29">
        <f>MB!W64</f>
        <v>0</v>
      </c>
      <c r="X53" s="29">
        <f>MB!X64</f>
        <v>0</v>
      </c>
      <c r="Y53" s="29">
        <f>MB!Y64</f>
        <v>0</v>
      </c>
      <c r="Z53" s="29" t="e">
        <f>MB!#REF!</f>
        <v>#REF!</v>
      </c>
      <c r="AA53" s="29">
        <f>MB!Z64</f>
        <v>0</v>
      </c>
      <c r="AB53" s="29">
        <f>MB!AA64</f>
        <v>0</v>
      </c>
    </row>
    <row r="54" spans="3:28">
      <c r="C54" s="98" t="s">
        <v>32</v>
      </c>
      <c r="D54" s="29">
        <f>MB!C65</f>
        <v>0</v>
      </c>
      <c r="E54" s="29" t="str">
        <f>MB!D65</f>
        <v>FCST</v>
      </c>
      <c r="F54" s="29">
        <f>MB!E65</f>
        <v>23900</v>
      </c>
      <c r="G54" s="29" t="str">
        <f>MB!F65</f>
        <v>M1502IA</v>
      </c>
      <c r="H54" s="29" t="str">
        <f>MB!G65</f>
        <v>Ryzen 5-4600H</v>
      </c>
      <c r="I54" s="29">
        <f>MB!H65</f>
        <v>0</v>
      </c>
      <c r="J54" s="29">
        <f>MB!I65</f>
        <v>0</v>
      </c>
      <c r="K54" s="29">
        <f>MB!J65</f>
        <v>0</v>
      </c>
      <c r="L54" s="29">
        <f>MB!K65</f>
        <v>0</v>
      </c>
      <c r="M54" s="29">
        <f>MB!L65</f>
        <v>0</v>
      </c>
      <c r="N54" s="29">
        <f>MB!M65</f>
        <v>0</v>
      </c>
      <c r="O54" s="29">
        <f>MB!N65</f>
        <v>0</v>
      </c>
      <c r="P54" s="29">
        <f>MB!P65</f>
        <v>0</v>
      </c>
      <c r="Q54" s="29">
        <f>MB!Q65</f>
        <v>0</v>
      </c>
      <c r="R54" s="29">
        <f>MB!R65</f>
        <v>700</v>
      </c>
      <c r="S54" s="29">
        <f>MB!S65</f>
        <v>4300</v>
      </c>
      <c r="T54" s="29">
        <f>MB!T65</f>
        <v>6300</v>
      </c>
      <c r="U54" s="29">
        <f>MB!U65</f>
        <v>6300</v>
      </c>
      <c r="V54" s="29">
        <f>MB!V65</f>
        <v>6300</v>
      </c>
      <c r="W54" s="29">
        <f>MB!W65</f>
        <v>0</v>
      </c>
      <c r="X54" s="29">
        <f>MB!X65</f>
        <v>0</v>
      </c>
      <c r="Y54" s="29">
        <f>MB!Y65</f>
        <v>0</v>
      </c>
      <c r="Z54" s="29" t="e">
        <f>MB!#REF!</f>
        <v>#REF!</v>
      </c>
      <c r="AA54" s="29">
        <f>MB!Z65</f>
        <v>0</v>
      </c>
      <c r="AB54" s="29">
        <f>MB!AA65</f>
        <v>0</v>
      </c>
    </row>
    <row r="55" spans="3:28" s="11" customFormat="1">
      <c r="C55" s="98" t="s">
        <v>32</v>
      </c>
      <c r="D55" s="29">
        <f>MB!C66</f>
        <v>0</v>
      </c>
      <c r="E55" s="29">
        <f>MB!D66</f>
        <v>0</v>
      </c>
      <c r="F55" s="29">
        <f>MB!E66</f>
        <v>0</v>
      </c>
      <c r="G55" s="29" t="str">
        <f>MB!F66</f>
        <v>M1502IA</v>
      </c>
      <c r="H55" s="29" t="str">
        <f>MB!G66</f>
        <v>Ryzen 5-4600H</v>
      </c>
      <c r="I55" s="29" t="str">
        <f>MB!H66</f>
        <v>Imported</v>
      </c>
      <c r="J55" s="29" t="str">
        <f>MB!I66</f>
        <v>Asus</v>
      </c>
      <c r="K55" s="29" t="str">
        <f>MB!J66</f>
        <v>MB</v>
      </c>
      <c r="L55" s="29">
        <f>MB!K66</f>
        <v>0</v>
      </c>
      <c r="M55" s="29">
        <f>MB!L66</f>
        <v>0</v>
      </c>
      <c r="N55" s="29">
        <f>MB!M66</f>
        <v>0</v>
      </c>
      <c r="O55" s="29">
        <f>MB!N66</f>
        <v>0</v>
      </c>
      <c r="P55" s="29">
        <f>MB!P66</f>
        <v>0</v>
      </c>
      <c r="Q55" s="29">
        <f>MB!Q66</f>
        <v>0</v>
      </c>
      <c r="R55" s="29">
        <f>MB!R66</f>
        <v>0</v>
      </c>
      <c r="S55" s="29">
        <f>MB!S66</f>
        <v>0</v>
      </c>
      <c r="T55" s="29">
        <f>MB!T66</f>
        <v>0</v>
      </c>
      <c r="U55" s="29">
        <f>MB!U66</f>
        <v>0</v>
      </c>
      <c r="V55" s="29">
        <f>MB!V66</f>
        <v>0</v>
      </c>
      <c r="W55" s="29">
        <f>MB!W66</f>
        <v>0</v>
      </c>
      <c r="X55" s="29">
        <f>MB!X66</f>
        <v>0</v>
      </c>
      <c r="Y55" s="29">
        <f>MB!Y66</f>
        <v>0</v>
      </c>
      <c r="Z55" s="29" t="e">
        <f>MB!#REF!</f>
        <v>#REF!</v>
      </c>
      <c r="AA55" s="29">
        <f>MB!Z66</f>
        <v>0</v>
      </c>
      <c r="AB55" s="29">
        <f>MB!AA66</f>
        <v>0</v>
      </c>
    </row>
    <row r="56" spans="3:28" s="11" customFormat="1">
      <c r="C56" s="98" t="s">
        <v>32</v>
      </c>
      <c r="D56" s="29">
        <f>MB!C67</f>
        <v>0</v>
      </c>
      <c r="E56" s="29">
        <f>MB!D67</f>
        <v>0</v>
      </c>
      <c r="F56" s="29">
        <f>MB!E67</f>
        <v>0</v>
      </c>
      <c r="G56" s="29" t="str">
        <f>MB!F67</f>
        <v>M1502IA</v>
      </c>
      <c r="H56" s="29" t="str">
        <f>MB!G67</f>
        <v>Ryzen 5-4600H</v>
      </c>
      <c r="I56" s="29" t="str">
        <f>MB!H67</f>
        <v>Local</v>
      </c>
      <c r="J56" s="29" t="str">
        <f>MB!I67</f>
        <v>Asus</v>
      </c>
      <c r="K56" s="29" t="str">
        <f>MB!J67</f>
        <v>MB</v>
      </c>
      <c r="L56" s="29">
        <f>MB!K67</f>
        <v>0</v>
      </c>
      <c r="M56" s="29">
        <f>MB!L67</f>
        <v>0</v>
      </c>
      <c r="N56" s="29">
        <f>MB!M67</f>
        <v>0</v>
      </c>
      <c r="O56" s="29">
        <f>MB!N67</f>
        <v>0</v>
      </c>
      <c r="P56" s="29">
        <f>MB!P67</f>
        <v>0</v>
      </c>
      <c r="Q56" s="29">
        <f>MB!Q67</f>
        <v>0</v>
      </c>
      <c r="R56" s="29">
        <f>MB!R67</f>
        <v>700</v>
      </c>
      <c r="S56" s="29">
        <f>MB!S67</f>
        <v>4300</v>
      </c>
      <c r="T56" s="29">
        <f>MB!T67</f>
        <v>6300</v>
      </c>
      <c r="U56" s="29">
        <f>MB!U67</f>
        <v>6300</v>
      </c>
      <c r="V56" s="29">
        <f>MB!V67</f>
        <v>6300</v>
      </c>
      <c r="W56" s="29">
        <f>MB!W67</f>
        <v>0</v>
      </c>
      <c r="X56" s="29">
        <f>MB!X67</f>
        <v>0</v>
      </c>
      <c r="Y56" s="29">
        <f>MB!Y67</f>
        <v>0</v>
      </c>
      <c r="Z56" s="29" t="e">
        <f>MB!#REF!</f>
        <v>#REF!</v>
      </c>
      <c r="AA56" s="29">
        <f>MB!Z67</f>
        <v>23900</v>
      </c>
      <c r="AB56" s="29">
        <f>MB!AA67</f>
        <v>0</v>
      </c>
    </row>
    <row r="57" spans="3:28" s="11" customFormat="1">
      <c r="C57" s="98" t="s">
        <v>32</v>
      </c>
      <c r="D57" s="29">
        <f>MB!C68</f>
        <v>0</v>
      </c>
      <c r="E57" s="29" t="str">
        <f>MB!D68</f>
        <v>FCST</v>
      </c>
      <c r="F57" s="29">
        <f>MB!E68</f>
        <v>1970</v>
      </c>
      <c r="G57" s="29" t="str">
        <f>MB!F68</f>
        <v>M1502IA</v>
      </c>
      <c r="H57" s="29" t="str">
        <f>MB!G68</f>
        <v>Ryzen 7-4800H</v>
      </c>
      <c r="I57" s="29">
        <f>MB!H68</f>
        <v>0</v>
      </c>
      <c r="J57" s="29">
        <f>MB!I68</f>
        <v>0</v>
      </c>
      <c r="K57" s="29">
        <f>MB!J68</f>
        <v>0</v>
      </c>
      <c r="L57" s="29">
        <f>MB!K68</f>
        <v>0</v>
      </c>
      <c r="M57" s="29">
        <f>MB!L68</f>
        <v>0</v>
      </c>
      <c r="N57" s="29">
        <f>MB!M68</f>
        <v>0</v>
      </c>
      <c r="O57" s="29">
        <f>MB!N68</f>
        <v>0</v>
      </c>
      <c r="P57" s="29">
        <f>MB!P68</f>
        <v>0</v>
      </c>
      <c r="Q57" s="29">
        <f>MB!Q68</f>
        <v>0</v>
      </c>
      <c r="R57" s="29">
        <f>MB!R68</f>
        <v>180</v>
      </c>
      <c r="S57" s="29">
        <f>MB!S68</f>
        <v>200</v>
      </c>
      <c r="T57" s="29">
        <f>MB!T68</f>
        <v>530</v>
      </c>
      <c r="U57" s="29">
        <f>MB!U68</f>
        <v>530</v>
      </c>
      <c r="V57" s="29">
        <f>MB!V68</f>
        <v>530</v>
      </c>
      <c r="W57" s="29">
        <f>MB!W68</f>
        <v>0</v>
      </c>
      <c r="X57" s="29">
        <f>MB!X68</f>
        <v>0</v>
      </c>
      <c r="Y57" s="29">
        <f>MB!Y68</f>
        <v>0</v>
      </c>
      <c r="Z57" s="29" t="e">
        <f>MB!#REF!</f>
        <v>#REF!</v>
      </c>
      <c r="AA57" s="29">
        <f>MB!Z68</f>
        <v>0</v>
      </c>
      <c r="AB57" s="29">
        <f>MB!AA68</f>
        <v>0</v>
      </c>
    </row>
    <row r="58" spans="3:28" s="11" customFormat="1">
      <c r="C58" s="98" t="s">
        <v>32</v>
      </c>
      <c r="D58" s="29">
        <f>MB!C69</f>
        <v>0</v>
      </c>
      <c r="E58" s="29">
        <f>MB!D69</f>
        <v>0</v>
      </c>
      <c r="F58" s="29">
        <f>MB!E69</f>
        <v>0</v>
      </c>
      <c r="G58" s="29" t="str">
        <f>MB!F69</f>
        <v>M1502IA</v>
      </c>
      <c r="H58" s="29" t="str">
        <f>MB!G69</f>
        <v>Ryzen 7-4800H</v>
      </c>
      <c r="I58" s="29" t="str">
        <f>MB!H69</f>
        <v>Imported</v>
      </c>
      <c r="J58" s="29" t="str">
        <f>MB!I69</f>
        <v>Asus</v>
      </c>
      <c r="K58" s="29" t="str">
        <f>MB!J69</f>
        <v>MB</v>
      </c>
      <c r="L58" s="29">
        <f>MB!K69</f>
        <v>0</v>
      </c>
      <c r="M58" s="29">
        <f>MB!L69</f>
        <v>0</v>
      </c>
      <c r="N58" s="29">
        <f>MB!M69</f>
        <v>0</v>
      </c>
      <c r="O58" s="29">
        <f>MB!N69</f>
        <v>0</v>
      </c>
      <c r="P58" s="29">
        <f>MB!P69</f>
        <v>0</v>
      </c>
      <c r="Q58" s="29">
        <f>MB!Q69</f>
        <v>0</v>
      </c>
      <c r="R58" s="29">
        <f>MB!R69</f>
        <v>0</v>
      </c>
      <c r="S58" s="29">
        <f>MB!S69</f>
        <v>0</v>
      </c>
      <c r="T58" s="29">
        <f>MB!T69</f>
        <v>0</v>
      </c>
      <c r="U58" s="29">
        <f>MB!U69</f>
        <v>0</v>
      </c>
      <c r="V58" s="29">
        <f>MB!V69</f>
        <v>0</v>
      </c>
      <c r="W58" s="29">
        <f>MB!W69</f>
        <v>0</v>
      </c>
      <c r="X58" s="29">
        <f>MB!X69</f>
        <v>0</v>
      </c>
      <c r="Y58" s="29">
        <f>MB!Y69</f>
        <v>0</v>
      </c>
      <c r="Z58" s="29" t="e">
        <f>MB!#REF!</f>
        <v>#REF!</v>
      </c>
      <c r="AA58" s="29">
        <f>MB!Z69</f>
        <v>0</v>
      </c>
      <c r="AB58" s="29">
        <f>MB!AA69</f>
        <v>0</v>
      </c>
    </row>
    <row r="59" spans="3:28" s="11" customFormat="1">
      <c r="C59" s="98" t="s">
        <v>32</v>
      </c>
      <c r="D59" s="29">
        <f>MB!C70</f>
        <v>0</v>
      </c>
      <c r="E59" s="29">
        <f>MB!D70</f>
        <v>0</v>
      </c>
      <c r="F59" s="29">
        <f>MB!E70</f>
        <v>0</v>
      </c>
      <c r="G59" s="29" t="str">
        <f>MB!F70</f>
        <v>M1502IA</v>
      </c>
      <c r="H59" s="29" t="str">
        <f>MB!G70</f>
        <v>Ryzen 7-4800H</v>
      </c>
      <c r="I59" s="29" t="str">
        <f>MB!H70</f>
        <v>Local</v>
      </c>
      <c r="J59" s="29" t="str">
        <f>MB!I70</f>
        <v>Asus</v>
      </c>
      <c r="K59" s="29" t="str">
        <f>MB!J70</f>
        <v>MB</v>
      </c>
      <c r="L59" s="29">
        <f>MB!K70</f>
        <v>0</v>
      </c>
      <c r="M59" s="29">
        <f>MB!L70</f>
        <v>0</v>
      </c>
      <c r="N59" s="29">
        <f>MB!M70</f>
        <v>0</v>
      </c>
      <c r="O59" s="29">
        <f>MB!N70</f>
        <v>0</v>
      </c>
      <c r="P59" s="29">
        <f>MB!P70</f>
        <v>0</v>
      </c>
      <c r="Q59" s="29">
        <f>MB!Q70</f>
        <v>0</v>
      </c>
      <c r="R59" s="29">
        <f>MB!R70</f>
        <v>180</v>
      </c>
      <c r="S59" s="29">
        <f>MB!S70</f>
        <v>200</v>
      </c>
      <c r="T59" s="29">
        <f>MB!T70</f>
        <v>530</v>
      </c>
      <c r="U59" s="29">
        <f>MB!U70</f>
        <v>530</v>
      </c>
      <c r="V59" s="29">
        <f>MB!V70</f>
        <v>530</v>
      </c>
      <c r="W59" s="29">
        <f>MB!W70</f>
        <v>0</v>
      </c>
      <c r="X59" s="29">
        <f>MB!X70</f>
        <v>0</v>
      </c>
      <c r="Y59" s="29">
        <f>MB!Y70</f>
        <v>0</v>
      </c>
      <c r="Z59" s="29" t="e">
        <f>MB!#REF!</f>
        <v>#REF!</v>
      </c>
      <c r="AA59" s="29">
        <f>MB!Z70</f>
        <v>1970</v>
      </c>
      <c r="AB59" s="29">
        <f>MB!AA70</f>
        <v>0</v>
      </c>
    </row>
    <row r="60" spans="3:28" s="11" customFormat="1">
      <c r="C60" s="98" t="s">
        <v>32</v>
      </c>
      <c r="D60" s="29" t="str">
        <f>MB!C71</f>
        <v>Q1 EOP</v>
      </c>
      <c r="E60" s="29" t="str">
        <f>MB!D71</f>
        <v>FCST</v>
      </c>
      <c r="F60" s="29">
        <f>MB!E71</f>
        <v>100</v>
      </c>
      <c r="G60" s="29" t="str">
        <f>MB!F71</f>
        <v>X1502ZA</v>
      </c>
      <c r="H60" s="29" t="str">
        <f>MB!G71</f>
        <v>Core i5-1235U</v>
      </c>
      <c r="I60" s="29">
        <f>MB!H71</f>
        <v>0</v>
      </c>
      <c r="J60" s="29">
        <f>MB!I71</f>
        <v>0</v>
      </c>
      <c r="K60" s="29">
        <f>MB!J71</f>
        <v>0</v>
      </c>
      <c r="L60" s="29">
        <f>MB!K71</f>
        <v>0</v>
      </c>
      <c r="M60" s="29">
        <f>MB!L71</f>
        <v>0</v>
      </c>
      <c r="N60" s="29">
        <f>MB!M71</f>
        <v>0</v>
      </c>
      <c r="O60" s="29">
        <f>MB!N71</f>
        <v>0</v>
      </c>
      <c r="P60" s="29">
        <f>MB!P71</f>
        <v>0</v>
      </c>
      <c r="Q60" s="29">
        <f>MB!Q71</f>
        <v>0</v>
      </c>
      <c r="R60" s="29">
        <f>MB!R71</f>
        <v>0</v>
      </c>
      <c r="S60" s="29">
        <f>MB!S71</f>
        <v>0</v>
      </c>
      <c r="T60" s="29">
        <f>MB!T71</f>
        <v>0</v>
      </c>
      <c r="U60" s="29">
        <f>MB!U71</f>
        <v>0</v>
      </c>
      <c r="V60" s="29">
        <f>MB!V71</f>
        <v>0</v>
      </c>
      <c r="W60" s="29">
        <f>MB!W71</f>
        <v>0</v>
      </c>
      <c r="X60" s="29">
        <f>MB!X71</f>
        <v>0</v>
      </c>
      <c r="Y60" s="29">
        <f>MB!Y71</f>
        <v>0</v>
      </c>
      <c r="Z60" s="29" t="e">
        <f>MB!#REF!</f>
        <v>#REF!</v>
      </c>
      <c r="AA60" s="29">
        <f>MB!Z71</f>
        <v>0</v>
      </c>
      <c r="AB60" s="29">
        <f>MB!AA71</f>
        <v>0</v>
      </c>
    </row>
    <row r="61" spans="3:28" s="11" customFormat="1">
      <c r="C61" s="98" t="s">
        <v>32</v>
      </c>
      <c r="D61" s="29">
        <f>MB!C72</f>
        <v>0</v>
      </c>
      <c r="E61" s="29">
        <f>MB!D72</f>
        <v>0</v>
      </c>
      <c r="F61" s="29">
        <f>MB!E72</f>
        <v>0</v>
      </c>
      <c r="G61" s="29" t="str">
        <f>MB!F72</f>
        <v>X1502ZA</v>
      </c>
      <c r="H61" s="29" t="str">
        <f>MB!G72</f>
        <v>Core i5-1235U</v>
      </c>
      <c r="I61" s="29" t="str">
        <f>MB!H72</f>
        <v>Imported</v>
      </c>
      <c r="J61" s="29" t="str">
        <f>MB!I72</f>
        <v>Asus</v>
      </c>
      <c r="K61" s="29" t="str">
        <f>MB!J72</f>
        <v>MB</v>
      </c>
      <c r="L61" s="29">
        <f>MB!K72</f>
        <v>0</v>
      </c>
      <c r="M61" s="29">
        <f>MB!L72</f>
        <v>0</v>
      </c>
      <c r="N61" s="29">
        <f>MB!M72</f>
        <v>0</v>
      </c>
      <c r="O61" s="29">
        <f>MB!N72</f>
        <v>0</v>
      </c>
      <c r="P61" s="29">
        <f>MB!P72</f>
        <v>0</v>
      </c>
      <c r="Q61" s="29">
        <f>MB!Q72</f>
        <v>0</v>
      </c>
      <c r="R61" s="29">
        <f>MB!R72</f>
        <v>0</v>
      </c>
      <c r="S61" s="29">
        <f>MB!S72</f>
        <v>0</v>
      </c>
      <c r="T61" s="29">
        <f>MB!T72</f>
        <v>0</v>
      </c>
      <c r="U61" s="29">
        <f>MB!U72</f>
        <v>0</v>
      </c>
      <c r="V61" s="29">
        <f>MB!V72</f>
        <v>0</v>
      </c>
      <c r="W61" s="29">
        <f>MB!W72</f>
        <v>0</v>
      </c>
      <c r="X61" s="29">
        <f>MB!X72</f>
        <v>0</v>
      </c>
      <c r="Y61" s="29">
        <f>MB!Y72</f>
        <v>0</v>
      </c>
      <c r="Z61" s="29" t="e">
        <f>MB!#REF!</f>
        <v>#REF!</v>
      </c>
      <c r="AA61" s="29">
        <f>MB!Z72</f>
        <v>0</v>
      </c>
      <c r="AB61" s="29">
        <f>MB!AA72</f>
        <v>0</v>
      </c>
    </row>
    <row r="62" spans="3:28" s="11" customFormat="1">
      <c r="C62" s="98" t="s">
        <v>32</v>
      </c>
      <c r="D62" s="29">
        <f>MB!C73</f>
        <v>0</v>
      </c>
      <c r="E62" s="29">
        <f>MB!D73</f>
        <v>0</v>
      </c>
      <c r="F62" s="29">
        <f>MB!E73</f>
        <v>0</v>
      </c>
      <c r="G62" s="29" t="str">
        <f>MB!F73</f>
        <v>X1502ZA</v>
      </c>
      <c r="H62" s="29" t="str">
        <f>MB!G73</f>
        <v>Core i5-1235U</v>
      </c>
      <c r="I62" s="29" t="str">
        <f>MB!H73</f>
        <v>Local</v>
      </c>
      <c r="J62" s="29" t="str">
        <f>MB!I73</f>
        <v>Asus</v>
      </c>
      <c r="K62" s="29" t="str">
        <f>MB!J73</f>
        <v>MB</v>
      </c>
      <c r="L62" s="29">
        <f>MB!K73</f>
        <v>0</v>
      </c>
      <c r="M62" s="29">
        <f>MB!L73</f>
        <v>0</v>
      </c>
      <c r="N62" s="29">
        <f>MB!M73</f>
        <v>0</v>
      </c>
      <c r="O62" s="29">
        <f>MB!N73</f>
        <v>0</v>
      </c>
      <c r="P62" s="29">
        <f>MB!P73</f>
        <v>0</v>
      </c>
      <c r="Q62" s="29">
        <f>MB!Q73</f>
        <v>0</v>
      </c>
      <c r="R62" s="29">
        <f>MB!R73</f>
        <v>0</v>
      </c>
      <c r="S62" s="29">
        <f>MB!S73</f>
        <v>0</v>
      </c>
      <c r="T62" s="29">
        <f>MB!T73</f>
        <v>0</v>
      </c>
      <c r="U62" s="29">
        <f>MB!U73</f>
        <v>0</v>
      </c>
      <c r="V62" s="29">
        <f>MB!V73</f>
        <v>0</v>
      </c>
      <c r="W62" s="29">
        <f>MB!W73</f>
        <v>0</v>
      </c>
      <c r="X62" s="29">
        <f>MB!X73</f>
        <v>0</v>
      </c>
      <c r="Y62" s="29">
        <f>MB!Y73</f>
        <v>0</v>
      </c>
      <c r="Z62" s="29" t="e">
        <f>MB!#REF!</f>
        <v>#REF!</v>
      </c>
      <c r="AA62" s="29">
        <f>MB!Z73</f>
        <v>100</v>
      </c>
      <c r="AB62" s="29">
        <f>MB!AA73</f>
        <v>0</v>
      </c>
    </row>
    <row r="63" spans="3:28" s="11" customFormat="1">
      <c r="C63" s="98" t="s">
        <v>32</v>
      </c>
      <c r="D63" s="29">
        <f>MB!C74</f>
        <v>0</v>
      </c>
      <c r="E63" s="29" t="str">
        <f>MB!D74</f>
        <v>FCST</v>
      </c>
      <c r="F63" s="29">
        <f>MB!E74</f>
        <v>600</v>
      </c>
      <c r="G63" s="29" t="str">
        <f>MB!F74</f>
        <v>X1502ZA</v>
      </c>
      <c r="H63" s="29" t="str">
        <f>MB!G74</f>
        <v>Core i7-1255U</v>
      </c>
      <c r="I63" s="29">
        <f>MB!H74</f>
        <v>0</v>
      </c>
      <c r="J63" s="29">
        <f>MB!I74</f>
        <v>0</v>
      </c>
      <c r="K63" s="29">
        <f>MB!J74</f>
        <v>0</v>
      </c>
      <c r="L63" s="29">
        <f>MB!K74</f>
        <v>0</v>
      </c>
      <c r="M63" s="29">
        <f>MB!L74</f>
        <v>0</v>
      </c>
      <c r="N63" s="29">
        <f>MB!M74</f>
        <v>0</v>
      </c>
      <c r="O63" s="29">
        <f>MB!N74</f>
        <v>200</v>
      </c>
      <c r="P63" s="29">
        <f>MB!P74</f>
        <v>200</v>
      </c>
      <c r="Q63" s="29">
        <f>MB!Q74</f>
        <v>0</v>
      </c>
      <c r="R63" s="29">
        <f>MB!R74</f>
        <v>0</v>
      </c>
      <c r="S63" s="29">
        <f>MB!S74</f>
        <v>0</v>
      </c>
      <c r="T63" s="29">
        <f>MB!T74</f>
        <v>0</v>
      </c>
      <c r="U63" s="29">
        <f>MB!U74</f>
        <v>0</v>
      </c>
      <c r="V63" s="29">
        <f>MB!V74</f>
        <v>0</v>
      </c>
      <c r="W63" s="29">
        <f>MB!W74</f>
        <v>0</v>
      </c>
      <c r="X63" s="29">
        <f>MB!X74</f>
        <v>0</v>
      </c>
      <c r="Y63" s="29">
        <f>MB!Y74</f>
        <v>0</v>
      </c>
      <c r="Z63" s="29" t="e">
        <f>MB!#REF!</f>
        <v>#REF!</v>
      </c>
      <c r="AA63" s="29">
        <f>MB!Z74</f>
        <v>0</v>
      </c>
      <c r="AB63" s="29">
        <f>MB!AA74</f>
        <v>0</v>
      </c>
    </row>
    <row r="64" spans="3:28" s="11" customFormat="1">
      <c r="C64" s="98" t="s">
        <v>32</v>
      </c>
      <c r="D64" s="29">
        <f>MB!C75</f>
        <v>0</v>
      </c>
      <c r="E64" s="29">
        <f>MB!D75</f>
        <v>0</v>
      </c>
      <c r="F64" s="29">
        <f>MB!E75</f>
        <v>0</v>
      </c>
      <c r="G64" s="29" t="str">
        <f>MB!F75</f>
        <v>X1502ZA</v>
      </c>
      <c r="H64" s="29" t="str">
        <f>MB!G75</f>
        <v>Core i7-1255U</v>
      </c>
      <c r="I64" s="29" t="str">
        <f>MB!H75</f>
        <v>Imported</v>
      </c>
      <c r="J64" s="29" t="str">
        <f>MB!I75</f>
        <v>Asus</v>
      </c>
      <c r="K64" s="29" t="str">
        <f>MB!J75</f>
        <v>MB</v>
      </c>
      <c r="L64" s="29">
        <f>MB!K75</f>
        <v>0</v>
      </c>
      <c r="M64" s="29">
        <f>MB!L75</f>
        <v>0</v>
      </c>
      <c r="N64" s="29">
        <f>MB!M75</f>
        <v>0</v>
      </c>
      <c r="O64" s="29">
        <f>MB!N75</f>
        <v>0</v>
      </c>
      <c r="P64" s="29">
        <f>MB!P75</f>
        <v>0</v>
      </c>
      <c r="Q64" s="29">
        <f>MB!Q75</f>
        <v>0</v>
      </c>
      <c r="R64" s="29">
        <f>MB!R75</f>
        <v>0</v>
      </c>
      <c r="S64" s="29">
        <f>MB!S75</f>
        <v>0</v>
      </c>
      <c r="T64" s="29">
        <f>MB!T75</f>
        <v>0</v>
      </c>
      <c r="U64" s="29">
        <f>MB!U75</f>
        <v>0</v>
      </c>
      <c r="V64" s="29">
        <f>MB!V75</f>
        <v>0</v>
      </c>
      <c r="W64" s="29">
        <f>MB!W75</f>
        <v>0</v>
      </c>
      <c r="X64" s="29">
        <f>MB!X75</f>
        <v>0</v>
      </c>
      <c r="Y64" s="29">
        <f>MB!Y75</f>
        <v>0</v>
      </c>
      <c r="Z64" s="29" t="e">
        <f>MB!#REF!</f>
        <v>#REF!</v>
      </c>
      <c r="AA64" s="29">
        <f>MB!Z75</f>
        <v>0</v>
      </c>
      <c r="AB64" s="29">
        <f>MB!AA75</f>
        <v>0</v>
      </c>
    </row>
    <row r="65" spans="3:28" s="11" customFormat="1">
      <c r="C65" s="98" t="s">
        <v>32</v>
      </c>
      <c r="D65" s="29">
        <f>MB!C76</f>
        <v>0</v>
      </c>
      <c r="E65" s="29">
        <f>MB!D76</f>
        <v>0</v>
      </c>
      <c r="F65" s="29">
        <f>MB!E76</f>
        <v>0</v>
      </c>
      <c r="G65" s="29" t="str">
        <f>MB!F76</f>
        <v>X1502ZA</v>
      </c>
      <c r="H65" s="29" t="str">
        <f>MB!G76</f>
        <v>Core i7-1255U</v>
      </c>
      <c r="I65" s="29" t="str">
        <f>MB!H76</f>
        <v>Local</v>
      </c>
      <c r="J65" s="29" t="str">
        <f>MB!I76</f>
        <v>Asus</v>
      </c>
      <c r="K65" s="29" t="str">
        <f>MB!J76</f>
        <v>MB</v>
      </c>
      <c r="L65" s="29">
        <f>MB!K76</f>
        <v>0</v>
      </c>
      <c r="M65" s="29">
        <f>MB!L76</f>
        <v>0</v>
      </c>
      <c r="N65" s="29">
        <f>MB!M76</f>
        <v>0</v>
      </c>
      <c r="O65" s="29">
        <f>MB!N76</f>
        <v>200</v>
      </c>
      <c r="P65" s="29">
        <f>MB!P76</f>
        <v>200</v>
      </c>
      <c r="Q65" s="29">
        <f>MB!Q76</f>
        <v>0</v>
      </c>
      <c r="R65" s="29">
        <f>MB!R76</f>
        <v>0</v>
      </c>
      <c r="S65" s="29">
        <f>MB!S76</f>
        <v>0</v>
      </c>
      <c r="T65" s="29">
        <f>MB!T76</f>
        <v>0</v>
      </c>
      <c r="U65" s="29">
        <f>MB!U76</f>
        <v>0</v>
      </c>
      <c r="V65" s="29">
        <f>MB!V76</f>
        <v>0</v>
      </c>
      <c r="W65" s="29">
        <f>MB!W76</f>
        <v>0</v>
      </c>
      <c r="X65" s="29">
        <f>MB!X76</f>
        <v>0</v>
      </c>
      <c r="Y65" s="29">
        <f>MB!Y76</f>
        <v>0</v>
      </c>
      <c r="Z65" s="29" t="e">
        <f>MB!#REF!</f>
        <v>#REF!</v>
      </c>
      <c r="AA65" s="29">
        <f>MB!Z76</f>
        <v>600</v>
      </c>
      <c r="AB65" s="29">
        <f>MB!AA76</f>
        <v>0</v>
      </c>
    </row>
    <row r="66" spans="3:28" s="11" customFormat="1">
      <c r="C66" s="98" t="s">
        <v>32</v>
      </c>
      <c r="D66" s="29" t="str">
        <f>MB!C77</f>
        <v>EOP</v>
      </c>
      <c r="E66" s="29" t="str">
        <f>MB!D77</f>
        <v>FCST</v>
      </c>
      <c r="F66" s="29">
        <f>MB!E77</f>
        <v>0</v>
      </c>
      <c r="G66" s="29" t="str">
        <f>MB!F77</f>
        <v>X1603ZA</v>
      </c>
      <c r="H66" s="29" t="str">
        <f>MB!G77</f>
        <v>Core i7 ADL</v>
      </c>
      <c r="I66" s="29">
        <f>MB!H77</f>
        <v>0</v>
      </c>
      <c r="J66" s="29">
        <f>MB!I77</f>
        <v>0</v>
      </c>
      <c r="K66" s="29">
        <f>MB!J77</f>
        <v>0</v>
      </c>
      <c r="L66" s="29">
        <f>MB!K77</f>
        <v>0</v>
      </c>
      <c r="M66" s="29">
        <f>MB!L77</f>
        <v>0</v>
      </c>
      <c r="N66" s="29">
        <f>MB!M77</f>
        <v>0</v>
      </c>
      <c r="O66" s="29">
        <f>MB!N77</f>
        <v>0</v>
      </c>
      <c r="P66" s="29">
        <f>MB!P77</f>
        <v>0</v>
      </c>
      <c r="Q66" s="29">
        <f>MB!Q77</f>
        <v>0</v>
      </c>
      <c r="R66" s="29">
        <f>MB!R77</f>
        <v>0</v>
      </c>
      <c r="S66" s="29">
        <f>MB!S77</f>
        <v>0</v>
      </c>
      <c r="T66" s="29">
        <f>MB!T77</f>
        <v>0</v>
      </c>
      <c r="U66" s="29">
        <f>MB!U77</f>
        <v>0</v>
      </c>
      <c r="V66" s="29">
        <f>MB!V77</f>
        <v>0</v>
      </c>
      <c r="W66" s="29">
        <f>MB!W77</f>
        <v>0</v>
      </c>
      <c r="X66" s="29">
        <f>MB!X77</f>
        <v>0</v>
      </c>
      <c r="Y66" s="29">
        <f>MB!Y77</f>
        <v>0</v>
      </c>
      <c r="Z66" s="29" t="e">
        <f>MB!#REF!</f>
        <v>#REF!</v>
      </c>
      <c r="AA66" s="29">
        <f>MB!Z77</f>
        <v>0</v>
      </c>
      <c r="AB66" s="29">
        <f>MB!AA77</f>
        <v>0</v>
      </c>
    </row>
    <row r="67" spans="3:28" s="11" customFormat="1">
      <c r="C67" s="98" t="s">
        <v>32</v>
      </c>
      <c r="D67" s="29">
        <f>MB!C78</f>
        <v>0</v>
      </c>
      <c r="E67" s="29">
        <f>MB!D78</f>
        <v>0</v>
      </c>
      <c r="F67" s="29">
        <f>MB!E78</f>
        <v>0</v>
      </c>
      <c r="G67" s="29" t="str">
        <f>MB!F78</f>
        <v>X1603ZA</v>
      </c>
      <c r="H67" s="29" t="str">
        <f>MB!G78</f>
        <v>Core i7 ADL</v>
      </c>
      <c r="I67" s="29" t="str">
        <f>MB!H78</f>
        <v>Imported</v>
      </c>
      <c r="J67" s="29" t="str">
        <f>MB!I78</f>
        <v>Asus</v>
      </c>
      <c r="K67" s="29" t="str">
        <f>MB!J78</f>
        <v>MB</v>
      </c>
      <c r="L67" s="29">
        <f>MB!K78</f>
        <v>0</v>
      </c>
      <c r="M67" s="29">
        <f>MB!L78</f>
        <v>0</v>
      </c>
      <c r="N67" s="29">
        <f>MB!M78</f>
        <v>0</v>
      </c>
      <c r="O67" s="29">
        <f>MB!N78</f>
        <v>0</v>
      </c>
      <c r="P67" s="29">
        <f>MB!P78</f>
        <v>0</v>
      </c>
      <c r="Q67" s="29">
        <f>MB!Q78</f>
        <v>0</v>
      </c>
      <c r="R67" s="29">
        <f>MB!R78</f>
        <v>0</v>
      </c>
      <c r="S67" s="29">
        <f>MB!S78</f>
        <v>0</v>
      </c>
      <c r="T67" s="29">
        <f>MB!T78</f>
        <v>0</v>
      </c>
      <c r="U67" s="29">
        <f>MB!U78</f>
        <v>0</v>
      </c>
      <c r="V67" s="29">
        <f>MB!V78</f>
        <v>0</v>
      </c>
      <c r="W67" s="29">
        <f>MB!W78</f>
        <v>0</v>
      </c>
      <c r="X67" s="29">
        <f>MB!X78</f>
        <v>0</v>
      </c>
      <c r="Y67" s="29">
        <f>MB!Y78</f>
        <v>0</v>
      </c>
      <c r="Z67" s="29" t="e">
        <f>MB!#REF!</f>
        <v>#REF!</v>
      </c>
      <c r="AA67" s="29">
        <f>MB!Z78</f>
        <v>0</v>
      </c>
      <c r="AB67" s="29">
        <f>MB!AA78</f>
        <v>0</v>
      </c>
    </row>
    <row r="68" spans="3:28" s="11" customFormat="1">
      <c r="C68" s="98" t="s">
        <v>32</v>
      </c>
      <c r="D68" s="29">
        <f>MB!C79</f>
        <v>0</v>
      </c>
      <c r="E68" s="29">
        <f>MB!D79</f>
        <v>0</v>
      </c>
      <c r="F68" s="29">
        <f>MB!E79</f>
        <v>0</v>
      </c>
      <c r="G68" s="29" t="str">
        <f>MB!F79</f>
        <v>X1603ZA</v>
      </c>
      <c r="H68" s="29" t="str">
        <f>MB!G79</f>
        <v>Core i7 ADL</v>
      </c>
      <c r="I68" s="29" t="str">
        <f>MB!H79</f>
        <v>Local</v>
      </c>
      <c r="J68" s="29" t="str">
        <f>MB!I79</f>
        <v>Asus</v>
      </c>
      <c r="K68" s="29" t="str">
        <f>MB!J79</f>
        <v>MB</v>
      </c>
      <c r="L68" s="29">
        <f>MB!K79</f>
        <v>0</v>
      </c>
      <c r="M68" s="29">
        <f>MB!L79</f>
        <v>0</v>
      </c>
      <c r="N68" s="29">
        <f>MB!M79</f>
        <v>0</v>
      </c>
      <c r="O68" s="29">
        <f>MB!N79</f>
        <v>0</v>
      </c>
      <c r="P68" s="29">
        <f>MB!P79</f>
        <v>0</v>
      </c>
      <c r="Q68" s="29">
        <f>MB!Q79</f>
        <v>0</v>
      </c>
      <c r="R68" s="29">
        <f>MB!R79</f>
        <v>0</v>
      </c>
      <c r="S68" s="29">
        <f>MB!S79</f>
        <v>0</v>
      </c>
      <c r="T68" s="29">
        <f>MB!T79</f>
        <v>0</v>
      </c>
      <c r="U68" s="29">
        <f>MB!U79</f>
        <v>0</v>
      </c>
      <c r="V68" s="29">
        <f>MB!V79</f>
        <v>0</v>
      </c>
      <c r="W68" s="29">
        <f>MB!W79</f>
        <v>0</v>
      </c>
      <c r="X68" s="29">
        <f>MB!X79</f>
        <v>0</v>
      </c>
      <c r="Y68" s="29">
        <f>MB!Y79</f>
        <v>0</v>
      </c>
      <c r="Z68" s="29" t="e">
        <f>MB!#REF!</f>
        <v>#REF!</v>
      </c>
      <c r="AA68" s="29">
        <f>MB!Z79</f>
        <v>0</v>
      </c>
      <c r="AB68" s="29">
        <f>MB!AA79</f>
        <v>0</v>
      </c>
    </row>
    <row r="69" spans="3:28" s="11" customFormat="1">
      <c r="C69" s="98" t="s">
        <v>32</v>
      </c>
      <c r="D69" s="29" t="str">
        <f>MB!C80</f>
        <v>EOP</v>
      </c>
      <c r="E69" s="29" t="str">
        <f>MB!D80</f>
        <v>FCST</v>
      </c>
      <c r="F69" s="29">
        <f>MB!E80</f>
        <v>0</v>
      </c>
      <c r="G69" s="29" t="str">
        <f>MB!F80</f>
        <v>UX325JA</v>
      </c>
      <c r="H69" s="29" t="str">
        <f>MB!G80</f>
        <v>Core i5-1035G1</v>
      </c>
      <c r="I69" s="29">
        <f>MB!H80</f>
        <v>0</v>
      </c>
      <c r="J69" s="29">
        <f>MB!I80</f>
        <v>0</v>
      </c>
      <c r="K69" s="29">
        <f>MB!J80</f>
        <v>0</v>
      </c>
      <c r="L69" s="29">
        <f>MB!K80</f>
        <v>0</v>
      </c>
      <c r="M69" s="29">
        <f>MB!L80</f>
        <v>0</v>
      </c>
      <c r="N69" s="29">
        <f>MB!M80</f>
        <v>0</v>
      </c>
      <c r="O69" s="29">
        <f>MB!N80</f>
        <v>0</v>
      </c>
      <c r="P69" s="29">
        <f>MB!P80</f>
        <v>0</v>
      </c>
      <c r="Q69" s="29">
        <f>MB!Q80</f>
        <v>0</v>
      </c>
      <c r="R69" s="29">
        <f>MB!R80</f>
        <v>0</v>
      </c>
      <c r="S69" s="29">
        <f>MB!S80</f>
        <v>0</v>
      </c>
      <c r="T69" s="29">
        <f>MB!T80</f>
        <v>0</v>
      </c>
      <c r="U69" s="29">
        <f>MB!U80</f>
        <v>0</v>
      </c>
      <c r="V69" s="29">
        <f>MB!V80</f>
        <v>0</v>
      </c>
      <c r="W69" s="29">
        <f>MB!W80</f>
        <v>0</v>
      </c>
      <c r="X69" s="29">
        <f>MB!X80</f>
        <v>0</v>
      </c>
      <c r="Y69" s="29">
        <f>MB!Y80</f>
        <v>0</v>
      </c>
      <c r="Z69" s="29" t="e">
        <f>MB!#REF!</f>
        <v>#REF!</v>
      </c>
      <c r="AA69" s="29">
        <f>MB!Z80</f>
        <v>0</v>
      </c>
      <c r="AB69" s="29">
        <f>MB!AA80</f>
        <v>0</v>
      </c>
    </row>
    <row r="70" spans="3:28" s="11" customFormat="1">
      <c r="C70" s="98" t="s">
        <v>32</v>
      </c>
      <c r="D70" s="29">
        <f>MB!C81</f>
        <v>0</v>
      </c>
      <c r="E70" s="29">
        <f>MB!D81</f>
        <v>0</v>
      </c>
      <c r="F70" s="29">
        <f>MB!E81</f>
        <v>0</v>
      </c>
      <c r="G70" s="29" t="str">
        <f>MB!F81</f>
        <v>UX325JA</v>
      </c>
      <c r="H70" s="29" t="str">
        <f>MB!G81</f>
        <v>Core i5-1035G1</v>
      </c>
      <c r="I70" s="29" t="str">
        <f>MB!H81</f>
        <v>Imported</v>
      </c>
      <c r="J70" s="29" t="str">
        <f>MB!I81</f>
        <v>Asus</v>
      </c>
      <c r="K70" s="29" t="str">
        <f>MB!J81</f>
        <v>MB</v>
      </c>
      <c r="L70" s="29" t="str">
        <f>MB!K81</f>
        <v>SKD</v>
      </c>
      <c r="M70" s="29">
        <f>MB!L81</f>
        <v>0</v>
      </c>
      <c r="N70" s="29">
        <f>MB!M81</f>
        <v>0</v>
      </c>
      <c r="O70" s="29">
        <f>MB!N81</f>
        <v>0</v>
      </c>
      <c r="P70" s="29">
        <f>MB!P81</f>
        <v>0</v>
      </c>
      <c r="Q70" s="29">
        <f>MB!Q81</f>
        <v>0</v>
      </c>
      <c r="R70" s="29">
        <f>MB!R81</f>
        <v>0</v>
      </c>
      <c r="S70" s="29">
        <f>MB!S81</f>
        <v>0</v>
      </c>
      <c r="T70" s="29">
        <f>MB!T81</f>
        <v>0</v>
      </c>
      <c r="U70" s="29">
        <f>MB!U81</f>
        <v>0</v>
      </c>
      <c r="V70" s="29">
        <f>MB!V81</f>
        <v>0</v>
      </c>
      <c r="W70" s="29">
        <f>MB!W81</f>
        <v>0</v>
      </c>
      <c r="X70" s="29">
        <f>MB!X81</f>
        <v>0</v>
      </c>
      <c r="Y70" s="29">
        <f>MB!Y81</f>
        <v>0</v>
      </c>
      <c r="Z70" s="29" t="e">
        <f>MB!#REF!</f>
        <v>#REF!</v>
      </c>
      <c r="AA70" s="29">
        <f>MB!Z81</f>
        <v>0</v>
      </c>
      <c r="AB70" s="29">
        <f>MB!AA81</f>
        <v>0</v>
      </c>
    </row>
    <row r="71" spans="3:28" s="11" customFormat="1">
      <c r="C71" s="98" t="s">
        <v>32</v>
      </c>
      <c r="D71" s="29">
        <f>MB!C82</f>
        <v>0</v>
      </c>
      <c r="E71" s="29">
        <f>MB!D82</f>
        <v>0</v>
      </c>
      <c r="F71" s="29">
        <f>MB!E82</f>
        <v>0</v>
      </c>
      <c r="G71" s="29" t="str">
        <f>MB!F82</f>
        <v>UX325JA</v>
      </c>
      <c r="H71" s="29" t="str">
        <f>MB!G82</f>
        <v>Core i5-1035G1</v>
      </c>
      <c r="I71" s="29" t="str">
        <f>MB!H82</f>
        <v>Local</v>
      </c>
      <c r="J71" s="29" t="str">
        <f>MB!I82</f>
        <v>Asus</v>
      </c>
      <c r="K71" s="29" t="str">
        <f>MB!J82</f>
        <v>MB</v>
      </c>
      <c r="L71" s="29" t="str">
        <f>MB!K82</f>
        <v>SKD</v>
      </c>
      <c r="M71" s="29">
        <f>MB!L82</f>
        <v>0</v>
      </c>
      <c r="N71" s="29">
        <f>MB!M82</f>
        <v>0</v>
      </c>
      <c r="O71" s="29">
        <f>MB!N82</f>
        <v>0</v>
      </c>
      <c r="P71" s="29">
        <f>MB!P82</f>
        <v>0</v>
      </c>
      <c r="Q71" s="29">
        <f>MB!Q82</f>
        <v>0</v>
      </c>
      <c r="R71" s="29">
        <f>MB!R82</f>
        <v>0</v>
      </c>
      <c r="S71" s="29">
        <f>MB!S82</f>
        <v>0</v>
      </c>
      <c r="T71" s="29">
        <f>MB!T82</f>
        <v>0</v>
      </c>
      <c r="U71" s="29">
        <f>MB!U82</f>
        <v>0</v>
      </c>
      <c r="V71" s="29">
        <f>MB!V82</f>
        <v>0</v>
      </c>
      <c r="W71" s="29">
        <f>MB!W82</f>
        <v>0</v>
      </c>
      <c r="X71" s="29">
        <f>MB!X82</f>
        <v>0</v>
      </c>
      <c r="Y71" s="29">
        <f>MB!Y82</f>
        <v>0</v>
      </c>
      <c r="Z71" s="29" t="e">
        <f>MB!#REF!</f>
        <v>#REF!</v>
      </c>
      <c r="AA71" s="29">
        <f>MB!Z82</f>
        <v>0</v>
      </c>
      <c r="AB71" s="29">
        <f>MB!AA82</f>
        <v>0</v>
      </c>
    </row>
    <row r="72" spans="3:28" s="11" customFormat="1">
      <c r="C72" s="98" t="s">
        <v>32</v>
      </c>
      <c r="D72" s="29" t="str">
        <f>MB!C86</f>
        <v>EOP</v>
      </c>
      <c r="E72" s="29" t="str">
        <f>MB!D86</f>
        <v>FCST</v>
      </c>
      <c r="F72" s="29">
        <f>MB!E86</f>
        <v>0</v>
      </c>
      <c r="G72" s="29" t="str">
        <f>MB!F86</f>
        <v>UX482EAR</v>
      </c>
      <c r="H72" s="29" t="str">
        <f>MB!G86</f>
        <v>Core i7-1195G7</v>
      </c>
      <c r="I72" s="29">
        <f>MB!H86</f>
        <v>0</v>
      </c>
      <c r="J72" s="29">
        <f>MB!I86</f>
        <v>0</v>
      </c>
      <c r="K72" s="29">
        <f>MB!J86</f>
        <v>0</v>
      </c>
      <c r="L72" s="29">
        <f>MB!K86</f>
        <v>0</v>
      </c>
      <c r="M72" s="29">
        <f>MB!L86</f>
        <v>0</v>
      </c>
      <c r="N72" s="29">
        <f>MB!M86</f>
        <v>0</v>
      </c>
      <c r="O72" s="29">
        <f>MB!N86</f>
        <v>0</v>
      </c>
      <c r="P72" s="29">
        <f>MB!P86</f>
        <v>0</v>
      </c>
      <c r="Q72" s="29">
        <f>MB!Q86</f>
        <v>0</v>
      </c>
      <c r="R72" s="29">
        <f>MB!R86</f>
        <v>0</v>
      </c>
      <c r="S72" s="29">
        <f>MB!S86</f>
        <v>0</v>
      </c>
      <c r="T72" s="29">
        <f>MB!T86</f>
        <v>0</v>
      </c>
      <c r="U72" s="29">
        <f>MB!U86</f>
        <v>0</v>
      </c>
      <c r="V72" s="29">
        <f>MB!V86</f>
        <v>0</v>
      </c>
      <c r="W72" s="29">
        <f>MB!W86</f>
        <v>0</v>
      </c>
      <c r="X72" s="29">
        <f>MB!X86</f>
        <v>0</v>
      </c>
      <c r="Y72" s="29">
        <f>MB!Y86</f>
        <v>0</v>
      </c>
      <c r="Z72" s="29" t="e">
        <f>MB!#REF!</f>
        <v>#REF!</v>
      </c>
      <c r="AA72" s="29">
        <f>MB!Z86</f>
        <v>0</v>
      </c>
      <c r="AB72" s="29">
        <f>MB!AA86</f>
        <v>0</v>
      </c>
    </row>
    <row r="73" spans="3:28" s="11" customFormat="1">
      <c r="C73" s="98" t="s">
        <v>32</v>
      </c>
      <c r="D73" s="29">
        <f>MB!C87</f>
        <v>0</v>
      </c>
      <c r="E73" s="29">
        <f>MB!D87</f>
        <v>0</v>
      </c>
      <c r="F73" s="29">
        <f>MB!E87</f>
        <v>0</v>
      </c>
      <c r="G73" s="29" t="str">
        <f>MB!F87</f>
        <v>UX482EAR</v>
      </c>
      <c r="H73" s="29" t="str">
        <f>MB!G87</f>
        <v>Core i7-1195G7</v>
      </c>
      <c r="I73" s="29" t="str">
        <f>MB!H87</f>
        <v>Imported</v>
      </c>
      <c r="J73" s="29" t="str">
        <f>MB!I87</f>
        <v>Asus</v>
      </c>
      <c r="K73" s="29" t="str">
        <f>MB!J87</f>
        <v>MB</v>
      </c>
      <c r="L73" s="29" t="str">
        <f>MB!K87</f>
        <v>SKD</v>
      </c>
      <c r="M73" s="29">
        <f>MB!L87</f>
        <v>0</v>
      </c>
      <c r="N73" s="29">
        <f>MB!M87</f>
        <v>0</v>
      </c>
      <c r="O73" s="29">
        <f>MB!N87</f>
        <v>0</v>
      </c>
      <c r="P73" s="29">
        <f>MB!P87</f>
        <v>0</v>
      </c>
      <c r="Q73" s="29">
        <f>MB!Q87</f>
        <v>0</v>
      </c>
      <c r="R73" s="29">
        <f>MB!R87</f>
        <v>0</v>
      </c>
      <c r="S73" s="29">
        <f>MB!S87</f>
        <v>0</v>
      </c>
      <c r="T73" s="29">
        <f>MB!T87</f>
        <v>0</v>
      </c>
      <c r="U73" s="29">
        <f>MB!U87</f>
        <v>0</v>
      </c>
      <c r="V73" s="29">
        <f>MB!V87</f>
        <v>0</v>
      </c>
      <c r="W73" s="29">
        <f>MB!W87</f>
        <v>0</v>
      </c>
      <c r="X73" s="29">
        <f>MB!X87</f>
        <v>0</v>
      </c>
      <c r="Y73" s="29">
        <f>MB!Y87</f>
        <v>0</v>
      </c>
      <c r="Z73" s="29" t="e">
        <f>MB!#REF!</f>
        <v>#REF!</v>
      </c>
      <c r="AA73" s="29">
        <f>MB!Z87</f>
        <v>0</v>
      </c>
      <c r="AB73" s="29">
        <f>MB!AA87</f>
        <v>0</v>
      </c>
    </row>
    <row r="74" spans="3:28" s="11" customFormat="1">
      <c r="C74" s="98" t="s">
        <v>32</v>
      </c>
      <c r="D74" s="29">
        <f>MB!C88</f>
        <v>0</v>
      </c>
      <c r="E74" s="29">
        <f>MB!D88</f>
        <v>0</v>
      </c>
      <c r="F74" s="29">
        <f>MB!E88</f>
        <v>0</v>
      </c>
      <c r="G74" s="29" t="str">
        <f>MB!F88</f>
        <v>UX482EAR</v>
      </c>
      <c r="H74" s="29" t="str">
        <f>MB!G88</f>
        <v>Core i7-1195G7</v>
      </c>
      <c r="I74" s="29" t="str">
        <f>MB!H88</f>
        <v>Local</v>
      </c>
      <c r="J74" s="29" t="str">
        <f>MB!I88</f>
        <v>Asus</v>
      </c>
      <c r="K74" s="29" t="str">
        <f>MB!J88</f>
        <v>MB</v>
      </c>
      <c r="L74" s="29" t="str">
        <f>MB!K88</f>
        <v>SKD</v>
      </c>
      <c r="M74" s="29">
        <f>MB!L88</f>
        <v>0</v>
      </c>
      <c r="N74" s="29">
        <f>MB!M88</f>
        <v>0</v>
      </c>
      <c r="O74" s="29">
        <f>MB!N88</f>
        <v>0</v>
      </c>
      <c r="P74" s="29">
        <f>MB!P88</f>
        <v>0</v>
      </c>
      <c r="Q74" s="29">
        <f>MB!Q88</f>
        <v>0</v>
      </c>
      <c r="R74" s="29">
        <f>MB!R88</f>
        <v>0</v>
      </c>
      <c r="S74" s="29">
        <f>MB!S88</f>
        <v>0</v>
      </c>
      <c r="T74" s="29">
        <f>MB!T88</f>
        <v>0</v>
      </c>
      <c r="U74" s="29">
        <f>MB!U88</f>
        <v>0</v>
      </c>
      <c r="V74" s="29">
        <f>MB!V88</f>
        <v>0</v>
      </c>
      <c r="W74" s="29">
        <f>MB!W88</f>
        <v>0</v>
      </c>
      <c r="X74" s="29">
        <f>MB!X88</f>
        <v>0</v>
      </c>
      <c r="Y74" s="29">
        <f>MB!Y88</f>
        <v>0</v>
      </c>
      <c r="Z74" s="29" t="e">
        <f>MB!#REF!</f>
        <v>#REF!</v>
      </c>
      <c r="AA74" s="29">
        <f>MB!Z88</f>
        <v>0</v>
      </c>
      <c r="AB74" s="29">
        <f>MB!AA88</f>
        <v>0</v>
      </c>
    </row>
    <row r="75" spans="3:28" s="11" customFormat="1">
      <c r="C75" s="98" t="s">
        <v>32</v>
      </c>
      <c r="D75" s="29" t="str">
        <f>MB!C89</f>
        <v>Q1 EOP</v>
      </c>
      <c r="E75" s="29" t="str">
        <f>MB!D89</f>
        <v>FCST</v>
      </c>
      <c r="F75" s="29">
        <f>MB!E89</f>
        <v>450</v>
      </c>
      <c r="G75" s="29" t="str">
        <f>MB!F89</f>
        <v>UX3402ZA</v>
      </c>
      <c r="H75" s="29" t="str">
        <f>MB!G89</f>
        <v>Core i7-1260P</v>
      </c>
      <c r="I75" s="29">
        <f>MB!H89</f>
        <v>0</v>
      </c>
      <c r="J75" s="29">
        <f>MB!I89</f>
        <v>0</v>
      </c>
      <c r="K75" s="29">
        <f>MB!J89</f>
        <v>0</v>
      </c>
      <c r="L75" s="29">
        <f>MB!K89</f>
        <v>0</v>
      </c>
      <c r="M75" s="29">
        <f>MB!L89</f>
        <v>0</v>
      </c>
      <c r="N75" s="29">
        <f>MB!M89</f>
        <v>0</v>
      </c>
      <c r="O75" s="29">
        <f>MB!N89</f>
        <v>50</v>
      </c>
      <c r="P75" s="29">
        <f>MB!P89</f>
        <v>0</v>
      </c>
      <c r="Q75" s="29">
        <f>MB!Q89</f>
        <v>0</v>
      </c>
      <c r="R75" s="29">
        <f>MB!R89</f>
        <v>150</v>
      </c>
      <c r="S75" s="29">
        <f>MB!S89</f>
        <v>150</v>
      </c>
      <c r="T75" s="29">
        <f>MB!T89</f>
        <v>0</v>
      </c>
      <c r="U75" s="29">
        <f>MB!U89</f>
        <v>0</v>
      </c>
      <c r="V75" s="29">
        <f>MB!V89</f>
        <v>0</v>
      </c>
      <c r="W75" s="29">
        <f>MB!W89</f>
        <v>0</v>
      </c>
      <c r="X75" s="29">
        <f>MB!X89</f>
        <v>0</v>
      </c>
      <c r="Y75" s="29">
        <f>MB!Y89</f>
        <v>0</v>
      </c>
      <c r="Z75" s="29" t="e">
        <f>MB!#REF!</f>
        <v>#REF!</v>
      </c>
      <c r="AA75" s="29">
        <f>MB!Z89</f>
        <v>0</v>
      </c>
      <c r="AB75" s="29">
        <f>MB!AA89</f>
        <v>0</v>
      </c>
    </row>
    <row r="76" spans="3:28" s="11" customFormat="1">
      <c r="C76" s="98" t="s">
        <v>32</v>
      </c>
      <c r="D76" s="29">
        <f>MB!C90</f>
        <v>0</v>
      </c>
      <c r="E76" s="29">
        <f>MB!D90</f>
        <v>0</v>
      </c>
      <c r="F76" s="29">
        <f>MB!E90</f>
        <v>0</v>
      </c>
      <c r="G76" s="29" t="str">
        <f>MB!F90</f>
        <v>UX3402ZA</v>
      </c>
      <c r="H76" s="29" t="str">
        <f>MB!G90</f>
        <v>Core i7-1260P</v>
      </c>
      <c r="I76" s="29" t="str">
        <f>MB!H90</f>
        <v>Imported</v>
      </c>
      <c r="J76" s="29" t="str">
        <f>MB!I90</f>
        <v>Asus</v>
      </c>
      <c r="K76" s="29" t="str">
        <f>MB!J90</f>
        <v>MB</v>
      </c>
      <c r="L76" s="29" t="str">
        <f>MB!K90</f>
        <v>SKD</v>
      </c>
      <c r="M76" s="29">
        <f>MB!L90</f>
        <v>0</v>
      </c>
      <c r="N76" s="29">
        <f>MB!M90</f>
        <v>0</v>
      </c>
      <c r="O76" s="29">
        <f>MB!N90</f>
        <v>50</v>
      </c>
      <c r="P76" s="29">
        <f>MB!P90</f>
        <v>0</v>
      </c>
      <c r="Q76" s="29">
        <f>MB!Q90</f>
        <v>0</v>
      </c>
      <c r="R76" s="29">
        <f>MB!R90</f>
        <v>150</v>
      </c>
      <c r="S76" s="29">
        <f>MB!S90</f>
        <v>150</v>
      </c>
      <c r="T76" s="29">
        <f>MB!T90</f>
        <v>0</v>
      </c>
      <c r="U76" s="29">
        <f>MB!U90</f>
        <v>0</v>
      </c>
      <c r="V76" s="29">
        <f>MB!V90</f>
        <v>0</v>
      </c>
      <c r="W76" s="29">
        <f>MB!W90</f>
        <v>0</v>
      </c>
      <c r="X76" s="29">
        <f>MB!X90</f>
        <v>0</v>
      </c>
      <c r="Y76" s="29">
        <f>MB!Y90</f>
        <v>0</v>
      </c>
      <c r="Z76" s="29" t="e">
        <f>MB!#REF!</f>
        <v>#REF!</v>
      </c>
      <c r="AA76" s="29">
        <f>MB!Z90</f>
        <v>450</v>
      </c>
      <c r="AB76" s="29">
        <f>MB!AA90</f>
        <v>0</v>
      </c>
    </row>
    <row r="77" spans="3:28" s="11" customFormat="1">
      <c r="C77" s="98" t="s">
        <v>32</v>
      </c>
      <c r="D77" s="29">
        <f>MB!C91</f>
        <v>0</v>
      </c>
      <c r="E77" s="29">
        <f>MB!D91</f>
        <v>0</v>
      </c>
      <c r="F77" s="29">
        <f>MB!E91</f>
        <v>0</v>
      </c>
      <c r="G77" s="29" t="str">
        <f>MB!F91</f>
        <v>UX3402ZA</v>
      </c>
      <c r="H77" s="29" t="str">
        <f>MB!G91</f>
        <v>Core i7-1260P</v>
      </c>
      <c r="I77" s="29" t="str">
        <f>MB!H91</f>
        <v>Local</v>
      </c>
      <c r="J77" s="29" t="str">
        <f>MB!I91</f>
        <v>Asus</v>
      </c>
      <c r="K77" s="29" t="str">
        <f>MB!J91</f>
        <v>MB</v>
      </c>
      <c r="L77" s="29" t="str">
        <f>MB!K91</f>
        <v>SKD</v>
      </c>
      <c r="M77" s="29">
        <f>MB!L91</f>
        <v>0</v>
      </c>
      <c r="N77" s="29">
        <f>MB!M91</f>
        <v>0</v>
      </c>
      <c r="O77" s="29">
        <f>MB!N91</f>
        <v>0</v>
      </c>
      <c r="P77" s="29">
        <f>MB!P91</f>
        <v>0</v>
      </c>
      <c r="Q77" s="29">
        <f>MB!Q91</f>
        <v>0</v>
      </c>
      <c r="R77" s="29">
        <f>MB!R91</f>
        <v>0</v>
      </c>
      <c r="S77" s="29">
        <f>MB!S91</f>
        <v>0</v>
      </c>
      <c r="T77" s="29">
        <f>MB!T91</f>
        <v>0</v>
      </c>
      <c r="U77" s="29">
        <f>MB!U91</f>
        <v>0</v>
      </c>
      <c r="V77" s="29">
        <f>MB!V91</f>
        <v>0</v>
      </c>
      <c r="W77" s="29">
        <f>MB!W91</f>
        <v>0</v>
      </c>
      <c r="X77" s="29">
        <f>MB!X91</f>
        <v>0</v>
      </c>
      <c r="Y77" s="29">
        <f>MB!Y91</f>
        <v>0</v>
      </c>
      <c r="Z77" s="29" t="e">
        <f>MB!#REF!</f>
        <v>#REF!</v>
      </c>
      <c r="AA77" s="29">
        <f>MB!Z91</f>
        <v>0</v>
      </c>
      <c r="AB77" s="29">
        <f>MB!AA91</f>
        <v>0</v>
      </c>
    </row>
    <row r="78" spans="3:28" s="11" customFormat="1">
      <c r="C78" s="98" t="s">
        <v>32</v>
      </c>
      <c r="D78" s="29" t="str">
        <f>MB!C92</f>
        <v>EOP</v>
      </c>
      <c r="E78" s="29" t="str">
        <f>MB!D92</f>
        <v>FCST</v>
      </c>
      <c r="F78" s="29">
        <f>MB!E92</f>
        <v>0</v>
      </c>
      <c r="G78" s="29" t="str">
        <f>MB!F92</f>
        <v>UX5401ZA</v>
      </c>
      <c r="H78" s="29" t="str">
        <f>MB!G92</f>
        <v>Core i7-12700H</v>
      </c>
      <c r="I78" s="29">
        <f>MB!H92</f>
        <v>0</v>
      </c>
      <c r="J78" s="29">
        <f>MB!I92</f>
        <v>0</v>
      </c>
      <c r="K78" s="29">
        <f>MB!J92</f>
        <v>0</v>
      </c>
      <c r="L78" s="29">
        <f>MB!K92</f>
        <v>0</v>
      </c>
      <c r="M78" s="29">
        <f>MB!L92</f>
        <v>0</v>
      </c>
      <c r="N78" s="29">
        <f>MB!M92</f>
        <v>0</v>
      </c>
      <c r="O78" s="29">
        <f>MB!N92</f>
        <v>0</v>
      </c>
      <c r="P78" s="29">
        <f>MB!P92</f>
        <v>0</v>
      </c>
      <c r="Q78" s="29">
        <f>MB!Q92</f>
        <v>0</v>
      </c>
      <c r="R78" s="29">
        <f>MB!R92</f>
        <v>0</v>
      </c>
      <c r="S78" s="29">
        <f>MB!S92</f>
        <v>0</v>
      </c>
      <c r="T78" s="29">
        <f>MB!T92</f>
        <v>0</v>
      </c>
      <c r="U78" s="29">
        <f>MB!U92</f>
        <v>0</v>
      </c>
      <c r="V78" s="29">
        <f>MB!V92</f>
        <v>0</v>
      </c>
      <c r="W78" s="29">
        <f>MB!W92</f>
        <v>0</v>
      </c>
      <c r="X78" s="29">
        <f>MB!X92</f>
        <v>0</v>
      </c>
      <c r="Y78" s="29">
        <f>MB!Y92</f>
        <v>0</v>
      </c>
      <c r="Z78" s="29" t="e">
        <f>MB!#REF!</f>
        <v>#REF!</v>
      </c>
      <c r="AA78" s="29">
        <f>MB!Z92</f>
        <v>0</v>
      </c>
      <c r="AB78" s="29">
        <f>MB!AA92</f>
        <v>0</v>
      </c>
    </row>
    <row r="79" spans="3:28" s="11" customFormat="1">
      <c r="C79" s="98" t="s">
        <v>32</v>
      </c>
      <c r="D79" s="29">
        <f>MB!C93</f>
        <v>0</v>
      </c>
      <c r="E79" s="29">
        <f>MB!D93</f>
        <v>0</v>
      </c>
      <c r="F79" s="29">
        <f>MB!E93</f>
        <v>0</v>
      </c>
      <c r="G79" s="29" t="str">
        <f>MB!F93</f>
        <v>UX5401ZA</v>
      </c>
      <c r="H79" s="29" t="str">
        <f>MB!G93</f>
        <v>Core i7-12700H</v>
      </c>
      <c r="I79" s="29" t="str">
        <f>MB!H93</f>
        <v>Imported</v>
      </c>
      <c r="J79" s="29" t="str">
        <f>MB!I93</f>
        <v>Asus</v>
      </c>
      <c r="K79" s="29" t="str">
        <f>MB!J93</f>
        <v>MB</v>
      </c>
      <c r="L79" s="29" t="str">
        <f>MB!K93</f>
        <v>SKD</v>
      </c>
      <c r="M79" s="29">
        <f>MB!L93</f>
        <v>0</v>
      </c>
      <c r="N79" s="29">
        <f>MB!M93</f>
        <v>0</v>
      </c>
      <c r="O79" s="29">
        <f>MB!N93</f>
        <v>0</v>
      </c>
      <c r="P79" s="29">
        <f>MB!P93</f>
        <v>0</v>
      </c>
      <c r="Q79" s="29">
        <f>MB!Q93</f>
        <v>0</v>
      </c>
      <c r="R79" s="29">
        <f>MB!R93</f>
        <v>0</v>
      </c>
      <c r="S79" s="29">
        <f>MB!S93</f>
        <v>0</v>
      </c>
      <c r="T79" s="29">
        <f>MB!T93</f>
        <v>0</v>
      </c>
      <c r="U79" s="29">
        <f>MB!U93</f>
        <v>0</v>
      </c>
      <c r="V79" s="29">
        <f>MB!V93</f>
        <v>0</v>
      </c>
      <c r="W79" s="29">
        <f>MB!W93</f>
        <v>0</v>
      </c>
      <c r="X79" s="29">
        <f>MB!X93</f>
        <v>0</v>
      </c>
      <c r="Y79" s="29">
        <f>MB!Y93</f>
        <v>0</v>
      </c>
      <c r="Z79" s="29" t="e">
        <f>MB!#REF!</f>
        <v>#REF!</v>
      </c>
      <c r="AA79" s="29">
        <f>MB!Z93</f>
        <v>0</v>
      </c>
      <c r="AB79" s="29">
        <f>MB!AA93</f>
        <v>0</v>
      </c>
    </row>
    <row r="80" spans="3:28" s="11" customFormat="1">
      <c r="C80" s="98" t="s">
        <v>32</v>
      </c>
      <c r="D80" s="29">
        <f>MB!C94</f>
        <v>0</v>
      </c>
      <c r="E80" s="29">
        <f>MB!D94</f>
        <v>0</v>
      </c>
      <c r="F80" s="29">
        <f>MB!E94</f>
        <v>0</v>
      </c>
      <c r="G80" s="29" t="str">
        <f>MB!F94</f>
        <v>UX5401ZA</v>
      </c>
      <c r="H80" s="29" t="str">
        <f>MB!G94</f>
        <v>Core i7-12700H</v>
      </c>
      <c r="I80" s="29" t="str">
        <f>MB!H94</f>
        <v>Local</v>
      </c>
      <c r="J80" s="29" t="str">
        <f>MB!I94</f>
        <v>Asus</v>
      </c>
      <c r="K80" s="29" t="str">
        <f>MB!J94</f>
        <v>MB</v>
      </c>
      <c r="L80" s="29" t="str">
        <f>MB!K94</f>
        <v>SKD</v>
      </c>
      <c r="M80" s="29">
        <f>MB!L94</f>
        <v>0</v>
      </c>
      <c r="N80" s="29">
        <f>MB!M94</f>
        <v>0</v>
      </c>
      <c r="O80" s="29">
        <f>MB!N94</f>
        <v>0</v>
      </c>
      <c r="P80" s="29">
        <f>MB!P94</f>
        <v>0</v>
      </c>
      <c r="Q80" s="29">
        <f>MB!Q94</f>
        <v>0</v>
      </c>
      <c r="R80" s="29">
        <f>MB!R94</f>
        <v>0</v>
      </c>
      <c r="S80" s="29">
        <f>MB!S94</f>
        <v>0</v>
      </c>
      <c r="T80" s="29">
        <f>MB!T94</f>
        <v>0</v>
      </c>
      <c r="U80" s="29">
        <f>MB!U94</f>
        <v>0</v>
      </c>
      <c r="V80" s="29">
        <f>MB!V94</f>
        <v>0</v>
      </c>
      <c r="W80" s="29">
        <f>MB!W94</f>
        <v>0</v>
      </c>
      <c r="X80" s="29">
        <f>MB!X94</f>
        <v>0</v>
      </c>
      <c r="Y80" s="29">
        <f>MB!Y94</f>
        <v>0</v>
      </c>
      <c r="Z80" s="29" t="e">
        <f>MB!#REF!</f>
        <v>#REF!</v>
      </c>
      <c r="AA80" s="29">
        <f>MB!Z94</f>
        <v>0</v>
      </c>
      <c r="AB80" s="29">
        <f>MB!AA94</f>
        <v>0</v>
      </c>
    </row>
    <row r="81" spans="3:28" s="11" customFormat="1">
      <c r="C81" s="98" t="s">
        <v>32</v>
      </c>
      <c r="D81" s="29" t="str">
        <f>MB!C95</f>
        <v>NPI</v>
      </c>
      <c r="E81" s="29" t="str">
        <f>MB!D95</f>
        <v>FCST</v>
      </c>
      <c r="F81" s="29">
        <f>MB!E95</f>
        <v>4450</v>
      </c>
      <c r="G81" s="29" t="str">
        <f>MB!F95</f>
        <v>K6502HC</v>
      </c>
      <c r="H81" s="29" t="str">
        <f>MB!G95</f>
        <v>Core i9-11900H</v>
      </c>
      <c r="I81" s="29">
        <f>MB!H95</f>
        <v>0</v>
      </c>
      <c r="J81" s="29">
        <f>MB!I95</f>
        <v>0</v>
      </c>
      <c r="K81" s="29">
        <f>MB!J95</f>
        <v>0</v>
      </c>
      <c r="L81" s="29">
        <f>MB!K95</f>
        <v>0</v>
      </c>
      <c r="M81" s="29">
        <f>MB!L95</f>
        <v>0</v>
      </c>
      <c r="N81" s="29">
        <f>MB!M95</f>
        <v>0</v>
      </c>
      <c r="O81" s="29">
        <f>MB!N95</f>
        <v>250</v>
      </c>
      <c r="P81" s="29">
        <f>MB!P95</f>
        <v>550</v>
      </c>
      <c r="Q81" s="29">
        <f>MB!Q95</f>
        <v>700</v>
      </c>
      <c r="R81" s="29">
        <f>MB!R95</f>
        <v>450</v>
      </c>
      <c r="S81" s="29">
        <f>MB!S95</f>
        <v>600</v>
      </c>
      <c r="T81" s="29">
        <f>MB!T95</f>
        <v>450</v>
      </c>
      <c r="U81" s="29">
        <f>MB!U95</f>
        <v>550</v>
      </c>
      <c r="V81" s="29">
        <f>MB!V95</f>
        <v>550</v>
      </c>
      <c r="W81" s="29">
        <f>MB!W95</f>
        <v>0</v>
      </c>
      <c r="X81" s="29">
        <f>MB!X95</f>
        <v>0</v>
      </c>
      <c r="Y81" s="29">
        <f>MB!Y95</f>
        <v>0</v>
      </c>
      <c r="Z81" s="29" t="e">
        <f>MB!#REF!</f>
        <v>#REF!</v>
      </c>
      <c r="AA81" s="29">
        <f>MB!Z95</f>
        <v>0</v>
      </c>
      <c r="AB81" s="29">
        <f>MB!AA95</f>
        <v>0</v>
      </c>
    </row>
    <row r="82" spans="3:28" s="11" customFormat="1">
      <c r="C82" s="98" t="s">
        <v>32</v>
      </c>
      <c r="D82" s="29">
        <f>MB!C96</f>
        <v>0</v>
      </c>
      <c r="E82" s="29">
        <f>MB!D96</f>
        <v>0</v>
      </c>
      <c r="F82" s="29">
        <f>MB!E96</f>
        <v>0</v>
      </c>
      <c r="G82" s="29" t="str">
        <f>MB!F96</f>
        <v>K6502HC</v>
      </c>
      <c r="H82" s="29" t="str">
        <f>MB!G96</f>
        <v>Core i9-11900H</v>
      </c>
      <c r="I82" s="29" t="str">
        <f>MB!H96</f>
        <v>Imported</v>
      </c>
      <c r="J82" s="29" t="str">
        <f>MB!I96</f>
        <v>Asus</v>
      </c>
      <c r="K82" s="29" t="str">
        <f>MB!J96</f>
        <v>MB</v>
      </c>
      <c r="L82" s="29">
        <f>MB!K96</f>
        <v>0</v>
      </c>
      <c r="M82" s="29">
        <f>MB!L96</f>
        <v>0</v>
      </c>
      <c r="N82" s="29">
        <f>MB!M96</f>
        <v>0</v>
      </c>
      <c r="O82" s="29">
        <f>MB!N96</f>
        <v>0</v>
      </c>
      <c r="P82" s="29">
        <f>MB!P96</f>
        <v>0</v>
      </c>
      <c r="Q82" s="29">
        <f>MB!Q96</f>
        <v>0</v>
      </c>
      <c r="R82" s="29">
        <f>MB!R96</f>
        <v>0</v>
      </c>
      <c r="S82" s="29">
        <f>MB!S96</f>
        <v>0</v>
      </c>
      <c r="T82" s="29">
        <f>MB!T96</f>
        <v>0</v>
      </c>
      <c r="U82" s="29">
        <f>MB!U96</f>
        <v>0</v>
      </c>
      <c r="V82" s="29">
        <f>MB!V96</f>
        <v>0</v>
      </c>
      <c r="W82" s="29">
        <f>MB!W96</f>
        <v>0</v>
      </c>
      <c r="X82" s="29">
        <f>MB!X96</f>
        <v>0</v>
      </c>
      <c r="Y82" s="29">
        <f>MB!Y96</f>
        <v>0</v>
      </c>
      <c r="Z82" s="29" t="e">
        <f>MB!#REF!</f>
        <v>#REF!</v>
      </c>
      <c r="AA82" s="29">
        <f>MB!Z96</f>
        <v>0</v>
      </c>
      <c r="AB82" s="29">
        <f>MB!AA96</f>
        <v>0</v>
      </c>
    </row>
    <row r="83" spans="3:28" s="11" customFormat="1">
      <c r="C83" s="98" t="s">
        <v>32</v>
      </c>
      <c r="D83" s="29">
        <f>MB!C97</f>
        <v>0</v>
      </c>
      <c r="E83" s="29">
        <f>MB!D97</f>
        <v>0</v>
      </c>
      <c r="F83" s="29">
        <f>MB!E97</f>
        <v>0</v>
      </c>
      <c r="G83" s="29" t="str">
        <f>MB!F97</f>
        <v>K6502HC</v>
      </c>
      <c r="H83" s="29" t="str">
        <f>MB!G97</f>
        <v>Core i9-11900H</v>
      </c>
      <c r="I83" s="29" t="str">
        <f>MB!H97</f>
        <v>Local</v>
      </c>
      <c r="J83" s="29" t="str">
        <f>MB!I97</f>
        <v>Asus</v>
      </c>
      <c r="K83" s="29" t="str">
        <f>MB!J97</f>
        <v>MB</v>
      </c>
      <c r="L83" s="29">
        <f>MB!K97</f>
        <v>0</v>
      </c>
      <c r="M83" s="29">
        <f>MB!L97</f>
        <v>0</v>
      </c>
      <c r="N83" s="29">
        <f>MB!M97</f>
        <v>0</v>
      </c>
      <c r="O83" s="29">
        <f>MB!N97</f>
        <v>250</v>
      </c>
      <c r="P83" s="29">
        <f>MB!P97</f>
        <v>550</v>
      </c>
      <c r="Q83" s="29">
        <f>MB!Q97</f>
        <v>700</v>
      </c>
      <c r="R83" s="29">
        <f>MB!R97</f>
        <v>450</v>
      </c>
      <c r="S83" s="29">
        <f>MB!S97</f>
        <v>600</v>
      </c>
      <c r="T83" s="29">
        <f>MB!T97</f>
        <v>450</v>
      </c>
      <c r="U83" s="29">
        <f>MB!U97</f>
        <v>550</v>
      </c>
      <c r="V83" s="29">
        <f>MB!V97</f>
        <v>550</v>
      </c>
      <c r="W83" s="29">
        <f>MB!W97</f>
        <v>0</v>
      </c>
      <c r="X83" s="29">
        <f>MB!X97</f>
        <v>0</v>
      </c>
      <c r="Y83" s="29">
        <f>MB!Y97</f>
        <v>0</v>
      </c>
      <c r="Z83" s="29" t="e">
        <f>MB!#REF!</f>
        <v>#REF!</v>
      </c>
      <c r="AA83" s="29">
        <f>MB!Z97</f>
        <v>4450</v>
      </c>
      <c r="AB83" s="29">
        <f>MB!AA97</f>
        <v>0</v>
      </c>
    </row>
    <row r="84" spans="3:28" s="11" customFormat="1">
      <c r="C84" s="98" t="s">
        <v>32</v>
      </c>
      <c r="D84" s="29" t="str">
        <f>MB!C98</f>
        <v>NPI</v>
      </c>
      <c r="E84" s="29" t="str">
        <f>MB!D98</f>
        <v>FCST</v>
      </c>
      <c r="F84" s="29">
        <f>MB!E98</f>
        <v>300</v>
      </c>
      <c r="G84" s="29" t="str">
        <f>MB!F98</f>
        <v>M6500RC</v>
      </c>
      <c r="H84" s="29" t="str">
        <f>MB!G98</f>
        <v>Ryzen 7-6800H</v>
      </c>
      <c r="I84" s="29">
        <f>MB!H98</f>
        <v>0</v>
      </c>
      <c r="J84" s="29">
        <f>MB!I98</f>
        <v>0</v>
      </c>
      <c r="K84" s="29">
        <f>MB!J98</f>
        <v>0</v>
      </c>
      <c r="L84" s="29">
        <f>MB!K98</f>
        <v>0</v>
      </c>
      <c r="M84" s="29">
        <f>MB!L98</f>
        <v>0</v>
      </c>
      <c r="N84" s="29">
        <f>MB!M98</f>
        <v>0</v>
      </c>
      <c r="O84" s="29">
        <f>MB!N98</f>
        <v>0</v>
      </c>
      <c r="P84" s="29">
        <f>MB!P98</f>
        <v>0</v>
      </c>
      <c r="Q84" s="29">
        <f>MB!Q98</f>
        <v>100</v>
      </c>
      <c r="R84" s="29">
        <f>MB!R98</f>
        <v>0</v>
      </c>
      <c r="S84" s="29">
        <f>MB!S98</f>
        <v>0</v>
      </c>
      <c r="T84" s="29">
        <f>MB!T98</f>
        <v>0</v>
      </c>
      <c r="U84" s="29">
        <f>MB!U98</f>
        <v>0</v>
      </c>
      <c r="V84" s="29">
        <f>MB!V98</f>
        <v>0</v>
      </c>
      <c r="W84" s="29">
        <f>MB!W98</f>
        <v>0</v>
      </c>
      <c r="X84" s="29">
        <f>MB!X98</f>
        <v>0</v>
      </c>
      <c r="Y84" s="29">
        <f>MB!Y98</f>
        <v>0</v>
      </c>
      <c r="Z84" s="29" t="e">
        <f>MB!#REF!</f>
        <v>#REF!</v>
      </c>
      <c r="AA84" s="29">
        <f>MB!Z98</f>
        <v>0</v>
      </c>
      <c r="AB84" s="29">
        <f>MB!AA98</f>
        <v>0</v>
      </c>
    </row>
    <row r="85" spans="3:28" s="11" customFormat="1">
      <c r="C85" s="98" t="s">
        <v>32</v>
      </c>
      <c r="D85" s="29">
        <f>MB!C99</f>
        <v>0</v>
      </c>
      <c r="E85" s="29">
        <f>MB!D99</f>
        <v>0</v>
      </c>
      <c r="F85" s="29">
        <f>MB!E99</f>
        <v>0</v>
      </c>
      <c r="G85" s="29" t="str">
        <f>MB!F99</f>
        <v>M6500RC</v>
      </c>
      <c r="H85" s="29" t="str">
        <f>MB!G99</f>
        <v>Ryzen 7-6800H</v>
      </c>
      <c r="I85" s="29" t="str">
        <f>MB!H99</f>
        <v>Imported</v>
      </c>
      <c r="J85" s="29" t="str">
        <f>MB!I99</f>
        <v>Asus</v>
      </c>
      <c r="K85" s="29" t="str">
        <f>MB!J99</f>
        <v>MB</v>
      </c>
      <c r="L85" s="29" t="str">
        <f>MB!K99</f>
        <v>SKD</v>
      </c>
      <c r="M85" s="29">
        <f>MB!L99</f>
        <v>0</v>
      </c>
      <c r="N85" s="29">
        <f>MB!M99</f>
        <v>0</v>
      </c>
      <c r="O85" s="29">
        <f>MB!N99</f>
        <v>0</v>
      </c>
      <c r="P85" s="29">
        <f>MB!P99</f>
        <v>0</v>
      </c>
      <c r="Q85" s="29">
        <f>MB!Q99</f>
        <v>100</v>
      </c>
      <c r="R85" s="29">
        <f>MB!R99</f>
        <v>0</v>
      </c>
      <c r="S85" s="29">
        <f>MB!S99</f>
        <v>0</v>
      </c>
      <c r="T85" s="29">
        <f>MB!T99</f>
        <v>0</v>
      </c>
      <c r="U85" s="29">
        <f>MB!U99</f>
        <v>0</v>
      </c>
      <c r="V85" s="29">
        <f>MB!V99</f>
        <v>0</v>
      </c>
      <c r="W85" s="29">
        <f>MB!W99</f>
        <v>0</v>
      </c>
      <c r="X85" s="29">
        <f>MB!X99</f>
        <v>0</v>
      </c>
      <c r="Y85" s="29">
        <f>MB!Y99</f>
        <v>0</v>
      </c>
      <c r="Z85" s="29" t="e">
        <f>MB!#REF!</f>
        <v>#REF!</v>
      </c>
      <c r="AA85" s="29">
        <f>MB!Z99</f>
        <v>300</v>
      </c>
      <c r="AB85" s="29">
        <f>MB!AA99</f>
        <v>0</v>
      </c>
    </row>
    <row r="86" spans="3:28" s="11" customFormat="1">
      <c r="C86" s="98" t="s">
        <v>32</v>
      </c>
      <c r="D86" s="29">
        <f>MB!C100</f>
        <v>0</v>
      </c>
      <c r="E86" s="29">
        <f>MB!D100</f>
        <v>0</v>
      </c>
      <c r="F86" s="29">
        <f>MB!E100</f>
        <v>0</v>
      </c>
      <c r="G86" s="29" t="str">
        <f>MB!F100</f>
        <v>M6500RC</v>
      </c>
      <c r="H86" s="29" t="str">
        <f>MB!G100</f>
        <v>Ryzen 7-6800H</v>
      </c>
      <c r="I86" s="29" t="str">
        <f>MB!H100</f>
        <v>Local</v>
      </c>
      <c r="J86" s="29" t="str">
        <f>MB!I100</f>
        <v>Asus</v>
      </c>
      <c r="K86" s="29" t="str">
        <f>MB!J100</f>
        <v>MB</v>
      </c>
      <c r="L86" s="29" t="str">
        <f>MB!K100</f>
        <v>SKD</v>
      </c>
      <c r="M86" s="29">
        <f>MB!L100</f>
        <v>0</v>
      </c>
      <c r="N86" s="29">
        <f>MB!M100</f>
        <v>0</v>
      </c>
      <c r="O86" s="29">
        <f>MB!N100</f>
        <v>0</v>
      </c>
      <c r="P86" s="29">
        <f>MB!P100</f>
        <v>0</v>
      </c>
      <c r="Q86" s="29">
        <f>MB!Q100</f>
        <v>0</v>
      </c>
      <c r="R86" s="29">
        <f>MB!R100</f>
        <v>0</v>
      </c>
      <c r="S86" s="29">
        <f>MB!S100</f>
        <v>0</v>
      </c>
      <c r="T86" s="29">
        <f>MB!T100</f>
        <v>0</v>
      </c>
      <c r="U86" s="29">
        <f>MB!U100</f>
        <v>0</v>
      </c>
      <c r="V86" s="29">
        <f>MB!V100</f>
        <v>0</v>
      </c>
      <c r="W86" s="29">
        <f>MB!W100</f>
        <v>0</v>
      </c>
      <c r="X86" s="29">
        <f>MB!X100</f>
        <v>0</v>
      </c>
      <c r="Y86" s="29">
        <f>MB!Y100</f>
        <v>0</v>
      </c>
      <c r="Z86" s="29" t="e">
        <f>MB!#REF!</f>
        <v>#REF!</v>
      </c>
      <c r="AA86" s="29">
        <f>MB!Z100</f>
        <v>0</v>
      </c>
      <c r="AB86" s="29">
        <f>MB!AA100</f>
        <v>0</v>
      </c>
    </row>
    <row r="87" spans="3:28" s="11" customFormat="1">
      <c r="C87" s="98" t="s">
        <v>32</v>
      </c>
      <c r="D87" s="29" t="str">
        <f>MB!C101</f>
        <v>NPI</v>
      </c>
      <c r="E87" s="29" t="str">
        <f>MB!D101</f>
        <v>FCST</v>
      </c>
      <c r="F87" s="29">
        <f>MB!E101</f>
        <v>300</v>
      </c>
      <c r="G87" s="29" t="str">
        <f>MB!F101</f>
        <v>K6502ZC</v>
      </c>
      <c r="H87" s="29" t="str">
        <f>MB!G101</f>
        <v>Core i5-12450H</v>
      </c>
      <c r="I87" s="29">
        <f>MB!H101</f>
        <v>0</v>
      </c>
      <c r="J87" s="29">
        <f>MB!I101</f>
        <v>0</v>
      </c>
      <c r="K87" s="29">
        <f>MB!J101</f>
        <v>0</v>
      </c>
      <c r="L87" s="29">
        <f>MB!K101</f>
        <v>0</v>
      </c>
      <c r="M87" s="29">
        <f>MB!L101</f>
        <v>0</v>
      </c>
      <c r="N87" s="29">
        <f>MB!M101</f>
        <v>0</v>
      </c>
      <c r="O87" s="29">
        <f>MB!N101</f>
        <v>0</v>
      </c>
      <c r="P87" s="29">
        <f>MB!P101</f>
        <v>0</v>
      </c>
      <c r="Q87" s="29">
        <f>MB!Q101</f>
        <v>100</v>
      </c>
      <c r="R87" s="29">
        <f>MB!R101</f>
        <v>0</v>
      </c>
      <c r="S87" s="29">
        <f>MB!S101</f>
        <v>0</v>
      </c>
      <c r="T87" s="29">
        <f>MB!T101</f>
        <v>0</v>
      </c>
      <c r="U87" s="29">
        <f>MB!U101</f>
        <v>0</v>
      </c>
      <c r="V87" s="29">
        <f>MB!V101</f>
        <v>0</v>
      </c>
      <c r="W87" s="29">
        <f>MB!W101</f>
        <v>0</v>
      </c>
      <c r="X87" s="29">
        <f>MB!X101</f>
        <v>0</v>
      </c>
      <c r="Y87" s="29">
        <f>MB!Y101</f>
        <v>0</v>
      </c>
      <c r="Z87" s="29" t="e">
        <f>MB!#REF!</f>
        <v>#REF!</v>
      </c>
      <c r="AA87" s="29">
        <f>MB!Z101</f>
        <v>0</v>
      </c>
      <c r="AB87" s="29">
        <f>MB!AA101</f>
        <v>0</v>
      </c>
    </row>
    <row r="88" spans="3:28" s="11" customFormat="1">
      <c r="C88" s="98" t="s">
        <v>32</v>
      </c>
      <c r="D88" s="29">
        <f>MB!C102</f>
        <v>0</v>
      </c>
      <c r="E88" s="29">
        <f>MB!D102</f>
        <v>0</v>
      </c>
      <c r="F88" s="29">
        <f>MB!E102</f>
        <v>0</v>
      </c>
      <c r="G88" s="29" t="str">
        <f>MB!F102</f>
        <v>K6502ZC</v>
      </c>
      <c r="H88" s="29" t="str">
        <f>MB!G102</f>
        <v>Core i5-12450H</v>
      </c>
      <c r="I88" s="29" t="str">
        <f>MB!H102</f>
        <v>Imported</v>
      </c>
      <c r="J88" s="29" t="str">
        <f>MB!I102</f>
        <v>Asus</v>
      </c>
      <c r="K88" s="29" t="str">
        <f>MB!J102</f>
        <v>MB</v>
      </c>
      <c r="L88" s="29" t="str">
        <f>MB!K102</f>
        <v>SKD</v>
      </c>
      <c r="M88" s="29">
        <f>MB!L102</f>
        <v>0</v>
      </c>
      <c r="N88" s="29">
        <f>MB!M102</f>
        <v>0</v>
      </c>
      <c r="O88" s="29">
        <f>MB!N102</f>
        <v>0</v>
      </c>
      <c r="P88" s="29">
        <f>MB!P102</f>
        <v>0</v>
      </c>
      <c r="Q88" s="29">
        <f>MB!Q102</f>
        <v>100</v>
      </c>
      <c r="R88" s="29">
        <f>MB!R102</f>
        <v>0</v>
      </c>
      <c r="S88" s="29">
        <f>MB!S102</f>
        <v>0</v>
      </c>
      <c r="T88" s="29">
        <f>MB!T102</f>
        <v>0</v>
      </c>
      <c r="U88" s="29">
        <f>MB!U102</f>
        <v>0</v>
      </c>
      <c r="V88" s="29">
        <f>MB!V102</f>
        <v>0</v>
      </c>
      <c r="W88" s="29">
        <f>MB!W102</f>
        <v>0</v>
      </c>
      <c r="X88" s="29">
        <f>MB!X102</f>
        <v>0</v>
      </c>
      <c r="Y88" s="29">
        <f>MB!Y102</f>
        <v>0</v>
      </c>
      <c r="Z88" s="29" t="e">
        <f>MB!#REF!</f>
        <v>#REF!</v>
      </c>
      <c r="AA88" s="29">
        <f>MB!Z102</f>
        <v>300</v>
      </c>
      <c r="AB88" s="29">
        <f>MB!AA102</f>
        <v>0</v>
      </c>
    </row>
    <row r="89" spans="3:28">
      <c r="C89" s="98" t="s">
        <v>21</v>
      </c>
      <c r="D89" s="29">
        <f>Adaptor!C14</f>
        <v>0</v>
      </c>
      <c r="E89" s="29" t="str">
        <f>Adaptor!D14</f>
        <v>FCST</v>
      </c>
      <c r="F89" s="29">
        <f>Adaptor!E14</f>
        <v>21300</v>
      </c>
      <c r="G89" s="29" t="str">
        <f>Adaptor!F14</f>
        <v>X515JA</v>
      </c>
      <c r="H89" s="29" t="str">
        <f>Adaptor!G14</f>
        <v>Core i3-1005G1</v>
      </c>
      <c r="I89" s="29">
        <f>Adaptor!H14</f>
        <v>0</v>
      </c>
      <c r="J89" s="29">
        <f>Adaptor!I14</f>
        <v>0</v>
      </c>
      <c r="K89" s="29">
        <f>Adaptor!J14</f>
        <v>0</v>
      </c>
      <c r="L89" s="29" t="str">
        <f>Adaptor!K14</f>
        <v>33W*4.0PHI</v>
      </c>
      <c r="M89" s="29">
        <f>Adaptor!L14</f>
        <v>0</v>
      </c>
      <c r="N89" s="29">
        <f>Adaptor!M14</f>
        <v>0</v>
      </c>
      <c r="O89" s="29">
        <f>Adaptor!N14</f>
        <v>8800</v>
      </c>
      <c r="P89" s="29">
        <f>Adaptor!P14</f>
        <v>6800</v>
      </c>
      <c r="Q89" s="29">
        <f>Adaptor!Q14</f>
        <v>0</v>
      </c>
      <c r="R89" s="29">
        <f>Adaptor!R14</f>
        <v>0</v>
      </c>
      <c r="S89" s="29">
        <f>Adaptor!S14</f>
        <v>0</v>
      </c>
      <c r="T89" s="29">
        <f>Adaptor!T14</f>
        <v>0</v>
      </c>
      <c r="U89" s="29">
        <f>Adaptor!U14</f>
        <v>0</v>
      </c>
      <c r="V89" s="29">
        <f>Adaptor!V14</f>
        <v>0</v>
      </c>
      <c r="W89" s="29">
        <f>Adaptor!W14</f>
        <v>0</v>
      </c>
      <c r="X89" s="29">
        <f>Adaptor!X14</f>
        <v>0</v>
      </c>
      <c r="Y89" s="29">
        <f>Adaptor!Y14</f>
        <v>0</v>
      </c>
      <c r="Z89" s="29" t="e">
        <f>Adaptor!#REF!</f>
        <v>#REF!</v>
      </c>
      <c r="AA89" s="29">
        <f>Adaptor!Z14</f>
        <v>0</v>
      </c>
      <c r="AB89" s="29">
        <f>Adaptor!AA14</f>
        <v>0</v>
      </c>
    </row>
    <row r="90" spans="3:28">
      <c r="C90" s="98" t="s">
        <v>21</v>
      </c>
      <c r="D90" s="29">
        <f>Adaptor!C15</f>
        <v>0</v>
      </c>
      <c r="E90" s="29">
        <f>Adaptor!D15</f>
        <v>0</v>
      </c>
      <c r="F90" s="29">
        <f>Adaptor!E15</f>
        <v>0</v>
      </c>
      <c r="G90" s="29" t="str">
        <f>Adaptor!F15</f>
        <v>X515JA</v>
      </c>
      <c r="H90" s="29" t="str">
        <f>Adaptor!G15</f>
        <v>Core i3-1005G1</v>
      </c>
      <c r="I90" s="29" t="str">
        <f>Adaptor!H15</f>
        <v>Imported</v>
      </c>
      <c r="J90" s="29" t="str">
        <f>Adaptor!I15</f>
        <v>ASUS</v>
      </c>
      <c r="K90" s="29" t="str">
        <f>Adaptor!J15</f>
        <v>Adapter</v>
      </c>
      <c r="L90" s="29" t="str">
        <f>Adaptor!K15</f>
        <v>45W*4.0PHI</v>
      </c>
      <c r="M90" s="29">
        <f>Adaptor!L15</f>
        <v>0</v>
      </c>
      <c r="N90" s="29" t="str">
        <f>Adaptor!M15</f>
        <v>0A001-01100800
0A001-01102000
0A001-01101200</v>
      </c>
      <c r="O90" s="29">
        <f>Adaptor!N15</f>
        <v>8800</v>
      </c>
      <c r="P90" s="29">
        <f>Adaptor!P15</f>
        <v>0</v>
      </c>
      <c r="Q90" s="29">
        <f>Adaptor!Q15</f>
        <v>0</v>
      </c>
      <c r="R90" s="29">
        <f>Adaptor!R15</f>
        <v>0</v>
      </c>
      <c r="S90" s="29">
        <f>Adaptor!S15</f>
        <v>0</v>
      </c>
      <c r="T90" s="29">
        <f>Adaptor!T15</f>
        <v>0</v>
      </c>
      <c r="U90" s="29">
        <f>Adaptor!U15</f>
        <v>0</v>
      </c>
      <c r="V90" s="29">
        <f>Adaptor!V15</f>
        <v>0</v>
      </c>
      <c r="W90" s="29">
        <f>Adaptor!W15</f>
        <v>0</v>
      </c>
      <c r="X90" s="29">
        <f>Adaptor!X15</f>
        <v>0</v>
      </c>
      <c r="Y90" s="29">
        <f>Adaptor!Y15</f>
        <v>0</v>
      </c>
      <c r="Z90" s="29" t="e">
        <f>Adaptor!#REF!</f>
        <v>#REF!</v>
      </c>
      <c r="AA90" s="29">
        <f>Adaptor!Z15</f>
        <v>10600</v>
      </c>
      <c r="AB90" s="29">
        <f>Adaptor!AA15</f>
        <v>0</v>
      </c>
    </row>
    <row r="91" spans="3:28">
      <c r="C91" s="98" t="s">
        <v>21</v>
      </c>
      <c r="D91" s="29">
        <f>Adaptor!C16</f>
        <v>0</v>
      </c>
      <c r="E91" s="29">
        <f>Adaptor!D16</f>
        <v>0</v>
      </c>
      <c r="F91" s="29">
        <f>Adaptor!E16</f>
        <v>0</v>
      </c>
      <c r="G91" s="29" t="str">
        <f>Adaptor!F16</f>
        <v>X515JA</v>
      </c>
      <c r="H91" s="29" t="str">
        <f>Adaptor!G16</f>
        <v>Core i3-1005G1</v>
      </c>
      <c r="I91" s="29" t="str">
        <f>Adaptor!H16</f>
        <v>Local</v>
      </c>
      <c r="J91" s="29" t="str">
        <f>Adaptor!I16</f>
        <v>LITEON</v>
      </c>
      <c r="K91" s="29" t="str">
        <f>Adaptor!J16</f>
        <v>Adapter</v>
      </c>
      <c r="L91" s="29" t="str">
        <f>Adaptor!K16</f>
        <v>45W</v>
      </c>
      <c r="M91" s="29">
        <f>Adaptor!L16</f>
        <v>0</v>
      </c>
      <c r="N91" s="29" t="str">
        <f>Adaptor!M16</f>
        <v>0A001-01102700</v>
      </c>
      <c r="O91" s="29">
        <f>Adaptor!N16</f>
        <v>0</v>
      </c>
      <c r="P91" s="29">
        <f>Adaptor!P16</f>
        <v>6800</v>
      </c>
      <c r="Q91" s="29">
        <f>Adaptor!Q16</f>
        <v>0</v>
      </c>
      <c r="R91" s="29">
        <f>Adaptor!R16</f>
        <v>0</v>
      </c>
      <c r="S91" s="29">
        <f>Adaptor!S16</f>
        <v>0</v>
      </c>
      <c r="T91" s="29">
        <f>Adaptor!T16</f>
        <v>0</v>
      </c>
      <c r="U91" s="29">
        <f>Adaptor!U16</f>
        <v>0</v>
      </c>
      <c r="V91" s="29">
        <f>Adaptor!V16</f>
        <v>0</v>
      </c>
      <c r="W91" s="29">
        <f>Adaptor!W16</f>
        <v>0</v>
      </c>
      <c r="X91" s="29">
        <f>Adaptor!X16</f>
        <v>0</v>
      </c>
      <c r="Y91" s="29">
        <f>Adaptor!Y16</f>
        <v>0</v>
      </c>
      <c r="Z91" s="29" t="e">
        <f>Adaptor!#REF!</f>
        <v>#REF!</v>
      </c>
      <c r="AA91" s="29">
        <f>Adaptor!Z16</f>
        <v>10700</v>
      </c>
      <c r="AB91" s="29">
        <f>Adaptor!AA16</f>
        <v>0</v>
      </c>
    </row>
    <row r="92" spans="3:28">
      <c r="C92" s="98" t="s">
        <v>21</v>
      </c>
      <c r="D92" s="29">
        <f>Adaptor!C17</f>
        <v>0</v>
      </c>
      <c r="E92" s="29" t="str">
        <f>Adaptor!D17</f>
        <v>FCST</v>
      </c>
      <c r="F92" s="29">
        <f>Adaptor!E17</f>
        <v>23050</v>
      </c>
      <c r="G92" s="29" t="str">
        <f>Adaptor!F17</f>
        <v>X515JA</v>
      </c>
      <c r="H92" s="29" t="str">
        <f>Adaptor!G17</f>
        <v>Core i5-1035G1</v>
      </c>
      <c r="I92" s="29">
        <f>Adaptor!H17</f>
        <v>0</v>
      </c>
      <c r="J92" s="29">
        <f>Adaptor!I17</f>
        <v>0</v>
      </c>
      <c r="K92" s="29">
        <f>Adaptor!J17</f>
        <v>0</v>
      </c>
      <c r="L92" s="29" t="str">
        <f>Adaptor!K17</f>
        <v>33W*4.0PHI</v>
      </c>
      <c r="M92" s="29">
        <f>Adaptor!L17</f>
        <v>0</v>
      </c>
      <c r="N92" s="29">
        <f>Adaptor!M17</f>
        <v>0</v>
      </c>
      <c r="O92" s="29">
        <f>Adaptor!N17</f>
        <v>5500</v>
      </c>
      <c r="P92" s="29">
        <f>Adaptor!P17</f>
        <v>8000</v>
      </c>
      <c r="Q92" s="29">
        <f>Adaptor!Q17</f>
        <v>5750</v>
      </c>
      <c r="R92" s="29">
        <f>Adaptor!R17</f>
        <v>0</v>
      </c>
      <c r="S92" s="29">
        <f>Adaptor!S17</f>
        <v>0</v>
      </c>
      <c r="T92" s="29">
        <f>Adaptor!T17</f>
        <v>0</v>
      </c>
      <c r="U92" s="29">
        <f>Adaptor!U17</f>
        <v>0</v>
      </c>
      <c r="V92" s="29">
        <f>Adaptor!V17</f>
        <v>0</v>
      </c>
      <c r="W92" s="29">
        <f>Adaptor!W17</f>
        <v>0</v>
      </c>
      <c r="X92" s="29">
        <f>Adaptor!X17</f>
        <v>0</v>
      </c>
      <c r="Y92" s="29">
        <f>Adaptor!Y17</f>
        <v>0</v>
      </c>
      <c r="Z92" s="29" t="e">
        <f>Adaptor!#REF!</f>
        <v>#REF!</v>
      </c>
      <c r="AA92" s="29">
        <f>Adaptor!Z17</f>
        <v>0</v>
      </c>
      <c r="AB92" s="29">
        <f>Adaptor!AA17</f>
        <v>0</v>
      </c>
    </row>
    <row r="93" spans="3:28">
      <c r="C93" s="98" t="s">
        <v>21</v>
      </c>
      <c r="D93" s="29">
        <f>Adaptor!C18</f>
        <v>0</v>
      </c>
      <c r="E93" s="29">
        <f>Adaptor!D18</f>
        <v>0</v>
      </c>
      <c r="F93" s="29">
        <f>Adaptor!E18</f>
        <v>0</v>
      </c>
      <c r="G93" s="29" t="str">
        <f>Adaptor!F18</f>
        <v>X515JA</v>
      </c>
      <c r="H93" s="29" t="str">
        <f>Adaptor!G18</f>
        <v>Core i5-1035G1</v>
      </c>
      <c r="I93" s="29" t="str">
        <f>Adaptor!H18</f>
        <v>Imported</v>
      </c>
      <c r="J93" s="29" t="str">
        <f>Adaptor!I18</f>
        <v>ASUS</v>
      </c>
      <c r="K93" s="29" t="str">
        <f>Adaptor!J18</f>
        <v>Adapter</v>
      </c>
      <c r="L93" s="29" t="str">
        <f>Adaptor!K18</f>
        <v>45W*4.0PHI</v>
      </c>
      <c r="M93" s="29">
        <f>Adaptor!L18</f>
        <v>0</v>
      </c>
      <c r="N93" s="29" t="str">
        <f>Adaptor!M18</f>
        <v>0A001-01100800
0A001-01102000
0A001-01101200</v>
      </c>
      <c r="O93" s="29">
        <f>Adaptor!N18</f>
        <v>5500</v>
      </c>
      <c r="P93" s="29">
        <f>Adaptor!P18</f>
        <v>0</v>
      </c>
      <c r="Q93" s="29">
        <f>Adaptor!Q18</f>
        <v>0</v>
      </c>
      <c r="R93" s="29">
        <f>Adaptor!R18</f>
        <v>0</v>
      </c>
      <c r="S93" s="29">
        <f>Adaptor!S18</f>
        <v>0</v>
      </c>
      <c r="T93" s="29">
        <f>Adaptor!T18</f>
        <v>0</v>
      </c>
      <c r="U93" s="29">
        <f>Adaptor!U18</f>
        <v>0</v>
      </c>
      <c r="V93" s="29">
        <f>Adaptor!V18</f>
        <v>0</v>
      </c>
      <c r="W93" s="29">
        <f>Adaptor!W18</f>
        <v>0</v>
      </c>
      <c r="X93" s="29">
        <f>Adaptor!X18</f>
        <v>0</v>
      </c>
      <c r="Y93" s="29">
        <f>Adaptor!Y18</f>
        <v>0</v>
      </c>
      <c r="Z93" s="29" t="e">
        <f>Adaptor!#REF!</f>
        <v>#REF!</v>
      </c>
      <c r="AA93" s="29">
        <f>Adaptor!Z18</f>
        <v>5500</v>
      </c>
      <c r="AB93" s="29">
        <f>Adaptor!AA18</f>
        <v>0</v>
      </c>
    </row>
    <row r="94" spans="3:28">
      <c r="C94" s="98" t="s">
        <v>21</v>
      </c>
      <c r="D94" s="29">
        <f>Adaptor!C19</f>
        <v>0</v>
      </c>
      <c r="E94" s="29">
        <f>Adaptor!D19</f>
        <v>0</v>
      </c>
      <c r="F94" s="29">
        <f>Adaptor!E19</f>
        <v>0</v>
      </c>
      <c r="G94" s="29" t="str">
        <f>Adaptor!F19</f>
        <v>X515JA</v>
      </c>
      <c r="H94" s="29" t="str">
        <f>Adaptor!G19</f>
        <v>Core i5-1035G1</v>
      </c>
      <c r="I94" s="29" t="str">
        <f>Adaptor!H19</f>
        <v>Local</v>
      </c>
      <c r="J94" s="29" t="str">
        <f>Adaptor!I19</f>
        <v>LITEON</v>
      </c>
      <c r="K94" s="29" t="str">
        <f>Adaptor!J19</f>
        <v>Adapter</v>
      </c>
      <c r="L94" s="29" t="str">
        <f>Adaptor!K19</f>
        <v>45W</v>
      </c>
      <c r="M94" s="29">
        <f>Adaptor!L19</f>
        <v>0</v>
      </c>
      <c r="N94" s="29" t="str">
        <f>Adaptor!M19</f>
        <v>0A001-01102700</v>
      </c>
      <c r="O94" s="29">
        <f>Adaptor!N19</f>
        <v>0</v>
      </c>
      <c r="P94" s="29">
        <f>Adaptor!P19</f>
        <v>8000</v>
      </c>
      <c r="Q94" s="29">
        <f>Adaptor!Q19</f>
        <v>5750</v>
      </c>
      <c r="R94" s="29">
        <f>Adaptor!R19</f>
        <v>0</v>
      </c>
      <c r="S94" s="29">
        <f>Adaptor!S19</f>
        <v>0</v>
      </c>
      <c r="T94" s="29">
        <f>Adaptor!T19</f>
        <v>0</v>
      </c>
      <c r="U94" s="29">
        <f>Adaptor!U19</f>
        <v>0</v>
      </c>
      <c r="V94" s="29">
        <f>Adaptor!V19</f>
        <v>0</v>
      </c>
      <c r="W94" s="29">
        <f>Adaptor!W19</f>
        <v>0</v>
      </c>
      <c r="X94" s="29">
        <f>Adaptor!X19</f>
        <v>0</v>
      </c>
      <c r="Y94" s="29">
        <f>Adaptor!Y19</f>
        <v>0</v>
      </c>
      <c r="Z94" s="29" t="e">
        <f>Adaptor!#REF!</f>
        <v>#REF!</v>
      </c>
      <c r="AA94" s="29">
        <f>Adaptor!Z19</f>
        <v>17550</v>
      </c>
      <c r="AB94" s="29">
        <f>Adaptor!AA19</f>
        <v>0</v>
      </c>
    </row>
    <row r="95" spans="3:28">
      <c r="C95" s="98" t="s">
        <v>21</v>
      </c>
      <c r="D95" s="29">
        <f>Adaptor!C20</f>
        <v>0</v>
      </c>
      <c r="E95" s="29" t="str">
        <f>Adaptor!D20</f>
        <v>FCST</v>
      </c>
      <c r="F95" s="29">
        <f>Adaptor!E20</f>
        <v>2800</v>
      </c>
      <c r="G95" s="29" t="str">
        <f>Adaptor!F20</f>
        <v>X515JF</v>
      </c>
      <c r="H95" s="29" t="str">
        <f>Adaptor!G20</f>
        <v>Core i5-1035G1</v>
      </c>
      <c r="I95" s="29">
        <f>Adaptor!H20</f>
        <v>0</v>
      </c>
      <c r="J95" s="29">
        <f>Adaptor!I20</f>
        <v>0</v>
      </c>
      <c r="K95" s="29">
        <f>Adaptor!J20</f>
        <v>0</v>
      </c>
      <c r="L95" s="29" t="str">
        <f>Adaptor!K20</f>
        <v>65W*4.0PHI</v>
      </c>
      <c r="M95" s="29">
        <f>Adaptor!L20</f>
        <v>0</v>
      </c>
      <c r="N95" s="29">
        <f>Adaptor!M20</f>
        <v>0</v>
      </c>
      <c r="O95" s="29">
        <f>Adaptor!N20</f>
        <v>700</v>
      </c>
      <c r="P95" s="29">
        <f>Adaptor!P20</f>
        <v>1050</v>
      </c>
      <c r="Q95" s="29">
        <f>Adaptor!Q20</f>
        <v>0</v>
      </c>
      <c r="R95" s="29">
        <f>Adaptor!R20</f>
        <v>0</v>
      </c>
      <c r="S95" s="29">
        <f>Adaptor!S20</f>
        <v>0</v>
      </c>
      <c r="T95" s="29">
        <f>Adaptor!T20</f>
        <v>0</v>
      </c>
      <c r="U95" s="29">
        <f>Adaptor!U20</f>
        <v>0</v>
      </c>
      <c r="V95" s="29">
        <f>Adaptor!V20</f>
        <v>0</v>
      </c>
      <c r="W95" s="29">
        <f>Adaptor!W20</f>
        <v>0</v>
      </c>
      <c r="X95" s="29">
        <f>Adaptor!X20</f>
        <v>0</v>
      </c>
      <c r="Y95" s="29">
        <f>Adaptor!Y20</f>
        <v>0</v>
      </c>
      <c r="Z95" s="29" t="e">
        <f>Adaptor!#REF!</f>
        <v>#REF!</v>
      </c>
      <c r="AA95" s="29">
        <f>Adaptor!Z20</f>
        <v>0</v>
      </c>
      <c r="AB95" s="29">
        <f>Adaptor!AA20</f>
        <v>0</v>
      </c>
    </row>
    <row r="96" spans="3:28">
      <c r="C96" s="98" t="s">
        <v>21</v>
      </c>
      <c r="D96" s="29">
        <f>Adaptor!C21</f>
        <v>0</v>
      </c>
      <c r="E96" s="29">
        <f>Adaptor!D21</f>
        <v>0</v>
      </c>
      <c r="F96" s="29">
        <f>Adaptor!E21</f>
        <v>0</v>
      </c>
      <c r="G96" s="29" t="str">
        <f>Adaptor!F21</f>
        <v>X515JF</v>
      </c>
      <c r="H96" s="29" t="str">
        <f>Adaptor!G21</f>
        <v>Core i5-1035G1</v>
      </c>
      <c r="I96" s="29" t="str">
        <f>Adaptor!H21</f>
        <v>Imported</v>
      </c>
      <c r="J96" s="29" t="str">
        <f>Adaptor!I21</f>
        <v>ASUS</v>
      </c>
      <c r="K96" s="29" t="str">
        <f>Adaptor!J21</f>
        <v>Adapter</v>
      </c>
      <c r="L96" s="29" t="str">
        <f>Adaptor!K21</f>
        <v>65W*4.0PHI</v>
      </c>
      <c r="M96" s="29">
        <f>Adaptor!L21</f>
        <v>0</v>
      </c>
      <c r="N96" s="29" t="str">
        <f>Adaptor!M21</f>
        <v>0A001-00895100
0A001-00897500</v>
      </c>
      <c r="O96" s="29">
        <f>Adaptor!N21</f>
        <v>700</v>
      </c>
      <c r="P96" s="29">
        <f>Adaptor!P21</f>
        <v>1050</v>
      </c>
      <c r="Q96" s="29">
        <f>Adaptor!Q21</f>
        <v>0</v>
      </c>
      <c r="R96" s="29">
        <f>Adaptor!R21</f>
        <v>0</v>
      </c>
      <c r="S96" s="29">
        <f>Adaptor!S21</f>
        <v>0</v>
      </c>
      <c r="T96" s="29">
        <f>Adaptor!T21</f>
        <v>0</v>
      </c>
      <c r="U96" s="29">
        <f>Adaptor!U21</f>
        <v>0</v>
      </c>
      <c r="V96" s="29">
        <f>Adaptor!V21</f>
        <v>0</v>
      </c>
      <c r="W96" s="29">
        <f>Adaptor!W21</f>
        <v>0</v>
      </c>
      <c r="X96" s="29">
        <f>Adaptor!X21</f>
        <v>0</v>
      </c>
      <c r="Y96" s="29">
        <f>Adaptor!Y21</f>
        <v>0</v>
      </c>
      <c r="Z96" s="29" t="e">
        <f>Adaptor!#REF!</f>
        <v>#REF!</v>
      </c>
      <c r="AA96" s="29">
        <f>Adaptor!Z21</f>
        <v>2800</v>
      </c>
      <c r="AB96" s="29">
        <f>Adaptor!AA21</f>
        <v>0</v>
      </c>
    </row>
    <row r="97" spans="3:28">
      <c r="C97" s="98" t="s">
        <v>21</v>
      </c>
      <c r="D97" s="29">
        <f>Adaptor!C22</f>
        <v>0</v>
      </c>
      <c r="E97" s="29">
        <f>Adaptor!D22</f>
        <v>0</v>
      </c>
      <c r="F97" s="29">
        <f>Adaptor!E22</f>
        <v>0</v>
      </c>
      <c r="G97" s="29" t="str">
        <f>Adaptor!F22</f>
        <v>X515JF</v>
      </c>
      <c r="H97" s="29" t="str">
        <f>Adaptor!G22</f>
        <v>Core i5-1035G1</v>
      </c>
      <c r="I97" s="29" t="str">
        <f>Adaptor!H22</f>
        <v>Local</v>
      </c>
      <c r="J97" s="29" t="str">
        <f>Adaptor!I22</f>
        <v>TBD</v>
      </c>
      <c r="K97" s="29" t="str">
        <f>Adaptor!J22</f>
        <v>Adapter</v>
      </c>
      <c r="L97" s="29" t="str">
        <f>Adaptor!K22</f>
        <v>65W*4.0PHI</v>
      </c>
      <c r="M97" s="29">
        <f>Adaptor!L22</f>
        <v>0</v>
      </c>
      <c r="N97" s="29">
        <f>Adaptor!M22</f>
        <v>0</v>
      </c>
      <c r="O97" s="29">
        <f>Adaptor!N22</f>
        <v>0</v>
      </c>
      <c r="P97" s="29">
        <f>Adaptor!P22</f>
        <v>0</v>
      </c>
      <c r="Q97" s="29">
        <f>Adaptor!Q22</f>
        <v>0</v>
      </c>
      <c r="R97" s="29">
        <f>Adaptor!R22</f>
        <v>0</v>
      </c>
      <c r="S97" s="29">
        <f>Adaptor!S22</f>
        <v>0</v>
      </c>
      <c r="T97" s="29">
        <f>Adaptor!T22</f>
        <v>0</v>
      </c>
      <c r="U97" s="29">
        <f>Adaptor!U22</f>
        <v>0</v>
      </c>
      <c r="V97" s="29">
        <f>Adaptor!V22</f>
        <v>0</v>
      </c>
      <c r="W97" s="29">
        <f>Adaptor!W22</f>
        <v>0</v>
      </c>
      <c r="X97" s="29">
        <f>Adaptor!X22</f>
        <v>0</v>
      </c>
      <c r="Y97" s="29">
        <f>Adaptor!Y22</f>
        <v>0</v>
      </c>
      <c r="Z97" s="29" t="e">
        <f>Adaptor!#REF!</f>
        <v>#REF!</v>
      </c>
      <c r="AA97" s="29">
        <f>Adaptor!Z22</f>
        <v>0</v>
      </c>
      <c r="AB97" s="29">
        <f>Adaptor!AA22</f>
        <v>0</v>
      </c>
    </row>
    <row r="98" spans="3:28">
      <c r="C98" s="98" t="s">
        <v>21</v>
      </c>
      <c r="D98" s="29">
        <f>Adaptor!C23</f>
        <v>0</v>
      </c>
      <c r="E98" s="29" t="str">
        <f>Adaptor!D23</f>
        <v>FCST</v>
      </c>
      <c r="F98" s="29">
        <f>Adaptor!E23</f>
        <v>0</v>
      </c>
      <c r="G98" s="29" t="str">
        <f>Adaptor!F23</f>
        <v>X515EA</v>
      </c>
      <c r="H98" s="29" t="str">
        <f>Adaptor!G23</f>
        <v>Core I3-1115G4</v>
      </c>
      <c r="I98" s="29">
        <f>Adaptor!H23</f>
        <v>0</v>
      </c>
      <c r="J98" s="29">
        <f>Adaptor!I23</f>
        <v>0</v>
      </c>
      <c r="K98" s="29">
        <f>Adaptor!J23</f>
        <v>0</v>
      </c>
      <c r="L98" s="29" t="str">
        <f>Adaptor!K23</f>
        <v>33W*4.0PHI</v>
      </c>
      <c r="M98" s="29">
        <f>Adaptor!L23</f>
        <v>0</v>
      </c>
      <c r="N98" s="29">
        <f>Adaptor!M23</f>
        <v>0</v>
      </c>
      <c r="O98" s="29">
        <f>Adaptor!N23</f>
        <v>0</v>
      </c>
      <c r="P98" s="29">
        <f>Adaptor!P23</f>
        <v>0</v>
      </c>
      <c r="Q98" s="29">
        <f>Adaptor!Q23</f>
        <v>0</v>
      </c>
      <c r="R98" s="29">
        <f>Adaptor!R23</f>
        <v>0</v>
      </c>
      <c r="S98" s="29">
        <f>Adaptor!S23</f>
        <v>0</v>
      </c>
      <c r="T98" s="29">
        <f>Adaptor!T23</f>
        <v>0</v>
      </c>
      <c r="U98" s="29">
        <f>Adaptor!U23</f>
        <v>0</v>
      </c>
      <c r="V98" s="29">
        <f>Adaptor!V23</f>
        <v>0</v>
      </c>
      <c r="W98" s="29">
        <f>Adaptor!W23</f>
        <v>0</v>
      </c>
      <c r="X98" s="29">
        <f>Adaptor!X23</f>
        <v>0</v>
      </c>
      <c r="Y98" s="29">
        <f>Adaptor!Y23</f>
        <v>0</v>
      </c>
      <c r="Z98" s="29" t="e">
        <f>Adaptor!#REF!</f>
        <v>#REF!</v>
      </c>
      <c r="AA98" s="29">
        <f>Adaptor!Z23</f>
        <v>0</v>
      </c>
      <c r="AB98" s="29">
        <f>Adaptor!AA23</f>
        <v>0</v>
      </c>
    </row>
    <row r="99" spans="3:28">
      <c r="C99" s="98" t="s">
        <v>21</v>
      </c>
      <c r="D99" s="29">
        <f>Adaptor!C24</f>
        <v>0</v>
      </c>
      <c r="E99" s="29">
        <f>Adaptor!D24</f>
        <v>0</v>
      </c>
      <c r="F99" s="29">
        <f>Adaptor!E24</f>
        <v>0</v>
      </c>
      <c r="G99" s="29" t="str">
        <f>Adaptor!F24</f>
        <v>X515EA</v>
      </c>
      <c r="H99" s="29" t="str">
        <f>Adaptor!G24</f>
        <v>Core I3-1115G4</v>
      </c>
      <c r="I99" s="29" t="str">
        <f>Adaptor!H24</f>
        <v>Imported</v>
      </c>
      <c r="J99" s="29" t="str">
        <f>Adaptor!I24</f>
        <v>ASUS</v>
      </c>
      <c r="K99" s="29" t="str">
        <f>Adaptor!J24</f>
        <v>Adapter</v>
      </c>
      <c r="L99" s="29" t="str">
        <f>Adaptor!K24</f>
        <v>45W*4.0PHI</v>
      </c>
      <c r="M99" s="29">
        <f>Adaptor!L24</f>
        <v>0</v>
      </c>
      <c r="N99" s="29" t="str">
        <f>Adaptor!M24</f>
        <v>0A001-01100800
0A001-01102000
0A001-01101200</v>
      </c>
      <c r="O99" s="29">
        <f>Adaptor!N24</f>
        <v>0</v>
      </c>
      <c r="P99" s="29">
        <f>Adaptor!P24</f>
        <v>0</v>
      </c>
      <c r="Q99" s="29">
        <f>Adaptor!Q24</f>
        <v>0</v>
      </c>
      <c r="R99" s="29">
        <f>Adaptor!R24</f>
        <v>0</v>
      </c>
      <c r="S99" s="29">
        <f>Adaptor!S24</f>
        <v>0</v>
      </c>
      <c r="T99" s="29">
        <f>Adaptor!T24</f>
        <v>0</v>
      </c>
      <c r="U99" s="29">
        <f>Adaptor!U24</f>
        <v>0</v>
      </c>
      <c r="V99" s="29">
        <f>Adaptor!V24</f>
        <v>0</v>
      </c>
      <c r="W99" s="29">
        <f>Adaptor!W24</f>
        <v>0</v>
      </c>
      <c r="X99" s="29">
        <f>Adaptor!X24</f>
        <v>0</v>
      </c>
      <c r="Y99" s="29">
        <f>Adaptor!Y24</f>
        <v>0</v>
      </c>
      <c r="Z99" s="29" t="e">
        <f>Adaptor!#REF!</f>
        <v>#REF!</v>
      </c>
      <c r="AA99" s="29">
        <f>Adaptor!Z24</f>
        <v>0</v>
      </c>
      <c r="AB99" s="29">
        <f>Adaptor!AA24</f>
        <v>0</v>
      </c>
    </row>
    <row r="100" spans="3:28">
      <c r="C100" s="98" t="s">
        <v>21</v>
      </c>
      <c r="D100" s="29">
        <f>Adaptor!C25</f>
        <v>0</v>
      </c>
      <c r="E100" s="29">
        <f>Adaptor!D25</f>
        <v>0</v>
      </c>
      <c r="F100" s="29">
        <f>Adaptor!E25</f>
        <v>0</v>
      </c>
      <c r="G100" s="29" t="str">
        <f>Adaptor!F25</f>
        <v>X515EA</v>
      </c>
      <c r="H100" s="29" t="str">
        <f>Adaptor!G25</f>
        <v>Core I3-1115G4</v>
      </c>
      <c r="I100" s="29" t="str">
        <f>Adaptor!H25</f>
        <v>Local</v>
      </c>
      <c r="J100" s="29" t="str">
        <f>Adaptor!I25</f>
        <v>TBD</v>
      </c>
      <c r="K100" s="29" t="str">
        <f>Adaptor!J25</f>
        <v>Adapter</v>
      </c>
      <c r="L100" s="29" t="str">
        <f>Adaptor!K25</f>
        <v>45W*4.0PHI</v>
      </c>
      <c r="M100" s="29">
        <f>Adaptor!L25</f>
        <v>0</v>
      </c>
      <c r="N100" s="29">
        <f>Adaptor!M25</f>
        <v>0</v>
      </c>
      <c r="O100" s="29">
        <f>Adaptor!N25</f>
        <v>0</v>
      </c>
      <c r="P100" s="29">
        <f>Adaptor!P25</f>
        <v>0</v>
      </c>
      <c r="Q100" s="29">
        <f>Adaptor!Q25</f>
        <v>0</v>
      </c>
      <c r="R100" s="29">
        <f>Adaptor!R25</f>
        <v>0</v>
      </c>
      <c r="S100" s="29">
        <f>Adaptor!S25</f>
        <v>0</v>
      </c>
      <c r="T100" s="29">
        <f>Adaptor!T25</f>
        <v>0</v>
      </c>
      <c r="U100" s="29">
        <f>Adaptor!U25</f>
        <v>0</v>
      </c>
      <c r="V100" s="29">
        <f>Adaptor!V25</f>
        <v>0</v>
      </c>
      <c r="W100" s="29">
        <f>Adaptor!W25</f>
        <v>0</v>
      </c>
      <c r="X100" s="29">
        <f>Adaptor!X25</f>
        <v>0</v>
      </c>
      <c r="Y100" s="29">
        <f>Adaptor!Y25</f>
        <v>0</v>
      </c>
      <c r="Z100" s="29" t="e">
        <f>Adaptor!#REF!</f>
        <v>#REF!</v>
      </c>
      <c r="AA100" s="29">
        <f>Adaptor!Z25</f>
        <v>0</v>
      </c>
      <c r="AB100" s="29">
        <f>Adaptor!AA25</f>
        <v>0</v>
      </c>
    </row>
    <row r="101" spans="3:28">
      <c r="C101" s="98" t="s">
        <v>21</v>
      </c>
      <c r="D101" s="29">
        <f>Adaptor!C26</f>
        <v>0</v>
      </c>
      <c r="E101" s="29" t="str">
        <f>Adaptor!D26</f>
        <v>FCST</v>
      </c>
      <c r="F101" s="29">
        <f>Adaptor!E26</f>
        <v>14100</v>
      </c>
      <c r="G101" s="29" t="str">
        <f>Adaptor!F26</f>
        <v>X515MA</v>
      </c>
      <c r="H101" s="29" t="str">
        <f>Adaptor!G26</f>
        <v>Celeron N4020</v>
      </c>
      <c r="I101" s="29">
        <f>Adaptor!H26</f>
        <v>0</v>
      </c>
      <c r="J101" s="29">
        <f>Adaptor!I26</f>
        <v>0</v>
      </c>
      <c r="K101" s="29">
        <f>Adaptor!J26</f>
        <v>0</v>
      </c>
      <c r="L101" s="29" t="str">
        <f>Adaptor!K26</f>
        <v>33W*4.0PHI</v>
      </c>
      <c r="M101" s="29">
        <f>Adaptor!L26</f>
        <v>0</v>
      </c>
      <c r="N101" s="29">
        <f>Adaptor!M26</f>
        <v>0</v>
      </c>
      <c r="O101" s="29">
        <f>Adaptor!N26</f>
        <v>4000</v>
      </c>
      <c r="P101" s="29">
        <f>Adaptor!P26</f>
        <v>0</v>
      </c>
      <c r="Q101" s="29">
        <f>Adaptor!Q26</f>
        <v>0</v>
      </c>
      <c r="R101" s="29">
        <f>Adaptor!R26</f>
        <v>0</v>
      </c>
      <c r="S101" s="29">
        <f>Adaptor!S26</f>
        <v>0</v>
      </c>
      <c r="T101" s="29">
        <f>Adaptor!T26</f>
        <v>2000</v>
      </c>
      <c r="U101" s="29">
        <f>Adaptor!U26</f>
        <v>2000</v>
      </c>
      <c r="V101" s="29">
        <f>Adaptor!V26</f>
        <v>1000</v>
      </c>
      <c r="W101" s="29">
        <f>Adaptor!W26</f>
        <v>0</v>
      </c>
      <c r="X101" s="29">
        <f>Adaptor!X26</f>
        <v>0</v>
      </c>
      <c r="Y101" s="29">
        <f>Adaptor!Y26</f>
        <v>0</v>
      </c>
      <c r="Z101" s="29" t="e">
        <f>Adaptor!#REF!</f>
        <v>#REF!</v>
      </c>
      <c r="AA101" s="29">
        <f>Adaptor!Z26</f>
        <v>0</v>
      </c>
      <c r="AB101" s="29">
        <f>Adaptor!AA26</f>
        <v>0</v>
      </c>
    </row>
    <row r="102" spans="3:28">
      <c r="C102" s="98" t="s">
        <v>21</v>
      </c>
      <c r="D102" s="29">
        <f>Adaptor!C27</f>
        <v>0</v>
      </c>
      <c r="E102" s="29">
        <f>Adaptor!D27</f>
        <v>0</v>
      </c>
      <c r="F102" s="29">
        <f>Adaptor!E27</f>
        <v>0</v>
      </c>
      <c r="G102" s="29" t="str">
        <f>Adaptor!F27</f>
        <v>X515MA</v>
      </c>
      <c r="H102" s="29" t="str">
        <f>Adaptor!G27</f>
        <v>Celeron N4020</v>
      </c>
      <c r="I102" s="29" t="str">
        <f>Adaptor!H27</f>
        <v>Imported</v>
      </c>
      <c r="J102" s="29" t="str">
        <f>Adaptor!I27</f>
        <v>ASUS</v>
      </c>
      <c r="K102" s="29" t="str">
        <f>Adaptor!J27</f>
        <v>Adapter</v>
      </c>
      <c r="L102" s="29" t="str">
        <f>Adaptor!K27</f>
        <v>33W*4.0PHI</v>
      </c>
      <c r="M102" s="29">
        <f>Adaptor!L27</f>
        <v>0</v>
      </c>
      <c r="N102" s="29" t="str">
        <f>Adaptor!M27</f>
        <v>0A001-00772100
0A001-00773000</v>
      </c>
      <c r="O102" s="29">
        <f>Adaptor!N27</f>
        <v>4000</v>
      </c>
      <c r="P102" s="29">
        <f>Adaptor!P27</f>
        <v>0</v>
      </c>
      <c r="Q102" s="29">
        <f>Adaptor!Q27</f>
        <v>0</v>
      </c>
      <c r="R102" s="29">
        <f>Adaptor!R27</f>
        <v>0</v>
      </c>
      <c r="S102" s="29">
        <f>Adaptor!S27</f>
        <v>0</v>
      </c>
      <c r="T102" s="29">
        <f>Adaptor!T27</f>
        <v>2000</v>
      </c>
      <c r="U102" s="29">
        <f>Adaptor!U27</f>
        <v>2000</v>
      </c>
      <c r="V102" s="29">
        <f>Adaptor!V27</f>
        <v>1000</v>
      </c>
      <c r="W102" s="29">
        <f>Adaptor!W27</f>
        <v>0</v>
      </c>
      <c r="X102" s="29">
        <f>Adaptor!X27</f>
        <v>0</v>
      </c>
      <c r="Y102" s="29">
        <f>Adaptor!Y27</f>
        <v>0</v>
      </c>
      <c r="Z102" s="29" t="e">
        <f>Adaptor!#REF!</f>
        <v>#REF!</v>
      </c>
      <c r="AA102" s="29">
        <f>Adaptor!Z27</f>
        <v>14100</v>
      </c>
      <c r="AB102" s="29">
        <f>Adaptor!AA27</f>
        <v>0</v>
      </c>
    </row>
    <row r="103" spans="3:28">
      <c r="C103" s="98" t="s">
        <v>21</v>
      </c>
      <c r="D103" s="29">
        <f>Adaptor!C28</f>
        <v>0</v>
      </c>
      <c r="E103" s="29">
        <f>Adaptor!D28</f>
        <v>0</v>
      </c>
      <c r="F103" s="29">
        <f>Adaptor!E28</f>
        <v>0</v>
      </c>
      <c r="G103" s="29" t="str">
        <f>Adaptor!F28</f>
        <v>X515MA</v>
      </c>
      <c r="H103" s="29" t="str">
        <f>Adaptor!G28</f>
        <v>Celeron N4020</v>
      </c>
      <c r="I103" s="29" t="str">
        <f>Adaptor!H28</f>
        <v>Local</v>
      </c>
      <c r="J103" s="29" t="str">
        <f>Adaptor!I28</f>
        <v>TBD</v>
      </c>
      <c r="K103" s="29" t="str">
        <f>Adaptor!J28</f>
        <v>Adapter</v>
      </c>
      <c r="L103" s="29" t="str">
        <f>Adaptor!K28</f>
        <v>45W</v>
      </c>
      <c r="M103" s="29">
        <f>Adaptor!L28</f>
        <v>0</v>
      </c>
      <c r="N103" s="29">
        <f>Adaptor!M28</f>
        <v>0</v>
      </c>
      <c r="O103" s="29">
        <f>Adaptor!N28</f>
        <v>0</v>
      </c>
      <c r="P103" s="29">
        <f>Adaptor!P28</f>
        <v>0</v>
      </c>
      <c r="Q103" s="29">
        <f>Adaptor!Q28</f>
        <v>0</v>
      </c>
      <c r="R103" s="29">
        <f>Adaptor!R28</f>
        <v>0</v>
      </c>
      <c r="S103" s="29">
        <f>Adaptor!S28</f>
        <v>0</v>
      </c>
      <c r="T103" s="29">
        <f>Adaptor!T28</f>
        <v>0</v>
      </c>
      <c r="U103" s="29">
        <f>Adaptor!U28</f>
        <v>0</v>
      </c>
      <c r="V103" s="29">
        <f>Adaptor!V28</f>
        <v>0</v>
      </c>
      <c r="W103" s="29">
        <f>Adaptor!W28</f>
        <v>0</v>
      </c>
      <c r="X103" s="29">
        <f>Adaptor!X28</f>
        <v>0</v>
      </c>
      <c r="Y103" s="29">
        <f>Adaptor!Y28</f>
        <v>0</v>
      </c>
      <c r="Z103" s="29" t="e">
        <f>Adaptor!#REF!</f>
        <v>#REF!</v>
      </c>
      <c r="AA103" s="29">
        <f>Adaptor!Z28</f>
        <v>0</v>
      </c>
      <c r="AB103" s="29">
        <f>Adaptor!AA28</f>
        <v>0</v>
      </c>
    </row>
    <row r="104" spans="3:28">
      <c r="C104" s="98" t="s">
        <v>21</v>
      </c>
      <c r="D104" s="29">
        <f>Adaptor!C29</f>
        <v>0</v>
      </c>
      <c r="E104" s="29" t="str">
        <f>Adaptor!D29</f>
        <v>FCST</v>
      </c>
      <c r="F104" s="29">
        <f>Adaptor!E29</f>
        <v>17000</v>
      </c>
      <c r="G104" s="29" t="str">
        <f>Adaptor!F29</f>
        <v>M515DA</v>
      </c>
      <c r="H104" s="29" t="str">
        <f>Adaptor!G29</f>
        <v>Ryzen 5 3500U</v>
      </c>
      <c r="I104" s="29">
        <f>Adaptor!H29</f>
        <v>0</v>
      </c>
      <c r="J104" s="29">
        <f>Adaptor!I29</f>
        <v>0</v>
      </c>
      <c r="K104" s="29">
        <f>Adaptor!J29</f>
        <v>0</v>
      </c>
      <c r="L104" s="29" t="str">
        <f>Adaptor!K29</f>
        <v>45W*4.0PHI</v>
      </c>
      <c r="M104" s="29">
        <f>Adaptor!L29</f>
        <v>0</v>
      </c>
      <c r="N104" s="29">
        <f>Adaptor!M29</f>
        <v>0</v>
      </c>
      <c r="O104" s="29">
        <f>Adaptor!N29</f>
        <v>1500</v>
      </c>
      <c r="P104" s="29">
        <f>Adaptor!P29</f>
        <v>4000</v>
      </c>
      <c r="Q104" s="29">
        <f>Adaptor!Q29</f>
        <v>4000</v>
      </c>
      <c r="R104" s="29">
        <f>Adaptor!R29</f>
        <v>3800</v>
      </c>
      <c r="S104" s="29">
        <f>Adaptor!S29</f>
        <v>0</v>
      </c>
      <c r="T104" s="29">
        <f>Adaptor!T29</f>
        <v>0</v>
      </c>
      <c r="U104" s="29">
        <f>Adaptor!U29</f>
        <v>0</v>
      </c>
      <c r="V104" s="29">
        <f>Adaptor!V29</f>
        <v>0</v>
      </c>
      <c r="W104" s="29">
        <f>Adaptor!W29</f>
        <v>0</v>
      </c>
      <c r="X104" s="29">
        <f>Adaptor!X29</f>
        <v>0</v>
      </c>
      <c r="Y104" s="29">
        <f>Adaptor!Y29</f>
        <v>0</v>
      </c>
      <c r="Z104" s="29" t="e">
        <f>Adaptor!#REF!</f>
        <v>#REF!</v>
      </c>
      <c r="AA104" s="29">
        <f>Adaptor!Z29</f>
        <v>0</v>
      </c>
      <c r="AB104" s="29">
        <f>Adaptor!AA29</f>
        <v>0</v>
      </c>
    </row>
    <row r="105" spans="3:28">
      <c r="C105" s="98" t="s">
        <v>21</v>
      </c>
      <c r="D105" s="29">
        <f>Adaptor!C30</f>
        <v>0</v>
      </c>
      <c r="E105" s="29">
        <f>Adaptor!D30</f>
        <v>0</v>
      </c>
      <c r="F105" s="29">
        <f>Adaptor!E30</f>
        <v>0</v>
      </c>
      <c r="G105" s="29" t="str">
        <f>Adaptor!F30</f>
        <v>M515DA</v>
      </c>
      <c r="H105" s="29" t="str">
        <f>Adaptor!G30</f>
        <v>Ryzen 5 3500U</v>
      </c>
      <c r="I105" s="29" t="str">
        <f>Adaptor!H30</f>
        <v>Imported</v>
      </c>
      <c r="J105" s="29" t="str">
        <f>Adaptor!I30</f>
        <v>ASUS</v>
      </c>
      <c r="K105" s="29" t="str">
        <f>Adaptor!J30</f>
        <v>Adapter</v>
      </c>
      <c r="L105" s="29" t="str">
        <f>Adaptor!K30</f>
        <v>45W*4.0PHI</v>
      </c>
      <c r="M105" s="29">
        <f>Adaptor!L30</f>
        <v>0</v>
      </c>
      <c r="N105" s="29" t="str">
        <f>Adaptor!M30</f>
        <v>0A001-01100800
0A001-01102000
0A001-01101200</v>
      </c>
      <c r="O105" s="29">
        <f>Adaptor!N30</f>
        <v>1500</v>
      </c>
      <c r="P105" s="29">
        <f>Adaptor!P30</f>
        <v>4000</v>
      </c>
      <c r="Q105" s="29">
        <f>Adaptor!Q30</f>
        <v>4000</v>
      </c>
      <c r="R105" s="29">
        <f>Adaptor!R30</f>
        <v>3800</v>
      </c>
      <c r="S105" s="29">
        <f>Adaptor!S30</f>
        <v>0</v>
      </c>
      <c r="T105" s="29">
        <f>Adaptor!T30</f>
        <v>0</v>
      </c>
      <c r="U105" s="29">
        <f>Adaptor!U30</f>
        <v>0</v>
      </c>
      <c r="V105" s="29">
        <f>Adaptor!V30</f>
        <v>0</v>
      </c>
      <c r="W105" s="29">
        <f>Adaptor!W30</f>
        <v>0</v>
      </c>
      <c r="X105" s="29">
        <f>Adaptor!X30</f>
        <v>0</v>
      </c>
      <c r="Y105" s="29">
        <f>Adaptor!Y30</f>
        <v>0</v>
      </c>
      <c r="Z105" s="29" t="e">
        <f>Adaptor!#REF!</f>
        <v>#REF!</v>
      </c>
      <c r="AA105" s="29">
        <f>Adaptor!Z30</f>
        <v>17000</v>
      </c>
      <c r="AB105" s="29">
        <f>Adaptor!AA30</f>
        <v>0</v>
      </c>
    </row>
    <row r="106" spans="3:28">
      <c r="C106" s="98" t="s">
        <v>21</v>
      </c>
      <c r="D106" s="29">
        <f>Adaptor!C31</f>
        <v>0</v>
      </c>
      <c r="E106" s="29">
        <f>Adaptor!D31</f>
        <v>0</v>
      </c>
      <c r="F106" s="29">
        <f>Adaptor!E31</f>
        <v>0</v>
      </c>
      <c r="G106" s="29" t="str">
        <f>Adaptor!F31</f>
        <v>M515DA</v>
      </c>
      <c r="H106" s="29" t="str">
        <f>Adaptor!G31</f>
        <v>Ryzen 5 3500U</v>
      </c>
      <c r="I106" s="29" t="str">
        <f>Adaptor!H31</f>
        <v>Local</v>
      </c>
      <c r="J106" s="29" t="str">
        <f>Adaptor!I31</f>
        <v>TBD</v>
      </c>
      <c r="K106" s="29" t="str">
        <f>Adaptor!J31</f>
        <v>Adapter</v>
      </c>
      <c r="L106" s="29" t="str">
        <f>Adaptor!K31</f>
        <v>45W*4.0PHI</v>
      </c>
      <c r="M106" s="29">
        <f>Adaptor!L31</f>
        <v>0</v>
      </c>
      <c r="N106" s="29">
        <f>Adaptor!M31</f>
        <v>0</v>
      </c>
      <c r="O106" s="29">
        <f>Adaptor!N31</f>
        <v>0</v>
      </c>
      <c r="P106" s="29">
        <f>Adaptor!P31</f>
        <v>0</v>
      </c>
      <c r="Q106" s="29">
        <f>Adaptor!Q31</f>
        <v>0</v>
      </c>
      <c r="R106" s="29">
        <f>Adaptor!R31</f>
        <v>0</v>
      </c>
      <c r="S106" s="29">
        <f>Adaptor!S31</f>
        <v>0</v>
      </c>
      <c r="T106" s="29">
        <f>Adaptor!T31</f>
        <v>0</v>
      </c>
      <c r="U106" s="29">
        <f>Adaptor!U31</f>
        <v>0</v>
      </c>
      <c r="V106" s="29">
        <f>Adaptor!V31</f>
        <v>0</v>
      </c>
      <c r="W106" s="29">
        <f>Adaptor!W31</f>
        <v>0</v>
      </c>
      <c r="X106" s="29">
        <f>Adaptor!X31</f>
        <v>0</v>
      </c>
      <c r="Y106" s="29">
        <f>Adaptor!Y31</f>
        <v>0</v>
      </c>
      <c r="Z106" s="29" t="e">
        <f>Adaptor!#REF!</f>
        <v>#REF!</v>
      </c>
      <c r="AA106" s="29">
        <f>Adaptor!Z31</f>
        <v>0</v>
      </c>
      <c r="AB106" s="29">
        <f>Adaptor!AA31</f>
        <v>0</v>
      </c>
    </row>
    <row r="107" spans="3:28">
      <c r="C107" s="98" t="s">
        <v>21</v>
      </c>
      <c r="D107" s="29" t="e">
        <f>Adaptor!#REF!</f>
        <v>#REF!</v>
      </c>
      <c r="E107" s="29" t="e">
        <f>Adaptor!#REF!</f>
        <v>#REF!</v>
      </c>
      <c r="F107" s="29" t="e">
        <f>Adaptor!#REF!</f>
        <v>#REF!</v>
      </c>
      <c r="G107" s="29" t="e">
        <f>Adaptor!#REF!</f>
        <v>#REF!</v>
      </c>
      <c r="H107" s="29" t="e">
        <f>Adaptor!#REF!</f>
        <v>#REF!</v>
      </c>
      <c r="I107" s="29" t="e">
        <f>Adaptor!#REF!</f>
        <v>#REF!</v>
      </c>
      <c r="J107" s="29" t="e">
        <f>Adaptor!#REF!</f>
        <v>#REF!</v>
      </c>
      <c r="K107" s="29" t="e">
        <f>Adaptor!#REF!</f>
        <v>#REF!</v>
      </c>
      <c r="L107" s="29" t="e">
        <f>Adaptor!#REF!</f>
        <v>#REF!</v>
      </c>
      <c r="M107" s="29" t="e">
        <f>Adaptor!#REF!</f>
        <v>#REF!</v>
      </c>
      <c r="N107" s="29" t="e">
        <f>Adaptor!#REF!</f>
        <v>#REF!</v>
      </c>
      <c r="O107" s="29" t="e">
        <f>Adaptor!#REF!</f>
        <v>#REF!</v>
      </c>
      <c r="P107" s="29" t="e">
        <f>Adaptor!#REF!</f>
        <v>#REF!</v>
      </c>
      <c r="Q107" s="29" t="e">
        <f>Adaptor!#REF!</f>
        <v>#REF!</v>
      </c>
      <c r="R107" s="29" t="e">
        <f>Adaptor!#REF!</f>
        <v>#REF!</v>
      </c>
      <c r="S107" s="29" t="e">
        <f>Adaptor!#REF!</f>
        <v>#REF!</v>
      </c>
      <c r="T107" s="29" t="e">
        <f>Adaptor!#REF!</f>
        <v>#REF!</v>
      </c>
      <c r="U107" s="29" t="e">
        <f>Adaptor!#REF!</f>
        <v>#REF!</v>
      </c>
      <c r="V107" s="29" t="e">
        <f>Adaptor!#REF!</f>
        <v>#REF!</v>
      </c>
      <c r="W107" s="29" t="e">
        <f>Adaptor!#REF!</f>
        <v>#REF!</v>
      </c>
      <c r="X107" s="29" t="e">
        <f>Adaptor!#REF!</f>
        <v>#REF!</v>
      </c>
      <c r="Y107" s="29" t="e">
        <f>Adaptor!#REF!</f>
        <v>#REF!</v>
      </c>
      <c r="Z107" s="29" t="e">
        <f>Adaptor!#REF!</f>
        <v>#REF!</v>
      </c>
      <c r="AA107" s="29" t="e">
        <f>Adaptor!#REF!</f>
        <v>#REF!</v>
      </c>
      <c r="AB107" s="29" t="e">
        <f>Adaptor!#REF!</f>
        <v>#REF!</v>
      </c>
    </row>
    <row r="108" spans="3:28">
      <c r="C108" s="98" t="s">
        <v>21</v>
      </c>
      <c r="D108" s="29" t="e">
        <f>Adaptor!#REF!</f>
        <v>#REF!</v>
      </c>
      <c r="E108" s="29" t="e">
        <f>Adaptor!#REF!</f>
        <v>#REF!</v>
      </c>
      <c r="F108" s="29" t="e">
        <f>Adaptor!#REF!</f>
        <v>#REF!</v>
      </c>
      <c r="G108" s="29" t="e">
        <f>Adaptor!#REF!</f>
        <v>#REF!</v>
      </c>
      <c r="H108" s="29" t="e">
        <f>Adaptor!#REF!</f>
        <v>#REF!</v>
      </c>
      <c r="I108" s="29" t="e">
        <f>Adaptor!#REF!</f>
        <v>#REF!</v>
      </c>
      <c r="J108" s="29" t="e">
        <f>Adaptor!#REF!</f>
        <v>#REF!</v>
      </c>
      <c r="K108" s="29" t="e">
        <f>Adaptor!#REF!</f>
        <v>#REF!</v>
      </c>
      <c r="L108" s="29" t="e">
        <f>Adaptor!#REF!</f>
        <v>#REF!</v>
      </c>
      <c r="M108" s="29" t="e">
        <f>Adaptor!#REF!</f>
        <v>#REF!</v>
      </c>
      <c r="N108" s="29" t="e">
        <f>Adaptor!#REF!</f>
        <v>#REF!</v>
      </c>
      <c r="O108" s="29" t="e">
        <f>Adaptor!#REF!</f>
        <v>#REF!</v>
      </c>
      <c r="P108" s="29" t="e">
        <f>Adaptor!#REF!</f>
        <v>#REF!</v>
      </c>
      <c r="Q108" s="29" t="e">
        <f>Adaptor!#REF!</f>
        <v>#REF!</v>
      </c>
      <c r="R108" s="29" t="e">
        <f>Adaptor!#REF!</f>
        <v>#REF!</v>
      </c>
      <c r="S108" s="29" t="e">
        <f>Adaptor!#REF!</f>
        <v>#REF!</v>
      </c>
      <c r="T108" s="29" t="e">
        <f>Adaptor!#REF!</f>
        <v>#REF!</v>
      </c>
      <c r="U108" s="29" t="e">
        <f>Adaptor!#REF!</f>
        <v>#REF!</v>
      </c>
      <c r="V108" s="29" t="e">
        <f>Adaptor!#REF!</f>
        <v>#REF!</v>
      </c>
      <c r="W108" s="29" t="e">
        <f>Adaptor!#REF!</f>
        <v>#REF!</v>
      </c>
      <c r="X108" s="29" t="e">
        <f>Adaptor!#REF!</f>
        <v>#REF!</v>
      </c>
      <c r="Y108" s="29" t="e">
        <f>Adaptor!#REF!</f>
        <v>#REF!</v>
      </c>
      <c r="Z108" s="29" t="e">
        <f>Adaptor!#REF!</f>
        <v>#REF!</v>
      </c>
      <c r="AA108" s="29" t="e">
        <f>Adaptor!#REF!</f>
        <v>#REF!</v>
      </c>
      <c r="AB108" s="29" t="e">
        <f>Adaptor!#REF!</f>
        <v>#REF!</v>
      </c>
    </row>
    <row r="109" spans="3:28">
      <c r="C109" s="98" t="s">
        <v>21</v>
      </c>
      <c r="D109" s="29" t="e">
        <f>Adaptor!#REF!</f>
        <v>#REF!</v>
      </c>
      <c r="E109" s="29" t="e">
        <f>Adaptor!#REF!</f>
        <v>#REF!</v>
      </c>
      <c r="F109" s="29" t="e">
        <f>Adaptor!#REF!</f>
        <v>#REF!</v>
      </c>
      <c r="G109" s="29" t="e">
        <f>Adaptor!#REF!</f>
        <v>#REF!</v>
      </c>
      <c r="H109" s="29" t="e">
        <f>Adaptor!#REF!</f>
        <v>#REF!</v>
      </c>
      <c r="I109" s="29" t="e">
        <f>Adaptor!#REF!</f>
        <v>#REF!</v>
      </c>
      <c r="J109" s="29" t="e">
        <f>Adaptor!#REF!</f>
        <v>#REF!</v>
      </c>
      <c r="K109" s="29" t="e">
        <f>Adaptor!#REF!</f>
        <v>#REF!</v>
      </c>
      <c r="L109" s="29" t="e">
        <f>Adaptor!#REF!</f>
        <v>#REF!</v>
      </c>
      <c r="M109" s="29" t="e">
        <f>Adaptor!#REF!</f>
        <v>#REF!</v>
      </c>
      <c r="N109" s="29" t="e">
        <f>Adaptor!#REF!</f>
        <v>#REF!</v>
      </c>
      <c r="O109" s="29" t="e">
        <f>Adaptor!#REF!</f>
        <v>#REF!</v>
      </c>
      <c r="P109" s="29" t="e">
        <f>Adaptor!#REF!</f>
        <v>#REF!</v>
      </c>
      <c r="Q109" s="29" t="e">
        <f>Adaptor!#REF!</f>
        <v>#REF!</v>
      </c>
      <c r="R109" s="29" t="e">
        <f>Adaptor!#REF!</f>
        <v>#REF!</v>
      </c>
      <c r="S109" s="29" t="e">
        <f>Adaptor!#REF!</f>
        <v>#REF!</v>
      </c>
      <c r="T109" s="29" t="e">
        <f>Adaptor!#REF!</f>
        <v>#REF!</v>
      </c>
      <c r="U109" s="29" t="e">
        <f>Adaptor!#REF!</f>
        <v>#REF!</v>
      </c>
      <c r="V109" s="29" t="e">
        <f>Adaptor!#REF!</f>
        <v>#REF!</v>
      </c>
      <c r="W109" s="29" t="e">
        <f>Adaptor!#REF!</f>
        <v>#REF!</v>
      </c>
      <c r="X109" s="29" t="e">
        <f>Adaptor!#REF!</f>
        <v>#REF!</v>
      </c>
      <c r="Y109" s="29" t="e">
        <f>Adaptor!#REF!</f>
        <v>#REF!</v>
      </c>
      <c r="Z109" s="29" t="e">
        <f>Adaptor!#REF!</f>
        <v>#REF!</v>
      </c>
      <c r="AA109" s="29" t="e">
        <f>Adaptor!#REF!</f>
        <v>#REF!</v>
      </c>
      <c r="AB109" s="29" t="e">
        <f>Adaptor!#REF!</f>
        <v>#REF!</v>
      </c>
    </row>
    <row r="110" spans="3:28">
      <c r="C110" s="98" t="s">
        <v>21</v>
      </c>
      <c r="D110" s="29" t="e">
        <f>Adaptor!#REF!</f>
        <v>#REF!</v>
      </c>
      <c r="E110" s="29" t="e">
        <f>Adaptor!#REF!</f>
        <v>#REF!</v>
      </c>
      <c r="F110" s="29" t="e">
        <f>Adaptor!#REF!</f>
        <v>#REF!</v>
      </c>
      <c r="G110" s="29" t="e">
        <f>Adaptor!#REF!</f>
        <v>#REF!</v>
      </c>
      <c r="H110" s="29" t="e">
        <f>Adaptor!#REF!</f>
        <v>#REF!</v>
      </c>
      <c r="I110" s="29" t="e">
        <f>Adaptor!#REF!</f>
        <v>#REF!</v>
      </c>
      <c r="J110" s="29" t="e">
        <f>Adaptor!#REF!</f>
        <v>#REF!</v>
      </c>
      <c r="K110" s="29" t="e">
        <f>Adaptor!#REF!</f>
        <v>#REF!</v>
      </c>
      <c r="L110" s="29" t="e">
        <f>Adaptor!#REF!</f>
        <v>#REF!</v>
      </c>
      <c r="M110" s="29" t="e">
        <f>Adaptor!#REF!</f>
        <v>#REF!</v>
      </c>
      <c r="N110" s="29" t="e">
        <f>Adaptor!#REF!</f>
        <v>#REF!</v>
      </c>
      <c r="O110" s="29" t="e">
        <f>Adaptor!#REF!</f>
        <v>#REF!</v>
      </c>
      <c r="P110" s="29" t="e">
        <f>Adaptor!#REF!</f>
        <v>#REF!</v>
      </c>
      <c r="Q110" s="29" t="e">
        <f>Adaptor!#REF!</f>
        <v>#REF!</v>
      </c>
      <c r="R110" s="29" t="e">
        <f>Adaptor!#REF!</f>
        <v>#REF!</v>
      </c>
      <c r="S110" s="29" t="e">
        <f>Adaptor!#REF!</f>
        <v>#REF!</v>
      </c>
      <c r="T110" s="29" t="e">
        <f>Adaptor!#REF!</f>
        <v>#REF!</v>
      </c>
      <c r="U110" s="29" t="e">
        <f>Adaptor!#REF!</f>
        <v>#REF!</v>
      </c>
      <c r="V110" s="29" t="e">
        <f>Adaptor!#REF!</f>
        <v>#REF!</v>
      </c>
      <c r="W110" s="29" t="e">
        <f>Adaptor!#REF!</f>
        <v>#REF!</v>
      </c>
      <c r="X110" s="29" t="e">
        <f>Adaptor!#REF!</f>
        <v>#REF!</v>
      </c>
      <c r="Y110" s="29" t="e">
        <f>Adaptor!#REF!</f>
        <v>#REF!</v>
      </c>
      <c r="Z110" s="29" t="e">
        <f>Adaptor!#REF!</f>
        <v>#REF!</v>
      </c>
      <c r="AA110" s="29" t="e">
        <f>Adaptor!#REF!</f>
        <v>#REF!</v>
      </c>
      <c r="AB110" s="29" t="e">
        <f>Adaptor!#REF!</f>
        <v>#REF!</v>
      </c>
    </row>
    <row r="111" spans="3:28">
      <c r="C111" s="98" t="s">
        <v>21</v>
      </c>
      <c r="D111" s="29" t="e">
        <f>Adaptor!#REF!</f>
        <v>#REF!</v>
      </c>
      <c r="E111" s="29" t="e">
        <f>Adaptor!#REF!</f>
        <v>#REF!</v>
      </c>
      <c r="F111" s="29" t="e">
        <f>Adaptor!#REF!</f>
        <v>#REF!</v>
      </c>
      <c r="G111" s="29" t="e">
        <f>Adaptor!#REF!</f>
        <v>#REF!</v>
      </c>
      <c r="H111" s="29" t="e">
        <f>Adaptor!#REF!</f>
        <v>#REF!</v>
      </c>
      <c r="I111" s="29" t="e">
        <f>Adaptor!#REF!</f>
        <v>#REF!</v>
      </c>
      <c r="J111" s="29" t="e">
        <f>Adaptor!#REF!</f>
        <v>#REF!</v>
      </c>
      <c r="K111" s="29" t="e">
        <f>Adaptor!#REF!</f>
        <v>#REF!</v>
      </c>
      <c r="L111" s="29" t="e">
        <f>Adaptor!#REF!</f>
        <v>#REF!</v>
      </c>
      <c r="M111" s="29" t="e">
        <f>Adaptor!#REF!</f>
        <v>#REF!</v>
      </c>
      <c r="N111" s="29" t="e">
        <f>Adaptor!#REF!</f>
        <v>#REF!</v>
      </c>
      <c r="O111" s="29" t="e">
        <f>Adaptor!#REF!</f>
        <v>#REF!</v>
      </c>
      <c r="P111" s="29" t="e">
        <f>Adaptor!#REF!</f>
        <v>#REF!</v>
      </c>
      <c r="Q111" s="29" t="e">
        <f>Adaptor!#REF!</f>
        <v>#REF!</v>
      </c>
      <c r="R111" s="29" t="e">
        <f>Adaptor!#REF!</f>
        <v>#REF!</v>
      </c>
      <c r="S111" s="29" t="e">
        <f>Adaptor!#REF!</f>
        <v>#REF!</v>
      </c>
      <c r="T111" s="29" t="e">
        <f>Adaptor!#REF!</f>
        <v>#REF!</v>
      </c>
      <c r="U111" s="29" t="e">
        <f>Adaptor!#REF!</f>
        <v>#REF!</v>
      </c>
      <c r="V111" s="29" t="e">
        <f>Adaptor!#REF!</f>
        <v>#REF!</v>
      </c>
      <c r="W111" s="29" t="e">
        <f>Adaptor!#REF!</f>
        <v>#REF!</v>
      </c>
      <c r="X111" s="29" t="e">
        <f>Adaptor!#REF!</f>
        <v>#REF!</v>
      </c>
      <c r="Y111" s="29" t="e">
        <f>Adaptor!#REF!</f>
        <v>#REF!</v>
      </c>
      <c r="Z111" s="29" t="e">
        <f>Adaptor!#REF!</f>
        <v>#REF!</v>
      </c>
      <c r="AA111" s="29" t="e">
        <f>Adaptor!#REF!</f>
        <v>#REF!</v>
      </c>
      <c r="AB111" s="29" t="e">
        <f>Adaptor!#REF!</f>
        <v>#REF!</v>
      </c>
    </row>
    <row r="112" spans="3:28">
      <c r="C112" s="98" t="s">
        <v>21</v>
      </c>
      <c r="D112" s="29">
        <f>Adaptor!C35</f>
        <v>0</v>
      </c>
      <c r="E112" s="29" t="str">
        <f>Adaptor!D35</f>
        <v>FCST</v>
      </c>
      <c r="F112" s="29">
        <f>Adaptor!E35</f>
        <v>2600</v>
      </c>
      <c r="G112" s="29" t="str">
        <f>Adaptor!F35</f>
        <v>E510MA</v>
      </c>
      <c r="H112" s="29" t="str">
        <f>Adaptor!G35</f>
        <v>Celeron N4020</v>
      </c>
      <c r="I112" s="29">
        <f>Adaptor!H35</f>
        <v>0</v>
      </c>
      <c r="J112" s="29">
        <f>Adaptor!I35</f>
        <v>0</v>
      </c>
      <c r="K112" s="29">
        <f>Adaptor!J35</f>
        <v>0</v>
      </c>
      <c r="L112" s="29" t="str">
        <f>Adaptor!K35</f>
        <v>33W*4.0PHI</v>
      </c>
      <c r="M112" s="29">
        <f>Adaptor!L35</f>
        <v>0</v>
      </c>
      <c r="N112" s="29">
        <f>Adaptor!M35</f>
        <v>0</v>
      </c>
      <c r="O112" s="29">
        <f>Adaptor!N35</f>
        <v>200</v>
      </c>
      <c r="P112" s="29">
        <f>Adaptor!P35</f>
        <v>0</v>
      </c>
      <c r="Q112" s="29">
        <f>Adaptor!Q35</f>
        <v>0</v>
      </c>
      <c r="R112" s="29">
        <f>Adaptor!R35</f>
        <v>600</v>
      </c>
      <c r="S112" s="29">
        <f>Adaptor!S35</f>
        <v>600</v>
      </c>
      <c r="T112" s="29">
        <f>Adaptor!T35</f>
        <v>0</v>
      </c>
      <c r="U112" s="29">
        <f>Adaptor!U35</f>
        <v>0</v>
      </c>
      <c r="V112" s="29">
        <f>Adaptor!V35</f>
        <v>0</v>
      </c>
      <c r="W112" s="29">
        <f>Adaptor!W35</f>
        <v>0</v>
      </c>
      <c r="X112" s="29">
        <f>Adaptor!X35</f>
        <v>0</v>
      </c>
      <c r="Y112" s="29">
        <f>Adaptor!Y35</f>
        <v>0</v>
      </c>
      <c r="Z112" s="29" t="e">
        <f>Adaptor!#REF!</f>
        <v>#REF!</v>
      </c>
      <c r="AA112" s="29">
        <f>Adaptor!Z35</f>
        <v>0</v>
      </c>
      <c r="AB112" s="29">
        <f>Adaptor!AA35</f>
        <v>0</v>
      </c>
    </row>
    <row r="113" spans="3:28">
      <c r="C113" s="98" t="s">
        <v>21</v>
      </c>
      <c r="D113" s="29">
        <f>Adaptor!C36</f>
        <v>0</v>
      </c>
      <c r="E113" s="29">
        <f>Adaptor!D36</f>
        <v>0</v>
      </c>
      <c r="F113" s="29">
        <f>Adaptor!E36</f>
        <v>0</v>
      </c>
      <c r="G113" s="29" t="str">
        <f>Adaptor!F36</f>
        <v>E510MA</v>
      </c>
      <c r="H113" s="29" t="str">
        <f>Adaptor!G36</f>
        <v>Celeron N4020</v>
      </c>
      <c r="I113" s="29" t="str">
        <f>Adaptor!H36</f>
        <v>Imported</v>
      </c>
      <c r="J113" s="29" t="str">
        <f>Adaptor!I36</f>
        <v>ASUS</v>
      </c>
      <c r="K113" s="29" t="str">
        <f>Adaptor!J36</f>
        <v>Adapter</v>
      </c>
      <c r="L113" s="29" t="str">
        <f>Adaptor!K36</f>
        <v>33W*4.0PHI</v>
      </c>
      <c r="M113" s="29">
        <f>Adaptor!L36</f>
        <v>0</v>
      </c>
      <c r="N113" s="29" t="str">
        <f>Adaptor!M36</f>
        <v>0A001-00772100
0A001-00773000</v>
      </c>
      <c r="O113" s="29">
        <f>Adaptor!N36</f>
        <v>200</v>
      </c>
      <c r="P113" s="29">
        <f>Adaptor!P36</f>
        <v>0</v>
      </c>
      <c r="Q113" s="29">
        <f>Adaptor!Q36</f>
        <v>0</v>
      </c>
      <c r="R113" s="29">
        <f>Adaptor!R36</f>
        <v>600</v>
      </c>
      <c r="S113" s="29">
        <f>Adaptor!S36</f>
        <v>600</v>
      </c>
      <c r="T113" s="29">
        <f>Adaptor!T36</f>
        <v>0</v>
      </c>
      <c r="U113" s="29">
        <f>Adaptor!U36</f>
        <v>0</v>
      </c>
      <c r="V113" s="29">
        <f>Adaptor!V36</f>
        <v>0</v>
      </c>
      <c r="W113" s="29">
        <f>Adaptor!W36</f>
        <v>0</v>
      </c>
      <c r="X113" s="29">
        <f>Adaptor!X36</f>
        <v>0</v>
      </c>
      <c r="Y113" s="29">
        <f>Adaptor!Y36</f>
        <v>0</v>
      </c>
      <c r="Z113" s="29" t="e">
        <f>Adaptor!#REF!</f>
        <v>#REF!</v>
      </c>
      <c r="AA113" s="29">
        <f>Adaptor!Z36</f>
        <v>2600</v>
      </c>
      <c r="AB113" s="29">
        <f>Adaptor!AA36</f>
        <v>0</v>
      </c>
    </row>
    <row r="114" spans="3:28">
      <c r="C114" s="98" t="s">
        <v>21</v>
      </c>
      <c r="D114" s="29">
        <f>Adaptor!C37</f>
        <v>0</v>
      </c>
      <c r="E114" s="29">
        <f>Adaptor!D37</f>
        <v>0</v>
      </c>
      <c r="F114" s="29">
        <f>Adaptor!E37</f>
        <v>0</v>
      </c>
      <c r="G114" s="29" t="str">
        <f>Adaptor!F37</f>
        <v>E510MA</v>
      </c>
      <c r="H114" s="29" t="str">
        <f>Adaptor!G37</f>
        <v>Celeron N4020</v>
      </c>
      <c r="I114" s="29" t="str">
        <f>Adaptor!H37</f>
        <v>Local</v>
      </c>
      <c r="J114" s="29" t="str">
        <f>Adaptor!I37</f>
        <v>TBD</v>
      </c>
      <c r="K114" s="29" t="str">
        <f>Adaptor!J37</f>
        <v>Adapter</v>
      </c>
      <c r="L114" s="29" t="str">
        <f>Adaptor!K37</f>
        <v>45W</v>
      </c>
      <c r="M114" s="29">
        <f>Adaptor!L37</f>
        <v>0</v>
      </c>
      <c r="N114" s="29">
        <f>Adaptor!M37</f>
        <v>0</v>
      </c>
      <c r="O114" s="29">
        <f>Adaptor!N37</f>
        <v>0</v>
      </c>
      <c r="P114" s="29">
        <f>Adaptor!P37</f>
        <v>0</v>
      </c>
      <c r="Q114" s="29">
        <f>Adaptor!Q37</f>
        <v>0</v>
      </c>
      <c r="R114" s="29">
        <f>Adaptor!R37</f>
        <v>0</v>
      </c>
      <c r="S114" s="29">
        <f>Adaptor!S37</f>
        <v>0</v>
      </c>
      <c r="T114" s="29">
        <f>Adaptor!T37</f>
        <v>0</v>
      </c>
      <c r="U114" s="29">
        <f>Adaptor!U37</f>
        <v>0</v>
      </c>
      <c r="V114" s="29">
        <f>Adaptor!V37</f>
        <v>0</v>
      </c>
      <c r="W114" s="29">
        <f>Adaptor!W37</f>
        <v>0</v>
      </c>
      <c r="X114" s="29">
        <f>Adaptor!X37</f>
        <v>0</v>
      </c>
      <c r="Y114" s="29">
        <f>Adaptor!Y37</f>
        <v>0</v>
      </c>
      <c r="Z114" s="29" t="e">
        <f>Adaptor!#REF!</f>
        <v>#REF!</v>
      </c>
      <c r="AA114" s="29">
        <f>Adaptor!Z37</f>
        <v>0</v>
      </c>
      <c r="AB114" s="29">
        <f>Adaptor!AA37</f>
        <v>0</v>
      </c>
    </row>
    <row r="115" spans="3:28">
      <c r="C115" s="98" t="s">
        <v>21</v>
      </c>
      <c r="D115" s="29">
        <f>Adaptor!C38</f>
        <v>0</v>
      </c>
      <c r="E115" s="29" t="str">
        <f>Adaptor!D38</f>
        <v>FCST</v>
      </c>
      <c r="F115" s="29">
        <f>Adaptor!E38</f>
        <v>0</v>
      </c>
      <c r="G115" s="29" t="str">
        <f>Adaptor!F38</f>
        <v>E410MA</v>
      </c>
      <c r="H115" s="29" t="str">
        <f>Adaptor!G38</f>
        <v>Celeron N4020</v>
      </c>
      <c r="I115" s="29">
        <f>Adaptor!H38</f>
        <v>0</v>
      </c>
      <c r="J115" s="29">
        <f>Adaptor!I38</f>
        <v>0</v>
      </c>
      <c r="K115" s="29">
        <f>Adaptor!J38</f>
        <v>0</v>
      </c>
      <c r="L115" s="29" t="str">
        <f>Adaptor!K38</f>
        <v>33W*4.0PHI</v>
      </c>
      <c r="M115" s="29">
        <f>Adaptor!L38</f>
        <v>0</v>
      </c>
      <c r="N115" s="29">
        <f>Adaptor!M38</f>
        <v>0</v>
      </c>
      <c r="O115" s="29">
        <f>Adaptor!N38</f>
        <v>0</v>
      </c>
      <c r="P115" s="29">
        <f>Adaptor!P38</f>
        <v>0</v>
      </c>
      <c r="Q115" s="29">
        <f>Adaptor!Q38</f>
        <v>0</v>
      </c>
      <c r="R115" s="29">
        <f>Adaptor!R38</f>
        <v>0</v>
      </c>
      <c r="S115" s="29">
        <f>Adaptor!S38</f>
        <v>0</v>
      </c>
      <c r="T115" s="29">
        <f>Adaptor!T38</f>
        <v>0</v>
      </c>
      <c r="U115" s="29">
        <f>Adaptor!U38</f>
        <v>0</v>
      </c>
      <c r="V115" s="29">
        <f>Adaptor!V38</f>
        <v>0</v>
      </c>
      <c r="W115" s="29">
        <f>Adaptor!W38</f>
        <v>0</v>
      </c>
      <c r="X115" s="29">
        <f>Adaptor!X38</f>
        <v>0</v>
      </c>
      <c r="Y115" s="29">
        <f>Adaptor!Y38</f>
        <v>0</v>
      </c>
      <c r="Z115" s="29" t="e">
        <f>Adaptor!#REF!</f>
        <v>#REF!</v>
      </c>
      <c r="AA115" s="29">
        <f>Adaptor!Z38</f>
        <v>0</v>
      </c>
      <c r="AB115" s="29">
        <f>Adaptor!AA38</f>
        <v>0</v>
      </c>
    </row>
    <row r="116" spans="3:28">
      <c r="C116" s="98" t="s">
        <v>21</v>
      </c>
      <c r="D116" s="29">
        <f>Adaptor!C39</f>
        <v>0</v>
      </c>
      <c r="E116" s="29">
        <f>Adaptor!D39</f>
        <v>0</v>
      </c>
      <c r="F116" s="29">
        <f>Adaptor!E39</f>
        <v>0</v>
      </c>
      <c r="G116" s="29" t="str">
        <f>Adaptor!F39</f>
        <v>E410MA</v>
      </c>
      <c r="H116" s="29" t="str">
        <f>Adaptor!G39</f>
        <v>Celeron N4020</v>
      </c>
      <c r="I116" s="29" t="str">
        <f>Adaptor!H39</f>
        <v>Imported</v>
      </c>
      <c r="J116" s="29" t="str">
        <f>Adaptor!I39</f>
        <v>ASUS</v>
      </c>
      <c r="K116" s="29" t="str">
        <f>Adaptor!J39</f>
        <v>Adapter</v>
      </c>
      <c r="L116" s="29" t="str">
        <f>Adaptor!K39</f>
        <v>33W*4.0PHI</v>
      </c>
      <c r="M116" s="29">
        <f>Adaptor!L39</f>
        <v>0</v>
      </c>
      <c r="N116" s="29" t="str">
        <f>Adaptor!M39</f>
        <v>0A001-00772100
0A001-00773000</v>
      </c>
      <c r="O116" s="29">
        <f>Adaptor!N39</f>
        <v>0</v>
      </c>
      <c r="P116" s="29">
        <f>Adaptor!P39</f>
        <v>0</v>
      </c>
      <c r="Q116" s="29">
        <f>Adaptor!Q39</f>
        <v>0</v>
      </c>
      <c r="R116" s="29">
        <f>Adaptor!R39</f>
        <v>0</v>
      </c>
      <c r="S116" s="29">
        <f>Adaptor!S39</f>
        <v>0</v>
      </c>
      <c r="T116" s="29">
        <f>Adaptor!T39</f>
        <v>0</v>
      </c>
      <c r="U116" s="29">
        <f>Adaptor!U39</f>
        <v>0</v>
      </c>
      <c r="V116" s="29">
        <f>Adaptor!V39</f>
        <v>0</v>
      </c>
      <c r="W116" s="29">
        <f>Adaptor!W39</f>
        <v>0</v>
      </c>
      <c r="X116" s="29">
        <f>Adaptor!X39</f>
        <v>0</v>
      </c>
      <c r="Y116" s="29">
        <f>Adaptor!Y39</f>
        <v>0</v>
      </c>
      <c r="Z116" s="29" t="e">
        <f>Adaptor!#REF!</f>
        <v>#REF!</v>
      </c>
      <c r="AA116" s="29">
        <f>Adaptor!Z39</f>
        <v>0</v>
      </c>
      <c r="AB116" s="29">
        <f>Adaptor!AA39</f>
        <v>0</v>
      </c>
    </row>
    <row r="117" spans="3:28">
      <c r="C117" s="98" t="s">
        <v>21</v>
      </c>
      <c r="D117" s="29">
        <f>Adaptor!C40</f>
        <v>0</v>
      </c>
      <c r="E117" s="29">
        <f>Adaptor!D40</f>
        <v>0</v>
      </c>
      <c r="F117" s="29">
        <f>Adaptor!E40</f>
        <v>0</v>
      </c>
      <c r="G117" s="29" t="str">
        <f>Adaptor!F40</f>
        <v>E410MA</v>
      </c>
      <c r="H117" s="29" t="str">
        <f>Adaptor!G40</f>
        <v>Celeron N4020</v>
      </c>
      <c r="I117" s="29" t="str">
        <f>Adaptor!H40</f>
        <v>Local</v>
      </c>
      <c r="J117" s="29" t="str">
        <f>Adaptor!I40</f>
        <v>TBD</v>
      </c>
      <c r="K117" s="29" t="str">
        <f>Adaptor!J40</f>
        <v>Adapter</v>
      </c>
      <c r="L117" s="29" t="str">
        <f>Adaptor!K40</f>
        <v>45W</v>
      </c>
      <c r="M117" s="29">
        <f>Adaptor!L40</f>
        <v>0</v>
      </c>
      <c r="N117" s="29">
        <f>Adaptor!M40</f>
        <v>0</v>
      </c>
      <c r="O117" s="29">
        <f>Adaptor!N40</f>
        <v>0</v>
      </c>
      <c r="P117" s="29">
        <f>Adaptor!P40</f>
        <v>0</v>
      </c>
      <c r="Q117" s="29">
        <f>Adaptor!Q40</f>
        <v>0</v>
      </c>
      <c r="R117" s="29">
        <f>Adaptor!R40</f>
        <v>0</v>
      </c>
      <c r="S117" s="29">
        <f>Adaptor!S40</f>
        <v>0</v>
      </c>
      <c r="T117" s="29">
        <f>Adaptor!T40</f>
        <v>0</v>
      </c>
      <c r="U117" s="29">
        <f>Adaptor!U40</f>
        <v>0</v>
      </c>
      <c r="V117" s="29">
        <f>Adaptor!V40</f>
        <v>0</v>
      </c>
      <c r="W117" s="29">
        <f>Adaptor!W40</f>
        <v>0</v>
      </c>
      <c r="X117" s="29">
        <f>Adaptor!X40</f>
        <v>0</v>
      </c>
      <c r="Y117" s="29">
        <f>Adaptor!Y40</f>
        <v>0</v>
      </c>
      <c r="Z117" s="29" t="e">
        <f>Adaptor!#REF!</f>
        <v>#REF!</v>
      </c>
      <c r="AA117" s="29">
        <f>Adaptor!Z40</f>
        <v>0</v>
      </c>
      <c r="AB117" s="29">
        <f>Adaptor!AA40</f>
        <v>0</v>
      </c>
    </row>
    <row r="118" spans="3:28">
      <c r="C118" s="98" t="s">
        <v>21</v>
      </c>
      <c r="D118" s="29">
        <f>Adaptor!C41</f>
        <v>0</v>
      </c>
      <c r="E118" s="29" t="str">
        <f>Adaptor!D41</f>
        <v>FCST</v>
      </c>
      <c r="F118" s="29">
        <f>Adaptor!E41</f>
        <v>950</v>
      </c>
      <c r="G118" s="29" t="str">
        <f>Adaptor!F41</f>
        <v>X513EA</v>
      </c>
      <c r="H118" s="29" t="str">
        <f>Adaptor!G41</f>
        <v>Core i5-1135G7</v>
      </c>
      <c r="I118" s="29">
        <f>Adaptor!H41</f>
        <v>0</v>
      </c>
      <c r="J118" s="29">
        <f>Adaptor!I41</f>
        <v>0</v>
      </c>
      <c r="K118" s="29">
        <f>Adaptor!J41</f>
        <v>0</v>
      </c>
      <c r="L118" s="29" t="str">
        <f>Adaptor!K41</f>
        <v>65W*4.0PHI</v>
      </c>
      <c r="M118" s="29">
        <f>Adaptor!L41</f>
        <v>0</v>
      </c>
      <c r="N118" s="29">
        <f>Adaptor!M41</f>
        <v>0</v>
      </c>
      <c r="O118" s="29">
        <f>Adaptor!N41</f>
        <v>150</v>
      </c>
      <c r="P118" s="29">
        <f>Adaptor!P41</f>
        <v>0</v>
      </c>
      <c r="Q118" s="29">
        <f>Adaptor!Q41</f>
        <v>0</v>
      </c>
      <c r="R118" s="29">
        <f>Adaptor!R41</f>
        <v>0</v>
      </c>
      <c r="S118" s="29">
        <f>Adaptor!S41</f>
        <v>0</v>
      </c>
      <c r="T118" s="29">
        <f>Adaptor!T41</f>
        <v>0</v>
      </c>
      <c r="U118" s="29">
        <f>Adaptor!U41</f>
        <v>0</v>
      </c>
      <c r="V118" s="29">
        <f>Adaptor!V41</f>
        <v>0</v>
      </c>
      <c r="W118" s="29">
        <f>Adaptor!W41</f>
        <v>0</v>
      </c>
      <c r="X118" s="29">
        <f>Adaptor!X41</f>
        <v>0</v>
      </c>
      <c r="Y118" s="29">
        <f>Adaptor!Y41</f>
        <v>0</v>
      </c>
      <c r="Z118" s="29" t="e">
        <f>Adaptor!#REF!</f>
        <v>#REF!</v>
      </c>
      <c r="AA118" s="29">
        <f>Adaptor!Z41</f>
        <v>0</v>
      </c>
      <c r="AB118" s="29">
        <f>Adaptor!AA41</f>
        <v>0</v>
      </c>
    </row>
    <row r="119" spans="3:28">
      <c r="C119" s="98" t="s">
        <v>21</v>
      </c>
      <c r="D119" s="29">
        <f>Adaptor!C42</f>
        <v>0</v>
      </c>
      <c r="E119" s="29">
        <f>Adaptor!D42</f>
        <v>0</v>
      </c>
      <c r="F119" s="29">
        <f>Adaptor!E42</f>
        <v>0</v>
      </c>
      <c r="G119" s="29" t="str">
        <f>Adaptor!F42</f>
        <v>X513EA</v>
      </c>
      <c r="H119" s="29" t="str">
        <f>Adaptor!G42</f>
        <v>Core i5-1135G7</v>
      </c>
      <c r="I119" s="29" t="str">
        <f>Adaptor!H42</f>
        <v>Imported</v>
      </c>
      <c r="J119" s="29" t="str">
        <f>Adaptor!I42</f>
        <v>ASUS</v>
      </c>
      <c r="K119" s="29" t="str">
        <f>Adaptor!J42</f>
        <v>Adapter</v>
      </c>
      <c r="L119" s="29" t="str">
        <f>Adaptor!K42</f>
        <v>65W*4.0PHI</v>
      </c>
      <c r="M119" s="29">
        <f>Adaptor!L42</f>
        <v>0</v>
      </c>
      <c r="N119" s="29" t="str">
        <f>Adaptor!M42</f>
        <v>0A001-00895100
0A001-00897500</v>
      </c>
      <c r="O119" s="29">
        <f>Adaptor!N42</f>
        <v>150</v>
      </c>
      <c r="P119" s="29">
        <f>Adaptor!P42</f>
        <v>0</v>
      </c>
      <c r="Q119" s="29">
        <f>Adaptor!Q42</f>
        <v>0</v>
      </c>
      <c r="R119" s="29">
        <f>Adaptor!R42</f>
        <v>0</v>
      </c>
      <c r="S119" s="29">
        <f>Adaptor!S42</f>
        <v>0</v>
      </c>
      <c r="T119" s="29">
        <f>Adaptor!T42</f>
        <v>0</v>
      </c>
      <c r="U119" s="29">
        <f>Adaptor!U42</f>
        <v>0</v>
      </c>
      <c r="V119" s="29">
        <f>Adaptor!V42</f>
        <v>0</v>
      </c>
      <c r="W119" s="29">
        <f>Adaptor!W42</f>
        <v>0</v>
      </c>
      <c r="X119" s="29">
        <f>Adaptor!X42</f>
        <v>0</v>
      </c>
      <c r="Y119" s="29">
        <f>Adaptor!Y42</f>
        <v>0</v>
      </c>
      <c r="Z119" s="29" t="e">
        <f>Adaptor!#REF!</f>
        <v>#REF!</v>
      </c>
      <c r="AA119" s="29">
        <f>Adaptor!Z42</f>
        <v>950</v>
      </c>
      <c r="AB119" s="29">
        <f>Adaptor!AA42</f>
        <v>0</v>
      </c>
    </row>
    <row r="120" spans="3:28">
      <c r="C120" s="98" t="s">
        <v>21</v>
      </c>
      <c r="D120" s="29">
        <f>Adaptor!C43</f>
        <v>0</v>
      </c>
      <c r="E120" s="29">
        <f>Adaptor!D43</f>
        <v>0</v>
      </c>
      <c r="F120" s="29">
        <f>Adaptor!E43</f>
        <v>0</v>
      </c>
      <c r="G120" s="29" t="str">
        <f>Adaptor!F43</f>
        <v>X513EA</v>
      </c>
      <c r="H120" s="29" t="str">
        <f>Adaptor!G43</f>
        <v>Core i5-1135G7</v>
      </c>
      <c r="I120" s="29" t="str">
        <f>Adaptor!H43</f>
        <v>Local</v>
      </c>
      <c r="J120" s="29" t="str">
        <f>Adaptor!I43</f>
        <v>TBD</v>
      </c>
      <c r="K120" s="29" t="str">
        <f>Adaptor!J43</f>
        <v>Adapter</v>
      </c>
      <c r="L120" s="29" t="str">
        <f>Adaptor!K43</f>
        <v>65W*4.0PHI</v>
      </c>
      <c r="M120" s="29">
        <f>Adaptor!L43</f>
        <v>0</v>
      </c>
      <c r="N120" s="29">
        <f>Adaptor!M43</f>
        <v>0</v>
      </c>
      <c r="O120" s="29">
        <f>Adaptor!N43</f>
        <v>0</v>
      </c>
      <c r="P120" s="29">
        <f>Adaptor!P43</f>
        <v>0</v>
      </c>
      <c r="Q120" s="29">
        <f>Adaptor!Q43</f>
        <v>0</v>
      </c>
      <c r="R120" s="29">
        <f>Adaptor!R43</f>
        <v>0</v>
      </c>
      <c r="S120" s="29">
        <f>Adaptor!S43</f>
        <v>0</v>
      </c>
      <c r="T120" s="29">
        <f>Adaptor!T43</f>
        <v>0</v>
      </c>
      <c r="U120" s="29">
        <f>Adaptor!U43</f>
        <v>0</v>
      </c>
      <c r="V120" s="29">
        <f>Adaptor!V43</f>
        <v>0</v>
      </c>
      <c r="W120" s="29">
        <f>Adaptor!W43</f>
        <v>0</v>
      </c>
      <c r="X120" s="29">
        <f>Adaptor!X43</f>
        <v>0</v>
      </c>
      <c r="Y120" s="29">
        <f>Adaptor!Y43</f>
        <v>0</v>
      </c>
      <c r="Z120" s="29" t="e">
        <f>Adaptor!#REF!</f>
        <v>#REF!</v>
      </c>
      <c r="AA120" s="29">
        <f>Adaptor!Z43</f>
        <v>0</v>
      </c>
      <c r="AB120" s="29">
        <f>Adaptor!AA43</f>
        <v>0</v>
      </c>
    </row>
    <row r="121" spans="3:28">
      <c r="C121" s="98" t="s">
        <v>21</v>
      </c>
      <c r="D121" s="29">
        <f>Adaptor!C44</f>
        <v>0</v>
      </c>
      <c r="E121" s="29" t="str">
        <f>Adaptor!D44</f>
        <v>FCST</v>
      </c>
      <c r="F121" s="29">
        <f>Adaptor!E44</f>
        <v>750</v>
      </c>
      <c r="G121" s="29" t="str">
        <f>Adaptor!F44</f>
        <v>X513EA</v>
      </c>
      <c r="H121" s="29" t="str">
        <f>Adaptor!G44</f>
        <v>Core i7-1165G7</v>
      </c>
      <c r="I121" s="29">
        <f>Adaptor!H44</f>
        <v>0</v>
      </c>
      <c r="J121" s="29">
        <f>Adaptor!I44</f>
        <v>0</v>
      </c>
      <c r="K121" s="29">
        <f>Adaptor!J44</f>
        <v>0</v>
      </c>
      <c r="L121" s="29" t="str">
        <f>Adaptor!K44</f>
        <v>65W*4.0PHI</v>
      </c>
      <c r="M121" s="29">
        <f>Adaptor!L44</f>
        <v>0</v>
      </c>
      <c r="N121" s="29">
        <f>Adaptor!M44</f>
        <v>0</v>
      </c>
      <c r="O121" s="29">
        <f>Adaptor!N44</f>
        <v>150</v>
      </c>
      <c r="P121" s="29">
        <f>Adaptor!P44</f>
        <v>0</v>
      </c>
      <c r="Q121" s="29">
        <f>Adaptor!Q44</f>
        <v>0</v>
      </c>
      <c r="R121" s="29">
        <f>Adaptor!R44</f>
        <v>0</v>
      </c>
      <c r="S121" s="29">
        <f>Adaptor!S44</f>
        <v>0</v>
      </c>
      <c r="T121" s="29">
        <f>Adaptor!T44</f>
        <v>0</v>
      </c>
      <c r="U121" s="29">
        <f>Adaptor!U44</f>
        <v>0</v>
      </c>
      <c r="V121" s="29">
        <f>Adaptor!V44</f>
        <v>0</v>
      </c>
      <c r="W121" s="29">
        <f>Adaptor!W44</f>
        <v>0</v>
      </c>
      <c r="X121" s="29">
        <f>Adaptor!X44</f>
        <v>0</v>
      </c>
      <c r="Y121" s="29">
        <f>Adaptor!Y44</f>
        <v>0</v>
      </c>
      <c r="Z121" s="29" t="e">
        <f>Adaptor!#REF!</f>
        <v>#REF!</v>
      </c>
      <c r="AA121" s="29">
        <f>Adaptor!Z44</f>
        <v>0</v>
      </c>
      <c r="AB121" s="29">
        <f>Adaptor!AA44</f>
        <v>0</v>
      </c>
    </row>
    <row r="122" spans="3:28">
      <c r="C122" s="98" t="s">
        <v>21</v>
      </c>
      <c r="D122" s="29">
        <f>Adaptor!C45</f>
        <v>0</v>
      </c>
      <c r="E122" s="29">
        <f>Adaptor!D45</f>
        <v>0</v>
      </c>
      <c r="F122" s="29">
        <f>Adaptor!E45</f>
        <v>0</v>
      </c>
      <c r="G122" s="29" t="str">
        <f>Adaptor!F45</f>
        <v>X513EA</v>
      </c>
      <c r="H122" s="29" t="str">
        <f>Adaptor!G45</f>
        <v>Core i7-1165G7</v>
      </c>
      <c r="I122" s="29" t="str">
        <f>Adaptor!H45</f>
        <v>Imported</v>
      </c>
      <c r="J122" s="29" t="str">
        <f>Adaptor!I45</f>
        <v>ASUS</v>
      </c>
      <c r="K122" s="29" t="str">
        <f>Adaptor!J45</f>
        <v>Adapter</v>
      </c>
      <c r="L122" s="29" t="str">
        <f>Adaptor!K45</f>
        <v>65W*4.0PHI</v>
      </c>
      <c r="M122" s="29">
        <f>Adaptor!L45</f>
        <v>0</v>
      </c>
      <c r="N122" s="29" t="str">
        <f>Adaptor!M45</f>
        <v>0A001-00895100
0A001-00897500</v>
      </c>
      <c r="O122" s="29">
        <f>Adaptor!N45</f>
        <v>150</v>
      </c>
      <c r="P122" s="29">
        <f>Adaptor!P45</f>
        <v>0</v>
      </c>
      <c r="Q122" s="29">
        <f>Adaptor!Q45</f>
        <v>0</v>
      </c>
      <c r="R122" s="29">
        <f>Adaptor!R45</f>
        <v>0</v>
      </c>
      <c r="S122" s="29">
        <f>Adaptor!S45</f>
        <v>0</v>
      </c>
      <c r="T122" s="29">
        <f>Adaptor!T45</f>
        <v>0</v>
      </c>
      <c r="U122" s="29">
        <f>Adaptor!U45</f>
        <v>0</v>
      </c>
      <c r="V122" s="29">
        <f>Adaptor!V45</f>
        <v>0</v>
      </c>
      <c r="W122" s="29">
        <f>Adaptor!W45</f>
        <v>0</v>
      </c>
      <c r="X122" s="29">
        <f>Adaptor!X45</f>
        <v>0</v>
      </c>
      <c r="Y122" s="29">
        <f>Adaptor!Y45</f>
        <v>0</v>
      </c>
      <c r="Z122" s="29" t="e">
        <f>Adaptor!#REF!</f>
        <v>#REF!</v>
      </c>
      <c r="AA122" s="29">
        <f>Adaptor!Z45</f>
        <v>750</v>
      </c>
      <c r="AB122" s="29">
        <f>Adaptor!AA45</f>
        <v>0</v>
      </c>
    </row>
    <row r="123" spans="3:28">
      <c r="C123" s="98" t="s">
        <v>21</v>
      </c>
      <c r="D123" s="29">
        <f>Adaptor!C46</f>
        <v>0</v>
      </c>
      <c r="E123" s="29">
        <f>Adaptor!D46</f>
        <v>0</v>
      </c>
      <c r="F123" s="29">
        <f>Adaptor!E46</f>
        <v>0</v>
      </c>
      <c r="G123" s="29" t="str">
        <f>Adaptor!F46</f>
        <v>X513EA</v>
      </c>
      <c r="H123" s="29" t="str">
        <f>Adaptor!G46</f>
        <v>Core i7-1165G7</v>
      </c>
      <c r="I123" s="29" t="str">
        <f>Adaptor!H46</f>
        <v>Local</v>
      </c>
      <c r="J123" s="29" t="str">
        <f>Adaptor!I46</f>
        <v>TBD</v>
      </c>
      <c r="K123" s="29" t="str">
        <f>Adaptor!J46</f>
        <v>Adapter</v>
      </c>
      <c r="L123" s="29" t="str">
        <f>Adaptor!K46</f>
        <v>65W*4.0PHI</v>
      </c>
      <c r="M123" s="29">
        <f>Adaptor!L46</f>
        <v>0</v>
      </c>
      <c r="N123" s="29">
        <f>Adaptor!M46</f>
        <v>0</v>
      </c>
      <c r="O123" s="29">
        <f>Adaptor!N46</f>
        <v>0</v>
      </c>
      <c r="P123" s="29">
        <f>Adaptor!P46</f>
        <v>0</v>
      </c>
      <c r="Q123" s="29">
        <f>Adaptor!Q46</f>
        <v>0</v>
      </c>
      <c r="R123" s="29">
        <f>Adaptor!R46</f>
        <v>0</v>
      </c>
      <c r="S123" s="29">
        <f>Adaptor!S46</f>
        <v>0</v>
      </c>
      <c r="T123" s="29">
        <f>Adaptor!T46</f>
        <v>0</v>
      </c>
      <c r="U123" s="29">
        <f>Adaptor!U46</f>
        <v>0</v>
      </c>
      <c r="V123" s="29">
        <f>Adaptor!V46</f>
        <v>0</v>
      </c>
      <c r="W123" s="29">
        <f>Adaptor!W46</f>
        <v>0</v>
      </c>
      <c r="X123" s="29">
        <f>Adaptor!X46</f>
        <v>0</v>
      </c>
      <c r="Y123" s="29">
        <f>Adaptor!Y46</f>
        <v>0</v>
      </c>
      <c r="Z123" s="29" t="e">
        <f>Adaptor!#REF!</f>
        <v>#REF!</v>
      </c>
      <c r="AA123" s="29">
        <f>Adaptor!Z46</f>
        <v>0</v>
      </c>
      <c r="AB123" s="29">
        <f>Adaptor!AA46</f>
        <v>0</v>
      </c>
    </row>
    <row r="124" spans="3:28">
      <c r="C124" s="98" t="s">
        <v>21</v>
      </c>
      <c r="D124" s="29">
        <f>Adaptor!C50</f>
        <v>0</v>
      </c>
      <c r="E124" s="29" t="str">
        <f>Adaptor!D50</f>
        <v>FCST</v>
      </c>
      <c r="F124" s="29">
        <f>Adaptor!E50</f>
        <v>0</v>
      </c>
      <c r="G124" s="29" t="str">
        <f>Adaptor!F50</f>
        <v>K513EQ</v>
      </c>
      <c r="H124" s="29" t="str">
        <f>Adaptor!G50</f>
        <v>Core i7-1165G7</v>
      </c>
      <c r="I124" s="29">
        <f>Adaptor!H50</f>
        <v>0</v>
      </c>
      <c r="J124" s="29">
        <f>Adaptor!I50</f>
        <v>0</v>
      </c>
      <c r="K124" s="29">
        <f>Adaptor!J50</f>
        <v>0</v>
      </c>
      <c r="L124" s="29" t="str">
        <f>Adaptor!K50</f>
        <v>65W*4.0PHI</v>
      </c>
      <c r="M124" s="29">
        <f>Adaptor!L50</f>
        <v>0</v>
      </c>
      <c r="N124" s="29">
        <f>Adaptor!M50</f>
        <v>0</v>
      </c>
      <c r="O124" s="29">
        <f>Adaptor!N50</f>
        <v>0</v>
      </c>
      <c r="P124" s="29">
        <f>Adaptor!P50</f>
        <v>0</v>
      </c>
      <c r="Q124" s="29">
        <f>Adaptor!Q50</f>
        <v>0</v>
      </c>
      <c r="R124" s="29">
        <f>Adaptor!R50</f>
        <v>0</v>
      </c>
      <c r="S124" s="29">
        <f>Adaptor!S50</f>
        <v>0</v>
      </c>
      <c r="T124" s="29">
        <f>Adaptor!T50</f>
        <v>0</v>
      </c>
      <c r="U124" s="29">
        <f>Adaptor!U50</f>
        <v>0</v>
      </c>
      <c r="V124" s="29">
        <f>Adaptor!V50</f>
        <v>0</v>
      </c>
      <c r="W124" s="29">
        <f>Adaptor!W50</f>
        <v>0</v>
      </c>
      <c r="X124" s="29">
        <f>Adaptor!X50</f>
        <v>0</v>
      </c>
      <c r="Y124" s="29">
        <f>Adaptor!Y50</f>
        <v>0</v>
      </c>
      <c r="Z124" s="29" t="e">
        <f>Adaptor!#REF!</f>
        <v>#REF!</v>
      </c>
      <c r="AA124" s="29">
        <f>Adaptor!Z50</f>
        <v>0</v>
      </c>
      <c r="AB124" s="29">
        <f>Adaptor!AA50</f>
        <v>0</v>
      </c>
    </row>
    <row r="125" spans="3:28">
      <c r="C125" s="98" t="s">
        <v>21</v>
      </c>
      <c r="D125" s="29">
        <f>Adaptor!C51</f>
        <v>0</v>
      </c>
      <c r="E125" s="29">
        <f>Adaptor!D51</f>
        <v>0</v>
      </c>
      <c r="F125" s="29">
        <f>Adaptor!E51</f>
        <v>0</v>
      </c>
      <c r="G125" s="29" t="str">
        <f>Adaptor!F51</f>
        <v>K513EQ</v>
      </c>
      <c r="H125" s="29" t="str">
        <f>Adaptor!G51</f>
        <v>Core i7-1165G7</v>
      </c>
      <c r="I125" s="29" t="str">
        <f>Adaptor!H51</f>
        <v>Imported</v>
      </c>
      <c r="J125" s="29" t="str">
        <f>Adaptor!I51</f>
        <v>ASUS</v>
      </c>
      <c r="K125" s="29" t="str">
        <f>Adaptor!J51</f>
        <v>Adapter</v>
      </c>
      <c r="L125" s="29" t="str">
        <f>Adaptor!K51</f>
        <v>65W*4.0PHI</v>
      </c>
      <c r="M125" s="29">
        <f>Adaptor!L51</f>
        <v>0</v>
      </c>
      <c r="N125" s="29" t="str">
        <f>Adaptor!M51</f>
        <v>0A001-00895100
0A001-00897500</v>
      </c>
      <c r="O125" s="29">
        <f>Adaptor!N51</f>
        <v>0</v>
      </c>
      <c r="P125" s="29">
        <f>Adaptor!P51</f>
        <v>0</v>
      </c>
      <c r="Q125" s="29">
        <f>Adaptor!Q51</f>
        <v>0</v>
      </c>
      <c r="R125" s="29">
        <f>Adaptor!R51</f>
        <v>0</v>
      </c>
      <c r="S125" s="29">
        <f>Adaptor!S51</f>
        <v>0</v>
      </c>
      <c r="T125" s="29">
        <f>Adaptor!T51</f>
        <v>0</v>
      </c>
      <c r="U125" s="29">
        <f>Adaptor!U51</f>
        <v>0</v>
      </c>
      <c r="V125" s="29">
        <f>Adaptor!V51</f>
        <v>0</v>
      </c>
      <c r="W125" s="29">
        <f>Adaptor!W51</f>
        <v>0</v>
      </c>
      <c r="X125" s="29">
        <f>Adaptor!X51</f>
        <v>0</v>
      </c>
      <c r="Y125" s="29">
        <f>Adaptor!Y51</f>
        <v>0</v>
      </c>
      <c r="Z125" s="29" t="e">
        <f>Adaptor!#REF!</f>
        <v>#REF!</v>
      </c>
      <c r="AA125" s="29">
        <f>Adaptor!Z51</f>
        <v>0</v>
      </c>
      <c r="AB125" s="29">
        <f>Adaptor!AA51</f>
        <v>0</v>
      </c>
    </row>
    <row r="126" spans="3:28">
      <c r="C126" s="98" t="s">
        <v>21</v>
      </c>
      <c r="D126" s="29">
        <f>Adaptor!C52</f>
        <v>0</v>
      </c>
      <c r="E126" s="29">
        <f>Adaptor!D52</f>
        <v>0</v>
      </c>
      <c r="F126" s="29">
        <f>Adaptor!E52</f>
        <v>0</v>
      </c>
      <c r="G126" s="29" t="str">
        <f>Adaptor!F52</f>
        <v>K513EQ</v>
      </c>
      <c r="H126" s="29" t="str">
        <f>Adaptor!G52</f>
        <v>Core i7-1165G7</v>
      </c>
      <c r="I126" s="29" t="str">
        <f>Adaptor!H52</f>
        <v>Local</v>
      </c>
      <c r="J126" s="29" t="str">
        <f>Adaptor!I52</f>
        <v>TBD</v>
      </c>
      <c r="K126" s="29" t="str">
        <f>Adaptor!J52</f>
        <v>Adapter</v>
      </c>
      <c r="L126" s="29" t="str">
        <f>Adaptor!K52</f>
        <v>65W*4.0PHI</v>
      </c>
      <c r="M126" s="29">
        <f>Adaptor!L52</f>
        <v>0</v>
      </c>
      <c r="N126" s="29">
        <f>Adaptor!M52</f>
        <v>0</v>
      </c>
      <c r="O126" s="29">
        <f>Adaptor!N52</f>
        <v>0</v>
      </c>
      <c r="P126" s="29">
        <f>Adaptor!P52</f>
        <v>0</v>
      </c>
      <c r="Q126" s="29">
        <f>Adaptor!Q52</f>
        <v>0</v>
      </c>
      <c r="R126" s="29">
        <f>Adaptor!R52</f>
        <v>0</v>
      </c>
      <c r="S126" s="29">
        <f>Adaptor!S52</f>
        <v>0</v>
      </c>
      <c r="T126" s="29">
        <f>Adaptor!T52</f>
        <v>0</v>
      </c>
      <c r="U126" s="29">
        <f>Adaptor!U52</f>
        <v>0</v>
      </c>
      <c r="V126" s="29">
        <f>Adaptor!V52</f>
        <v>0</v>
      </c>
      <c r="W126" s="29">
        <f>Adaptor!W52</f>
        <v>0</v>
      </c>
      <c r="X126" s="29">
        <f>Adaptor!X52</f>
        <v>0</v>
      </c>
      <c r="Y126" s="29">
        <f>Adaptor!Y52</f>
        <v>0</v>
      </c>
      <c r="Z126" s="29" t="e">
        <f>Adaptor!#REF!</f>
        <v>#REF!</v>
      </c>
      <c r="AA126" s="29">
        <f>Adaptor!Z52</f>
        <v>0</v>
      </c>
      <c r="AB126" s="29">
        <f>Adaptor!AA52</f>
        <v>0</v>
      </c>
    </row>
    <row r="127" spans="3:28">
      <c r="C127" s="98" t="s">
        <v>21</v>
      </c>
      <c r="D127" s="29">
        <f>Adaptor!C53</f>
        <v>0</v>
      </c>
      <c r="E127" s="29" t="str">
        <f>Adaptor!D53</f>
        <v>FCST</v>
      </c>
      <c r="F127" s="29">
        <f>Adaptor!E53</f>
        <v>0</v>
      </c>
      <c r="G127" s="29" t="str">
        <f>Adaptor!F53</f>
        <v>K3500PC</v>
      </c>
      <c r="H127" s="29" t="str">
        <f>Adaptor!G53</f>
        <v>Core i5-11300H</v>
      </c>
      <c r="I127" s="29">
        <f>Adaptor!H53</f>
        <v>0</v>
      </c>
      <c r="J127" s="29">
        <f>Adaptor!I53</f>
        <v>0</v>
      </c>
      <c r="K127" s="29">
        <f>Adaptor!J53</f>
        <v>0</v>
      </c>
      <c r="L127" s="29" t="str">
        <f>Adaptor!K53</f>
        <v>120W*4.5PHI</v>
      </c>
      <c r="M127" s="29">
        <f>Adaptor!L53</f>
        <v>0</v>
      </c>
      <c r="N127" s="29">
        <f>Adaptor!M53</f>
        <v>0</v>
      </c>
      <c r="O127" s="29">
        <f>Adaptor!N53</f>
        <v>0</v>
      </c>
      <c r="P127" s="29">
        <f>Adaptor!P53</f>
        <v>0</v>
      </c>
      <c r="Q127" s="29">
        <f>Adaptor!Q53</f>
        <v>0</v>
      </c>
      <c r="R127" s="29">
        <f>Adaptor!R53</f>
        <v>0</v>
      </c>
      <c r="S127" s="29">
        <f>Adaptor!S53</f>
        <v>0</v>
      </c>
      <c r="T127" s="29">
        <f>Adaptor!T53</f>
        <v>0</v>
      </c>
      <c r="U127" s="29">
        <f>Adaptor!U53</f>
        <v>0</v>
      </c>
      <c r="V127" s="29">
        <f>Adaptor!V53</f>
        <v>0</v>
      </c>
      <c r="W127" s="29">
        <f>Adaptor!W53</f>
        <v>0</v>
      </c>
      <c r="X127" s="29">
        <f>Adaptor!X53</f>
        <v>0</v>
      </c>
      <c r="Y127" s="29">
        <f>Adaptor!Y53</f>
        <v>0</v>
      </c>
      <c r="Z127" s="29" t="e">
        <f>Adaptor!#REF!</f>
        <v>#REF!</v>
      </c>
      <c r="AA127" s="29">
        <f>Adaptor!Z53</f>
        <v>0</v>
      </c>
      <c r="AB127" s="29">
        <f>Adaptor!AA53</f>
        <v>0</v>
      </c>
    </row>
    <row r="128" spans="3:28">
      <c r="C128" s="98" t="s">
        <v>21</v>
      </c>
      <c r="D128" s="29">
        <f>Adaptor!C54</f>
        <v>0</v>
      </c>
      <c r="E128" s="29">
        <f>Adaptor!D54</f>
        <v>0</v>
      </c>
      <c r="F128" s="29">
        <f>Adaptor!E54</f>
        <v>0</v>
      </c>
      <c r="G128" s="29" t="str">
        <f>Adaptor!F54</f>
        <v>K3500PC</v>
      </c>
      <c r="H128" s="29" t="str">
        <f>Adaptor!G54</f>
        <v>Core i5-11300H</v>
      </c>
      <c r="I128" s="29" t="str">
        <f>Adaptor!H54</f>
        <v>Imported</v>
      </c>
      <c r="J128" s="29" t="str">
        <f>Adaptor!I54</f>
        <v>ASUS</v>
      </c>
      <c r="K128" s="29" t="str">
        <f>Adaptor!J54</f>
        <v>Adapter</v>
      </c>
      <c r="L128" s="29" t="str">
        <f>Adaptor!K54</f>
        <v>120W*4.5PHI</v>
      </c>
      <c r="M128" s="29">
        <f>Adaptor!L54</f>
        <v>0</v>
      </c>
      <c r="N128" s="29" t="str">
        <f>Adaptor!M54</f>
        <v>0A001-00860500
0A001-00860600</v>
      </c>
      <c r="O128" s="29">
        <f>Adaptor!N54</f>
        <v>0</v>
      </c>
      <c r="P128" s="29">
        <f>Adaptor!P54</f>
        <v>0</v>
      </c>
      <c r="Q128" s="29">
        <f>Adaptor!Q54</f>
        <v>0</v>
      </c>
      <c r="R128" s="29">
        <f>Adaptor!R54</f>
        <v>0</v>
      </c>
      <c r="S128" s="29">
        <f>Adaptor!S54</f>
        <v>0</v>
      </c>
      <c r="T128" s="29">
        <f>Adaptor!T54</f>
        <v>0</v>
      </c>
      <c r="U128" s="29">
        <f>Adaptor!U54</f>
        <v>0</v>
      </c>
      <c r="V128" s="29">
        <f>Adaptor!V54</f>
        <v>0</v>
      </c>
      <c r="W128" s="29">
        <f>Adaptor!W54</f>
        <v>0</v>
      </c>
      <c r="X128" s="29">
        <f>Adaptor!X54</f>
        <v>0</v>
      </c>
      <c r="Y128" s="29">
        <f>Adaptor!Y54</f>
        <v>0</v>
      </c>
      <c r="Z128" s="29" t="e">
        <f>Adaptor!#REF!</f>
        <v>#REF!</v>
      </c>
      <c r="AA128" s="29">
        <f>Adaptor!Z54</f>
        <v>0</v>
      </c>
      <c r="AB128" s="29">
        <f>Adaptor!AA54</f>
        <v>0</v>
      </c>
    </row>
    <row r="129" spans="3:28">
      <c r="C129" s="98" t="s">
        <v>21</v>
      </c>
      <c r="D129" s="29">
        <f>Adaptor!C55</f>
        <v>0</v>
      </c>
      <c r="E129" s="29">
        <f>Adaptor!D55</f>
        <v>0</v>
      </c>
      <c r="F129" s="29">
        <f>Adaptor!E55</f>
        <v>0</v>
      </c>
      <c r="G129" s="29" t="str">
        <f>Adaptor!F55</f>
        <v>K3500PC</v>
      </c>
      <c r="H129" s="29" t="str">
        <f>Adaptor!G55</f>
        <v>Core i5-11300H</v>
      </c>
      <c r="I129" s="29" t="str">
        <f>Adaptor!H55</f>
        <v>Local</v>
      </c>
      <c r="J129" s="29" t="str">
        <f>Adaptor!I55</f>
        <v>TBD</v>
      </c>
      <c r="K129" s="29" t="str">
        <f>Adaptor!J55</f>
        <v>Adapter</v>
      </c>
      <c r="L129" s="29" t="str">
        <f>Adaptor!K55</f>
        <v>120W*4.5PHI</v>
      </c>
      <c r="M129" s="29">
        <f>Adaptor!L55</f>
        <v>0</v>
      </c>
      <c r="N129" s="29">
        <f>Adaptor!M55</f>
        <v>0</v>
      </c>
      <c r="O129" s="29">
        <f>Adaptor!N55</f>
        <v>0</v>
      </c>
      <c r="P129" s="29">
        <f>Adaptor!P55</f>
        <v>0</v>
      </c>
      <c r="Q129" s="29">
        <f>Adaptor!Q55</f>
        <v>0</v>
      </c>
      <c r="R129" s="29">
        <f>Adaptor!R55</f>
        <v>0</v>
      </c>
      <c r="S129" s="29">
        <f>Adaptor!S55</f>
        <v>0</v>
      </c>
      <c r="T129" s="29">
        <f>Adaptor!T55</f>
        <v>0</v>
      </c>
      <c r="U129" s="29">
        <f>Adaptor!U55</f>
        <v>0</v>
      </c>
      <c r="V129" s="29">
        <f>Adaptor!V55</f>
        <v>0</v>
      </c>
      <c r="W129" s="29">
        <f>Adaptor!W55</f>
        <v>0</v>
      </c>
      <c r="X129" s="29">
        <f>Adaptor!X55</f>
        <v>0</v>
      </c>
      <c r="Y129" s="29">
        <f>Adaptor!Y55</f>
        <v>0</v>
      </c>
      <c r="Z129" s="29" t="e">
        <f>Adaptor!#REF!</f>
        <v>#REF!</v>
      </c>
      <c r="AA129" s="29">
        <f>Adaptor!Z55</f>
        <v>0</v>
      </c>
      <c r="AB129" s="29">
        <f>Adaptor!AA55</f>
        <v>0</v>
      </c>
    </row>
    <row r="130" spans="3:28">
      <c r="C130" s="98" t="s">
        <v>21</v>
      </c>
      <c r="D130" s="29">
        <f>Adaptor!C56</f>
        <v>0</v>
      </c>
      <c r="E130" s="29" t="str">
        <f>Adaptor!D56</f>
        <v>FCST</v>
      </c>
      <c r="F130" s="29">
        <f>Adaptor!E56</f>
        <v>0</v>
      </c>
      <c r="G130" s="29" t="str">
        <f>Adaptor!F56</f>
        <v>K3500PC</v>
      </c>
      <c r="H130" s="29" t="str">
        <f>Adaptor!G56</f>
        <v>Core i7-11370H</v>
      </c>
      <c r="I130" s="29">
        <f>Adaptor!H56</f>
        <v>0</v>
      </c>
      <c r="J130" s="29">
        <f>Adaptor!I56</f>
        <v>0</v>
      </c>
      <c r="K130" s="29">
        <f>Adaptor!J56</f>
        <v>0</v>
      </c>
      <c r="L130" s="29" t="str">
        <f>Adaptor!K56</f>
        <v>120W*4.5PHI</v>
      </c>
      <c r="M130" s="29">
        <f>Adaptor!L56</f>
        <v>0</v>
      </c>
      <c r="N130" s="29">
        <f>Adaptor!M56</f>
        <v>0</v>
      </c>
      <c r="O130" s="29">
        <f>Adaptor!N56</f>
        <v>0</v>
      </c>
      <c r="P130" s="29">
        <f>Adaptor!P56</f>
        <v>0</v>
      </c>
      <c r="Q130" s="29">
        <f>Adaptor!Q56</f>
        <v>0</v>
      </c>
      <c r="R130" s="29">
        <f>Adaptor!R56</f>
        <v>0</v>
      </c>
      <c r="S130" s="29">
        <f>Adaptor!S56</f>
        <v>0</v>
      </c>
      <c r="T130" s="29">
        <f>Adaptor!T56</f>
        <v>0</v>
      </c>
      <c r="U130" s="29">
        <f>Adaptor!U56</f>
        <v>0</v>
      </c>
      <c r="V130" s="29">
        <f>Adaptor!V56</f>
        <v>0</v>
      </c>
      <c r="W130" s="29">
        <f>Adaptor!W56</f>
        <v>0</v>
      </c>
      <c r="X130" s="29">
        <f>Adaptor!X56</f>
        <v>0</v>
      </c>
      <c r="Y130" s="29">
        <f>Adaptor!Y56</f>
        <v>0</v>
      </c>
      <c r="Z130" s="29" t="e">
        <f>Adaptor!#REF!</f>
        <v>#REF!</v>
      </c>
      <c r="AA130" s="29">
        <f>Adaptor!Z56</f>
        <v>0</v>
      </c>
      <c r="AB130" s="29">
        <f>Adaptor!AA56</f>
        <v>0</v>
      </c>
    </row>
    <row r="131" spans="3:28">
      <c r="C131" s="98" t="s">
        <v>21</v>
      </c>
      <c r="D131" s="29">
        <f>Adaptor!C57</f>
        <v>0</v>
      </c>
      <c r="E131" s="29">
        <f>Adaptor!D57</f>
        <v>0</v>
      </c>
      <c r="F131" s="29">
        <f>Adaptor!E57</f>
        <v>0</v>
      </c>
      <c r="G131" s="29" t="str">
        <f>Adaptor!F57</f>
        <v>K3500PC</v>
      </c>
      <c r="H131" s="29" t="str">
        <f>Adaptor!G57</f>
        <v>Core i7-11370H</v>
      </c>
      <c r="I131" s="29" t="str">
        <f>Adaptor!H57</f>
        <v>Imported</v>
      </c>
      <c r="J131" s="29" t="str">
        <f>Adaptor!I57</f>
        <v>ASUS</v>
      </c>
      <c r="K131" s="29" t="str">
        <f>Adaptor!J57</f>
        <v>Adapter</v>
      </c>
      <c r="L131" s="29" t="str">
        <f>Adaptor!K57</f>
        <v>120W*4.5PHI</v>
      </c>
      <c r="M131" s="29">
        <f>Adaptor!L57</f>
        <v>0</v>
      </c>
      <c r="N131" s="29" t="str">
        <f>Adaptor!M57</f>
        <v>0A001-00860500
0A001-00860600</v>
      </c>
      <c r="O131" s="29">
        <f>Adaptor!N57</f>
        <v>0</v>
      </c>
      <c r="P131" s="29">
        <f>Adaptor!P57</f>
        <v>0</v>
      </c>
      <c r="Q131" s="29">
        <f>Adaptor!Q57</f>
        <v>0</v>
      </c>
      <c r="R131" s="29">
        <f>Adaptor!R57</f>
        <v>0</v>
      </c>
      <c r="S131" s="29">
        <f>Adaptor!S57</f>
        <v>0</v>
      </c>
      <c r="T131" s="29">
        <f>Adaptor!T57</f>
        <v>0</v>
      </c>
      <c r="U131" s="29">
        <f>Adaptor!U57</f>
        <v>0</v>
      </c>
      <c r="V131" s="29">
        <f>Adaptor!V57</f>
        <v>0</v>
      </c>
      <c r="W131" s="29">
        <f>Adaptor!W57</f>
        <v>0</v>
      </c>
      <c r="X131" s="29">
        <f>Adaptor!X57</f>
        <v>0</v>
      </c>
      <c r="Y131" s="29">
        <f>Adaptor!Y57</f>
        <v>0</v>
      </c>
      <c r="Z131" s="29" t="e">
        <f>Adaptor!#REF!</f>
        <v>#REF!</v>
      </c>
      <c r="AA131" s="29">
        <f>Adaptor!Z57</f>
        <v>0</v>
      </c>
      <c r="AB131" s="29">
        <f>Adaptor!AA57</f>
        <v>0</v>
      </c>
    </row>
    <row r="132" spans="3:28">
      <c r="C132" s="98" t="s">
        <v>21</v>
      </c>
      <c r="D132" s="29">
        <f>Adaptor!C58</f>
        <v>0</v>
      </c>
      <c r="E132" s="29">
        <f>Adaptor!D58</f>
        <v>0</v>
      </c>
      <c r="F132" s="29">
        <f>Adaptor!E58</f>
        <v>0</v>
      </c>
      <c r="G132" s="29" t="str">
        <f>Adaptor!F58</f>
        <v>K3500PC</v>
      </c>
      <c r="H132" s="29" t="str">
        <f>Adaptor!G58</f>
        <v>Core i7-11370H</v>
      </c>
      <c r="I132" s="29" t="str">
        <f>Adaptor!H58</f>
        <v>Local</v>
      </c>
      <c r="J132" s="29" t="str">
        <f>Adaptor!I58</f>
        <v>TBD</v>
      </c>
      <c r="K132" s="29" t="str">
        <f>Adaptor!J58</f>
        <v>Adapter</v>
      </c>
      <c r="L132" s="29" t="str">
        <f>Adaptor!K58</f>
        <v>120W*4.5PHI</v>
      </c>
      <c r="M132" s="29">
        <f>Adaptor!L58</f>
        <v>0</v>
      </c>
      <c r="N132" s="29">
        <f>Adaptor!M58</f>
        <v>0</v>
      </c>
      <c r="O132" s="29">
        <f>Adaptor!N58</f>
        <v>0</v>
      </c>
      <c r="P132" s="29">
        <f>Adaptor!P58</f>
        <v>0</v>
      </c>
      <c r="Q132" s="29">
        <f>Adaptor!Q58</f>
        <v>0</v>
      </c>
      <c r="R132" s="29">
        <f>Adaptor!R58</f>
        <v>0</v>
      </c>
      <c r="S132" s="29">
        <f>Adaptor!S58</f>
        <v>0</v>
      </c>
      <c r="T132" s="29">
        <f>Adaptor!T58</f>
        <v>0</v>
      </c>
      <c r="U132" s="29">
        <f>Adaptor!U58</f>
        <v>0</v>
      </c>
      <c r="V132" s="29">
        <f>Adaptor!V58</f>
        <v>0</v>
      </c>
      <c r="W132" s="29">
        <f>Adaptor!W58</f>
        <v>0</v>
      </c>
      <c r="X132" s="29">
        <f>Adaptor!X58</f>
        <v>0</v>
      </c>
      <c r="Y132" s="29">
        <f>Adaptor!Y58</f>
        <v>0</v>
      </c>
      <c r="Z132" s="29" t="e">
        <f>Adaptor!#REF!</f>
        <v>#REF!</v>
      </c>
      <c r="AA132" s="29">
        <f>Adaptor!Z58</f>
        <v>0</v>
      </c>
      <c r="AB132" s="29">
        <f>Adaptor!AA58</f>
        <v>0</v>
      </c>
    </row>
    <row r="133" spans="3:28" s="11" customFormat="1">
      <c r="C133" s="98" t="s">
        <v>21</v>
      </c>
      <c r="D133" s="29">
        <f>Adaptor!C59</f>
        <v>0</v>
      </c>
      <c r="E133" s="29" t="str">
        <f>Adaptor!D59</f>
        <v>FCST</v>
      </c>
      <c r="F133" s="29">
        <f>Adaptor!E59</f>
        <v>0</v>
      </c>
      <c r="G133" s="29" t="str">
        <f>Adaptor!F59</f>
        <v>K3500PH</v>
      </c>
      <c r="H133" s="29" t="str">
        <f>Adaptor!G59</f>
        <v>Core i5-11300H</v>
      </c>
      <c r="I133" s="29">
        <f>Adaptor!H59</f>
        <v>0</v>
      </c>
      <c r="J133" s="29">
        <f>Adaptor!I59</f>
        <v>0</v>
      </c>
      <c r="K133" s="29">
        <f>Adaptor!J59</f>
        <v>0</v>
      </c>
      <c r="L133" s="29" t="str">
        <f>Adaptor!K59</f>
        <v>120W*4.5PHI</v>
      </c>
      <c r="M133" s="29">
        <f>Adaptor!L59</f>
        <v>0</v>
      </c>
      <c r="N133" s="29">
        <f>Adaptor!M59</f>
        <v>0</v>
      </c>
      <c r="O133" s="29">
        <f>Adaptor!N59</f>
        <v>0</v>
      </c>
      <c r="P133" s="29">
        <f>Adaptor!P59</f>
        <v>0</v>
      </c>
      <c r="Q133" s="29">
        <f>Adaptor!Q59</f>
        <v>0</v>
      </c>
      <c r="R133" s="29">
        <f>Adaptor!R59</f>
        <v>0</v>
      </c>
      <c r="S133" s="29">
        <f>Adaptor!S59</f>
        <v>0</v>
      </c>
      <c r="T133" s="29">
        <f>Adaptor!T59</f>
        <v>0</v>
      </c>
      <c r="U133" s="29">
        <f>Adaptor!U59</f>
        <v>0</v>
      </c>
      <c r="V133" s="29">
        <f>Adaptor!V59</f>
        <v>0</v>
      </c>
      <c r="W133" s="29">
        <f>Adaptor!W59</f>
        <v>0</v>
      </c>
      <c r="X133" s="29">
        <f>Adaptor!X59</f>
        <v>0</v>
      </c>
      <c r="Y133" s="29">
        <f>Adaptor!Y59</f>
        <v>0</v>
      </c>
      <c r="Z133" s="29" t="e">
        <f>Adaptor!#REF!</f>
        <v>#REF!</v>
      </c>
      <c r="AA133" s="29">
        <f>Adaptor!Z59</f>
        <v>0</v>
      </c>
      <c r="AB133" s="29">
        <f>Adaptor!AA59</f>
        <v>0</v>
      </c>
    </row>
    <row r="134" spans="3:28" s="11" customFormat="1">
      <c r="C134" s="98" t="s">
        <v>21</v>
      </c>
      <c r="D134" s="29">
        <f>Adaptor!C60</f>
        <v>0</v>
      </c>
      <c r="E134" s="29">
        <f>Adaptor!D60</f>
        <v>0</v>
      </c>
      <c r="F134" s="29">
        <f>Adaptor!E60</f>
        <v>0</v>
      </c>
      <c r="G134" s="29" t="str">
        <f>Adaptor!F60</f>
        <v>K3500PH</v>
      </c>
      <c r="H134" s="29" t="str">
        <f>Adaptor!G60</f>
        <v>Core i5-11300H</v>
      </c>
      <c r="I134" s="29" t="str">
        <f>Adaptor!H60</f>
        <v>Imported</v>
      </c>
      <c r="J134" s="29" t="str">
        <f>Adaptor!I60</f>
        <v>ASUS</v>
      </c>
      <c r="K134" s="29" t="str">
        <f>Adaptor!J60</f>
        <v>Adapter</v>
      </c>
      <c r="L134" s="29" t="str">
        <f>Adaptor!K60</f>
        <v>120W*4.5PHI</v>
      </c>
      <c r="M134" s="29">
        <f>Adaptor!L60</f>
        <v>0</v>
      </c>
      <c r="N134" s="29" t="str">
        <f>Adaptor!M60</f>
        <v>0A001-00860500
0A001-00860600</v>
      </c>
      <c r="O134" s="29">
        <f>Adaptor!N60</f>
        <v>0</v>
      </c>
      <c r="P134" s="29">
        <f>Adaptor!P60</f>
        <v>0</v>
      </c>
      <c r="Q134" s="29">
        <f>Adaptor!Q60</f>
        <v>0</v>
      </c>
      <c r="R134" s="29">
        <f>Adaptor!R60</f>
        <v>0</v>
      </c>
      <c r="S134" s="29">
        <f>Adaptor!S60</f>
        <v>0</v>
      </c>
      <c r="T134" s="29">
        <f>Adaptor!T60</f>
        <v>0</v>
      </c>
      <c r="U134" s="29">
        <f>Adaptor!U60</f>
        <v>0</v>
      </c>
      <c r="V134" s="29">
        <f>Adaptor!V60</f>
        <v>0</v>
      </c>
      <c r="W134" s="29">
        <f>Adaptor!W60</f>
        <v>0</v>
      </c>
      <c r="X134" s="29">
        <f>Adaptor!X60</f>
        <v>0</v>
      </c>
      <c r="Y134" s="29">
        <f>Adaptor!Y60</f>
        <v>0</v>
      </c>
      <c r="Z134" s="29" t="e">
        <f>Adaptor!#REF!</f>
        <v>#REF!</v>
      </c>
      <c r="AA134" s="29">
        <f>Adaptor!Z60</f>
        <v>0</v>
      </c>
      <c r="AB134" s="29">
        <f>Adaptor!AA60</f>
        <v>0</v>
      </c>
    </row>
    <row r="135" spans="3:28" s="11" customFormat="1">
      <c r="C135" s="98" t="s">
        <v>21</v>
      </c>
      <c r="D135" s="29">
        <f>Adaptor!C61</f>
        <v>0</v>
      </c>
      <c r="E135" s="29">
        <f>Adaptor!D61</f>
        <v>0</v>
      </c>
      <c r="F135" s="29">
        <f>Adaptor!E61</f>
        <v>0</v>
      </c>
      <c r="G135" s="29" t="str">
        <f>Adaptor!F61</f>
        <v>K3500PH</v>
      </c>
      <c r="H135" s="29" t="str">
        <f>Adaptor!G61</f>
        <v>Core i5-11300H</v>
      </c>
      <c r="I135" s="29" t="str">
        <f>Adaptor!H61</f>
        <v>Local</v>
      </c>
      <c r="J135" s="29" t="str">
        <f>Adaptor!I61</f>
        <v>TBD</v>
      </c>
      <c r="K135" s="29" t="str">
        <f>Adaptor!J61</f>
        <v>Adapter</v>
      </c>
      <c r="L135" s="29" t="str">
        <f>Adaptor!K61</f>
        <v>120W*4.5PHI</v>
      </c>
      <c r="M135" s="29">
        <f>Adaptor!L61</f>
        <v>0</v>
      </c>
      <c r="N135" s="29">
        <f>Adaptor!M61</f>
        <v>0</v>
      </c>
      <c r="O135" s="29">
        <f>Adaptor!N61</f>
        <v>0</v>
      </c>
      <c r="P135" s="29">
        <f>Adaptor!P61</f>
        <v>0</v>
      </c>
      <c r="Q135" s="29">
        <f>Adaptor!Q61</f>
        <v>0</v>
      </c>
      <c r="R135" s="29">
        <f>Adaptor!R61</f>
        <v>0</v>
      </c>
      <c r="S135" s="29">
        <f>Adaptor!S61</f>
        <v>0</v>
      </c>
      <c r="T135" s="29">
        <f>Adaptor!T61</f>
        <v>0</v>
      </c>
      <c r="U135" s="29">
        <f>Adaptor!U61</f>
        <v>0</v>
      </c>
      <c r="V135" s="29">
        <f>Adaptor!V61</f>
        <v>0</v>
      </c>
      <c r="W135" s="29">
        <f>Adaptor!W61</f>
        <v>0</v>
      </c>
      <c r="X135" s="29">
        <f>Adaptor!X61</f>
        <v>0</v>
      </c>
      <c r="Y135" s="29">
        <f>Adaptor!Y61</f>
        <v>0</v>
      </c>
      <c r="Z135" s="29" t="e">
        <f>Adaptor!#REF!</f>
        <v>#REF!</v>
      </c>
      <c r="AA135" s="29">
        <f>Adaptor!Z61</f>
        <v>0</v>
      </c>
      <c r="AB135" s="29">
        <f>Adaptor!AA61</f>
        <v>0</v>
      </c>
    </row>
    <row r="136" spans="3:28" s="11" customFormat="1">
      <c r="C136" s="98" t="s">
        <v>21</v>
      </c>
      <c r="D136" s="29">
        <f>Adaptor!C62</f>
        <v>0</v>
      </c>
      <c r="E136" s="29" t="str">
        <f>Adaptor!D62</f>
        <v>FCST</v>
      </c>
      <c r="F136" s="29">
        <f>Adaptor!E62</f>
        <v>0</v>
      </c>
      <c r="G136" s="29" t="str">
        <f>Adaptor!F62</f>
        <v>M3500QC</v>
      </c>
      <c r="H136" s="29" t="str">
        <f>Adaptor!G62</f>
        <v>Ryzen 7-5800H</v>
      </c>
      <c r="I136" s="29">
        <f>Adaptor!H62</f>
        <v>0</v>
      </c>
      <c r="J136" s="29">
        <f>Adaptor!I62</f>
        <v>0</v>
      </c>
      <c r="K136" s="29">
        <f>Adaptor!J62</f>
        <v>0</v>
      </c>
      <c r="L136" s="29" t="str">
        <f>Adaptor!K62</f>
        <v>120W*4.5PHI</v>
      </c>
      <c r="M136" s="29">
        <f>Adaptor!L62</f>
        <v>0</v>
      </c>
      <c r="N136" s="29">
        <f>Adaptor!M62</f>
        <v>0</v>
      </c>
      <c r="O136" s="29">
        <f>Adaptor!N62</f>
        <v>0</v>
      </c>
      <c r="P136" s="29">
        <f>Adaptor!P62</f>
        <v>0</v>
      </c>
      <c r="Q136" s="29">
        <f>Adaptor!Q62</f>
        <v>0</v>
      </c>
      <c r="R136" s="29">
        <f>Adaptor!R62</f>
        <v>0</v>
      </c>
      <c r="S136" s="29">
        <f>Adaptor!S62</f>
        <v>0</v>
      </c>
      <c r="T136" s="29">
        <f>Adaptor!T62</f>
        <v>0</v>
      </c>
      <c r="U136" s="29">
        <f>Adaptor!U62</f>
        <v>0</v>
      </c>
      <c r="V136" s="29">
        <f>Adaptor!V62</f>
        <v>0</v>
      </c>
      <c r="W136" s="29">
        <f>Adaptor!W62</f>
        <v>0</v>
      </c>
      <c r="X136" s="29">
        <f>Adaptor!X62</f>
        <v>0</v>
      </c>
      <c r="Y136" s="29">
        <f>Adaptor!Y62</f>
        <v>0</v>
      </c>
      <c r="Z136" s="29" t="e">
        <f>Adaptor!#REF!</f>
        <v>#REF!</v>
      </c>
      <c r="AA136" s="29">
        <f>Adaptor!Z62</f>
        <v>0</v>
      </c>
      <c r="AB136" s="29">
        <f>Adaptor!AA62</f>
        <v>0</v>
      </c>
    </row>
    <row r="137" spans="3:28" s="11" customFormat="1">
      <c r="C137" s="98" t="s">
        <v>21</v>
      </c>
      <c r="D137" s="29">
        <f>Adaptor!C63</f>
        <v>0</v>
      </c>
      <c r="E137" s="29">
        <f>Adaptor!D63</f>
        <v>0</v>
      </c>
      <c r="F137" s="29">
        <f>Adaptor!E63</f>
        <v>0</v>
      </c>
      <c r="G137" s="29" t="str">
        <f>Adaptor!F63</f>
        <v>M3500QC</v>
      </c>
      <c r="H137" s="29" t="str">
        <f>Adaptor!G63</f>
        <v>Ryzen 7-5800H</v>
      </c>
      <c r="I137" s="29" t="str">
        <f>Adaptor!H63</f>
        <v>Imported</v>
      </c>
      <c r="J137" s="29" t="str">
        <f>Adaptor!I63</f>
        <v>ASUS</v>
      </c>
      <c r="K137" s="29" t="str">
        <f>Adaptor!J63</f>
        <v>Adapter</v>
      </c>
      <c r="L137" s="29" t="str">
        <f>Adaptor!K63</f>
        <v>120W*4.5PHI</v>
      </c>
      <c r="M137" s="29">
        <f>Adaptor!L63</f>
        <v>0</v>
      </c>
      <c r="N137" s="29" t="str">
        <f>Adaptor!M63</f>
        <v>0A001-00860500
0A001-00860600</v>
      </c>
      <c r="O137" s="29">
        <f>Adaptor!N63</f>
        <v>0</v>
      </c>
      <c r="P137" s="29">
        <f>Adaptor!P63</f>
        <v>0</v>
      </c>
      <c r="Q137" s="29">
        <f>Adaptor!Q63</f>
        <v>0</v>
      </c>
      <c r="R137" s="29">
        <f>Adaptor!R63</f>
        <v>0</v>
      </c>
      <c r="S137" s="29">
        <f>Adaptor!S63</f>
        <v>0</v>
      </c>
      <c r="T137" s="29">
        <f>Adaptor!T63</f>
        <v>0</v>
      </c>
      <c r="U137" s="29">
        <f>Adaptor!U63</f>
        <v>0</v>
      </c>
      <c r="V137" s="29">
        <f>Adaptor!V63</f>
        <v>0</v>
      </c>
      <c r="W137" s="29">
        <f>Adaptor!W63</f>
        <v>0</v>
      </c>
      <c r="X137" s="29">
        <f>Adaptor!X63</f>
        <v>0</v>
      </c>
      <c r="Y137" s="29">
        <f>Adaptor!Y63</f>
        <v>0</v>
      </c>
      <c r="Z137" s="29" t="e">
        <f>Adaptor!#REF!</f>
        <v>#REF!</v>
      </c>
      <c r="AA137" s="29">
        <f>Adaptor!Z63</f>
        <v>0</v>
      </c>
      <c r="AB137" s="29">
        <f>Adaptor!AA63</f>
        <v>0</v>
      </c>
    </row>
    <row r="138" spans="3:28" s="11" customFormat="1">
      <c r="C138" s="98" t="s">
        <v>21</v>
      </c>
      <c r="D138" s="29">
        <f>Adaptor!C64</f>
        <v>0</v>
      </c>
      <c r="E138" s="29">
        <f>Adaptor!D64</f>
        <v>0</v>
      </c>
      <c r="F138" s="29">
        <f>Adaptor!E64</f>
        <v>0</v>
      </c>
      <c r="G138" s="29" t="str">
        <f>Adaptor!F64</f>
        <v>M3500QC</v>
      </c>
      <c r="H138" s="29" t="str">
        <f>Adaptor!G64</f>
        <v>Ryzen 7-5800H</v>
      </c>
      <c r="I138" s="29" t="str">
        <f>Adaptor!H64</f>
        <v>Local</v>
      </c>
      <c r="J138" s="29" t="str">
        <f>Adaptor!I64</f>
        <v>TBD</v>
      </c>
      <c r="K138" s="29" t="str">
        <f>Adaptor!J64</f>
        <v>Adapter</v>
      </c>
      <c r="L138" s="29" t="str">
        <f>Adaptor!K64</f>
        <v>120W*4.5PHI</v>
      </c>
      <c r="M138" s="29">
        <f>Adaptor!L64</f>
        <v>0</v>
      </c>
      <c r="N138" s="29">
        <f>Adaptor!M64</f>
        <v>0</v>
      </c>
      <c r="O138" s="29">
        <f>Adaptor!N64</f>
        <v>0</v>
      </c>
      <c r="P138" s="29">
        <f>Adaptor!P64</f>
        <v>0</v>
      </c>
      <c r="Q138" s="29">
        <f>Adaptor!Q64</f>
        <v>0</v>
      </c>
      <c r="R138" s="29">
        <f>Adaptor!R64</f>
        <v>0</v>
      </c>
      <c r="S138" s="29">
        <f>Adaptor!S64</f>
        <v>0</v>
      </c>
      <c r="T138" s="29">
        <f>Adaptor!T64</f>
        <v>0</v>
      </c>
      <c r="U138" s="29">
        <f>Adaptor!U64</f>
        <v>0</v>
      </c>
      <c r="V138" s="29">
        <f>Adaptor!V64</f>
        <v>0</v>
      </c>
      <c r="W138" s="29">
        <f>Adaptor!W64</f>
        <v>0</v>
      </c>
      <c r="X138" s="29">
        <f>Adaptor!X64</f>
        <v>0</v>
      </c>
      <c r="Y138" s="29">
        <f>Adaptor!Y64</f>
        <v>0</v>
      </c>
      <c r="Z138" s="29" t="e">
        <f>Adaptor!#REF!</f>
        <v>#REF!</v>
      </c>
      <c r="AA138" s="29">
        <f>Adaptor!Z64</f>
        <v>0</v>
      </c>
      <c r="AB138" s="29">
        <f>Adaptor!AA64</f>
        <v>0</v>
      </c>
    </row>
    <row r="139" spans="3:28" s="11" customFormat="1">
      <c r="C139" s="98" t="s">
        <v>21</v>
      </c>
      <c r="D139" s="29">
        <f>Adaptor!C65</f>
        <v>0</v>
      </c>
      <c r="E139" s="29" t="str">
        <f>Adaptor!D65</f>
        <v>FCST</v>
      </c>
      <c r="F139" s="29">
        <f>Adaptor!E65</f>
        <v>23900</v>
      </c>
      <c r="G139" s="29" t="str">
        <f>Adaptor!F65</f>
        <v>M1502IA</v>
      </c>
      <c r="H139" s="29" t="str">
        <f>Adaptor!G65</f>
        <v>Ryzen 5-4600H</v>
      </c>
      <c r="I139" s="29">
        <f>Adaptor!H65</f>
        <v>0</v>
      </c>
      <c r="J139" s="29">
        <f>Adaptor!I65</f>
        <v>0</v>
      </c>
      <c r="K139" s="29">
        <f>Adaptor!J65</f>
        <v>0</v>
      </c>
      <c r="L139" s="29" t="str">
        <f>Adaptor!K65</f>
        <v>90W*4.5PHI</v>
      </c>
      <c r="M139" s="29">
        <f>Adaptor!L65</f>
        <v>0</v>
      </c>
      <c r="N139" s="29">
        <f>Adaptor!M65</f>
        <v>0</v>
      </c>
      <c r="O139" s="29">
        <f>Adaptor!N65</f>
        <v>0</v>
      </c>
      <c r="P139" s="29">
        <f>Adaptor!P65</f>
        <v>0</v>
      </c>
      <c r="Q139" s="29">
        <f>Adaptor!Q65</f>
        <v>0</v>
      </c>
      <c r="R139" s="29">
        <f>Adaptor!R65</f>
        <v>700</v>
      </c>
      <c r="S139" s="29">
        <f>Adaptor!S65</f>
        <v>4300</v>
      </c>
      <c r="T139" s="29">
        <f>Adaptor!T65</f>
        <v>6300</v>
      </c>
      <c r="U139" s="29">
        <f>Adaptor!U65</f>
        <v>6300</v>
      </c>
      <c r="V139" s="29">
        <f>Adaptor!V65</f>
        <v>6300</v>
      </c>
      <c r="W139" s="29">
        <f>Adaptor!W65</f>
        <v>0</v>
      </c>
      <c r="X139" s="29">
        <f>Adaptor!X65</f>
        <v>0</v>
      </c>
      <c r="Y139" s="29">
        <f>Adaptor!Y65</f>
        <v>0</v>
      </c>
      <c r="Z139" s="29" t="e">
        <f>Adaptor!#REF!</f>
        <v>#REF!</v>
      </c>
      <c r="AA139" s="29">
        <f>Adaptor!Z65</f>
        <v>0</v>
      </c>
      <c r="AB139" s="29">
        <f>Adaptor!AA65</f>
        <v>0</v>
      </c>
    </row>
    <row r="140" spans="3:28" s="11" customFormat="1">
      <c r="C140" s="98" t="s">
        <v>21</v>
      </c>
      <c r="D140" s="29">
        <f>Adaptor!C66</f>
        <v>0</v>
      </c>
      <c r="E140" s="29">
        <f>Adaptor!D66</f>
        <v>0</v>
      </c>
      <c r="F140" s="29">
        <f>Adaptor!E66</f>
        <v>0</v>
      </c>
      <c r="G140" s="29" t="str">
        <f>Adaptor!F66</f>
        <v>M1502IA</v>
      </c>
      <c r="H140" s="29" t="str">
        <f>Adaptor!G66</f>
        <v>Ryzen 5-4600H</v>
      </c>
      <c r="I140" s="29" t="str">
        <f>Adaptor!H66</f>
        <v>Imported</v>
      </c>
      <c r="J140" s="29" t="str">
        <f>Adaptor!I66</f>
        <v>ASUS</v>
      </c>
      <c r="K140" s="29" t="str">
        <f>Adaptor!J66</f>
        <v>Adapter</v>
      </c>
      <c r="L140" s="29" t="str">
        <f>Adaptor!K66</f>
        <v>90W*4.5PHI</v>
      </c>
      <c r="M140" s="29">
        <f>Adaptor!L66</f>
        <v>0</v>
      </c>
      <c r="N140" s="29" t="str">
        <f>Adaptor!M66</f>
        <v>0A001-00059100
0A001-00059000</v>
      </c>
      <c r="O140" s="29">
        <f>Adaptor!N66</f>
        <v>0</v>
      </c>
      <c r="P140" s="29">
        <f>Adaptor!P66</f>
        <v>0</v>
      </c>
      <c r="Q140" s="29">
        <f>Adaptor!Q66</f>
        <v>0</v>
      </c>
      <c r="R140" s="29">
        <f>Adaptor!R66</f>
        <v>700</v>
      </c>
      <c r="S140" s="29">
        <f>Adaptor!S66</f>
        <v>4300</v>
      </c>
      <c r="T140" s="29">
        <f>Adaptor!T66</f>
        <v>6300</v>
      </c>
      <c r="U140" s="29">
        <f>Adaptor!U66</f>
        <v>6300</v>
      </c>
      <c r="V140" s="29">
        <f>Adaptor!V66</f>
        <v>6300</v>
      </c>
      <c r="W140" s="29">
        <f>Adaptor!W66</f>
        <v>0</v>
      </c>
      <c r="X140" s="29">
        <f>Adaptor!X66</f>
        <v>0</v>
      </c>
      <c r="Y140" s="29">
        <f>Adaptor!Y66</f>
        <v>0</v>
      </c>
      <c r="Z140" s="29" t="e">
        <f>Adaptor!#REF!</f>
        <v>#REF!</v>
      </c>
      <c r="AA140" s="29">
        <f>Adaptor!Z66</f>
        <v>23900</v>
      </c>
      <c r="AB140" s="29">
        <f>Adaptor!AA66</f>
        <v>0</v>
      </c>
    </row>
    <row r="141" spans="3:28" s="11" customFormat="1">
      <c r="C141" s="98" t="s">
        <v>21</v>
      </c>
      <c r="D141" s="29">
        <f>Adaptor!C67</f>
        <v>0</v>
      </c>
      <c r="E141" s="29">
        <f>Adaptor!D67</f>
        <v>0</v>
      </c>
      <c r="F141" s="29">
        <f>Adaptor!E67</f>
        <v>0</v>
      </c>
      <c r="G141" s="29" t="str">
        <f>Adaptor!F67</f>
        <v>M1502IA</v>
      </c>
      <c r="H141" s="29" t="str">
        <f>Adaptor!G67</f>
        <v>Ryzen 5-4600H</v>
      </c>
      <c r="I141" s="29" t="str">
        <f>Adaptor!H67</f>
        <v>Local</v>
      </c>
      <c r="J141" s="29" t="str">
        <f>Adaptor!I67</f>
        <v>TBD</v>
      </c>
      <c r="K141" s="29" t="str">
        <f>Adaptor!J67</f>
        <v>Adapter</v>
      </c>
      <c r="L141" s="29" t="str">
        <f>Adaptor!K67</f>
        <v>90W*4.5PHI</v>
      </c>
      <c r="M141" s="29">
        <f>Adaptor!L67</f>
        <v>0</v>
      </c>
      <c r="N141" s="29">
        <f>Adaptor!M67</f>
        <v>0</v>
      </c>
      <c r="O141" s="29">
        <f>Adaptor!N67</f>
        <v>0</v>
      </c>
      <c r="P141" s="29">
        <f>Adaptor!P67</f>
        <v>0</v>
      </c>
      <c r="Q141" s="29">
        <f>Adaptor!Q67</f>
        <v>0</v>
      </c>
      <c r="R141" s="29">
        <f>Adaptor!R67</f>
        <v>0</v>
      </c>
      <c r="S141" s="29">
        <f>Adaptor!S67</f>
        <v>0</v>
      </c>
      <c r="T141" s="29">
        <f>Adaptor!T67</f>
        <v>0</v>
      </c>
      <c r="U141" s="29">
        <f>Adaptor!U67</f>
        <v>0</v>
      </c>
      <c r="V141" s="29">
        <f>Adaptor!V67</f>
        <v>0</v>
      </c>
      <c r="W141" s="29">
        <f>Adaptor!W67</f>
        <v>0</v>
      </c>
      <c r="X141" s="29">
        <f>Adaptor!X67</f>
        <v>0</v>
      </c>
      <c r="Y141" s="29">
        <f>Adaptor!Y67</f>
        <v>0</v>
      </c>
      <c r="Z141" s="29" t="e">
        <f>Adaptor!#REF!</f>
        <v>#REF!</v>
      </c>
      <c r="AA141" s="29">
        <f>Adaptor!Z67</f>
        <v>0</v>
      </c>
      <c r="AB141" s="29">
        <f>Adaptor!AA67</f>
        <v>0</v>
      </c>
    </row>
    <row r="142" spans="3:28" s="11" customFormat="1">
      <c r="C142" s="98" t="s">
        <v>21</v>
      </c>
      <c r="D142" s="29">
        <f>Adaptor!C68</f>
        <v>0</v>
      </c>
      <c r="E142" s="29" t="str">
        <f>Adaptor!D68</f>
        <v>FCST</v>
      </c>
      <c r="F142" s="29">
        <f>Adaptor!E68</f>
        <v>1970</v>
      </c>
      <c r="G142" s="29" t="str">
        <f>Adaptor!F68</f>
        <v>M1502IA</v>
      </c>
      <c r="H142" s="29" t="str">
        <f>Adaptor!G68</f>
        <v>Ryzen 7-4800H</v>
      </c>
      <c r="I142" s="29">
        <f>Adaptor!H68</f>
        <v>0</v>
      </c>
      <c r="J142" s="29">
        <f>Adaptor!I68</f>
        <v>0</v>
      </c>
      <c r="K142" s="29">
        <f>Adaptor!J68</f>
        <v>0</v>
      </c>
      <c r="L142" s="29" t="str">
        <f>Adaptor!K68</f>
        <v>90W*4.5PHI</v>
      </c>
      <c r="M142" s="29">
        <f>Adaptor!L68</f>
        <v>0</v>
      </c>
      <c r="N142" s="29">
        <f>Adaptor!M68</f>
        <v>0</v>
      </c>
      <c r="O142" s="29">
        <f>Adaptor!N68</f>
        <v>0</v>
      </c>
      <c r="P142" s="29">
        <f>Adaptor!P68</f>
        <v>0</v>
      </c>
      <c r="Q142" s="29">
        <f>Adaptor!Q68</f>
        <v>0</v>
      </c>
      <c r="R142" s="29">
        <f>Adaptor!R68</f>
        <v>180</v>
      </c>
      <c r="S142" s="29">
        <f>Adaptor!S68</f>
        <v>200</v>
      </c>
      <c r="T142" s="29">
        <f>Adaptor!T68</f>
        <v>530</v>
      </c>
      <c r="U142" s="29">
        <f>Adaptor!U68</f>
        <v>530</v>
      </c>
      <c r="V142" s="29">
        <f>Adaptor!V68</f>
        <v>530</v>
      </c>
      <c r="W142" s="29">
        <f>Adaptor!W68</f>
        <v>0</v>
      </c>
      <c r="X142" s="29">
        <f>Adaptor!X68</f>
        <v>0</v>
      </c>
      <c r="Y142" s="29">
        <f>Adaptor!Y68</f>
        <v>0</v>
      </c>
      <c r="Z142" s="29" t="e">
        <f>Adaptor!#REF!</f>
        <v>#REF!</v>
      </c>
      <c r="AA142" s="29">
        <f>Adaptor!Z68</f>
        <v>0</v>
      </c>
      <c r="AB142" s="29">
        <f>Adaptor!AA68</f>
        <v>0</v>
      </c>
    </row>
    <row r="143" spans="3:28" s="11" customFormat="1">
      <c r="C143" s="98" t="s">
        <v>21</v>
      </c>
      <c r="D143" s="29">
        <f>Adaptor!C69</f>
        <v>0</v>
      </c>
      <c r="E143" s="29">
        <f>Adaptor!D69</f>
        <v>0</v>
      </c>
      <c r="F143" s="29">
        <f>Adaptor!E69</f>
        <v>0</v>
      </c>
      <c r="G143" s="29" t="str">
        <f>Adaptor!F69</f>
        <v>M1502IA</v>
      </c>
      <c r="H143" s="29" t="str">
        <f>Adaptor!G69</f>
        <v>Ryzen 7-4800H</v>
      </c>
      <c r="I143" s="29" t="str">
        <f>Adaptor!H69</f>
        <v>Imported</v>
      </c>
      <c r="J143" s="29" t="str">
        <f>Adaptor!I69</f>
        <v>ASUS</v>
      </c>
      <c r="K143" s="29" t="str">
        <f>Adaptor!J69</f>
        <v>Adapter</v>
      </c>
      <c r="L143" s="29" t="str">
        <f>Adaptor!K69</f>
        <v>90W*4.5PHI</v>
      </c>
      <c r="M143" s="29">
        <f>Adaptor!L69</f>
        <v>0</v>
      </c>
      <c r="N143" s="29" t="str">
        <f>Adaptor!M69</f>
        <v>0A001-00059100
0A001-00059000</v>
      </c>
      <c r="O143" s="29">
        <f>Adaptor!N69</f>
        <v>0</v>
      </c>
      <c r="P143" s="29">
        <f>Adaptor!P69</f>
        <v>0</v>
      </c>
      <c r="Q143" s="29">
        <f>Adaptor!Q69</f>
        <v>0</v>
      </c>
      <c r="R143" s="29">
        <f>Adaptor!R69</f>
        <v>180</v>
      </c>
      <c r="S143" s="29">
        <f>Adaptor!S69</f>
        <v>200</v>
      </c>
      <c r="T143" s="29">
        <f>Adaptor!T69</f>
        <v>530</v>
      </c>
      <c r="U143" s="29">
        <f>Adaptor!U69</f>
        <v>530</v>
      </c>
      <c r="V143" s="29">
        <f>Adaptor!V69</f>
        <v>530</v>
      </c>
      <c r="W143" s="29">
        <f>Adaptor!W69</f>
        <v>0</v>
      </c>
      <c r="X143" s="29">
        <f>Adaptor!X69</f>
        <v>0</v>
      </c>
      <c r="Y143" s="29">
        <f>Adaptor!Y69</f>
        <v>0</v>
      </c>
      <c r="Z143" s="29" t="e">
        <f>Adaptor!#REF!</f>
        <v>#REF!</v>
      </c>
      <c r="AA143" s="29">
        <f>Adaptor!Z69</f>
        <v>1970</v>
      </c>
      <c r="AB143" s="29">
        <f>Adaptor!AA69</f>
        <v>0</v>
      </c>
    </row>
    <row r="144" spans="3:28" s="11" customFormat="1">
      <c r="C144" s="98" t="s">
        <v>21</v>
      </c>
      <c r="D144" s="29">
        <f>Adaptor!C70</f>
        <v>0</v>
      </c>
      <c r="E144" s="29">
        <f>Adaptor!D70</f>
        <v>0</v>
      </c>
      <c r="F144" s="29">
        <f>Adaptor!E70</f>
        <v>0</v>
      </c>
      <c r="G144" s="29" t="str">
        <f>Adaptor!F70</f>
        <v>M1502IA</v>
      </c>
      <c r="H144" s="29" t="str">
        <f>Adaptor!G70</f>
        <v>Ryzen 7-4800H</v>
      </c>
      <c r="I144" s="29" t="str">
        <f>Adaptor!H70</f>
        <v>Local</v>
      </c>
      <c r="J144" s="29" t="str">
        <f>Adaptor!I70</f>
        <v>TBD</v>
      </c>
      <c r="K144" s="29" t="str">
        <f>Adaptor!J70</f>
        <v>Adapter</v>
      </c>
      <c r="L144" s="29" t="str">
        <f>Adaptor!K70</f>
        <v>90W*4.5PHI</v>
      </c>
      <c r="M144" s="29">
        <f>Adaptor!L70</f>
        <v>0</v>
      </c>
      <c r="N144" s="29">
        <f>Adaptor!M70</f>
        <v>0</v>
      </c>
      <c r="O144" s="29">
        <f>Adaptor!N70</f>
        <v>0</v>
      </c>
      <c r="P144" s="29">
        <f>Adaptor!P70</f>
        <v>0</v>
      </c>
      <c r="Q144" s="29">
        <f>Adaptor!Q70</f>
        <v>0</v>
      </c>
      <c r="R144" s="29">
        <f>Adaptor!R70</f>
        <v>0</v>
      </c>
      <c r="S144" s="29">
        <f>Adaptor!S70</f>
        <v>0</v>
      </c>
      <c r="T144" s="29">
        <f>Adaptor!T70</f>
        <v>0</v>
      </c>
      <c r="U144" s="29">
        <f>Adaptor!U70</f>
        <v>0</v>
      </c>
      <c r="V144" s="29">
        <f>Adaptor!V70</f>
        <v>0</v>
      </c>
      <c r="W144" s="29">
        <f>Adaptor!W70</f>
        <v>0</v>
      </c>
      <c r="X144" s="29">
        <f>Adaptor!X70</f>
        <v>0</v>
      </c>
      <c r="Y144" s="29">
        <f>Adaptor!Y70</f>
        <v>0</v>
      </c>
      <c r="Z144" s="29" t="e">
        <f>Adaptor!#REF!</f>
        <v>#REF!</v>
      </c>
      <c r="AA144" s="29">
        <f>Adaptor!Z70</f>
        <v>0</v>
      </c>
      <c r="AB144" s="29">
        <f>Adaptor!AA70</f>
        <v>0</v>
      </c>
    </row>
    <row r="145" spans="3:28" s="11" customFormat="1">
      <c r="C145" s="98" t="s">
        <v>21</v>
      </c>
      <c r="D145" s="29">
        <f>Adaptor!C71</f>
        <v>0</v>
      </c>
      <c r="E145" s="29" t="str">
        <f>Adaptor!D71</f>
        <v>FCST</v>
      </c>
      <c r="F145" s="29">
        <f>Adaptor!E71</f>
        <v>100</v>
      </c>
      <c r="G145" s="29" t="str">
        <f>Adaptor!F71</f>
        <v>X1502ZA</v>
      </c>
      <c r="H145" s="29" t="str">
        <f>Adaptor!G71</f>
        <v>Core i5-1235U</v>
      </c>
      <c r="I145" s="29">
        <f>Adaptor!H71</f>
        <v>0</v>
      </c>
      <c r="J145" s="29">
        <f>Adaptor!I71</f>
        <v>0</v>
      </c>
      <c r="K145" s="29">
        <f>Adaptor!J71</f>
        <v>0</v>
      </c>
      <c r="L145" s="29" t="str">
        <f>Adaptor!K71</f>
        <v xml:space="preserve">45W*4.5PHI </v>
      </c>
      <c r="M145" s="29">
        <f>Adaptor!L71</f>
        <v>0</v>
      </c>
      <c r="N145" s="29">
        <f>Adaptor!M71</f>
        <v>0</v>
      </c>
      <c r="O145" s="29">
        <f>Adaptor!N71</f>
        <v>0</v>
      </c>
      <c r="P145" s="29">
        <f>Adaptor!P71</f>
        <v>0</v>
      </c>
      <c r="Q145" s="29">
        <f>Adaptor!Q71</f>
        <v>0</v>
      </c>
      <c r="R145" s="29">
        <f>Adaptor!R71</f>
        <v>0</v>
      </c>
      <c r="S145" s="29">
        <f>Adaptor!S71</f>
        <v>0</v>
      </c>
      <c r="T145" s="29">
        <f>Adaptor!T71</f>
        <v>0</v>
      </c>
      <c r="U145" s="29">
        <f>Adaptor!U71</f>
        <v>0</v>
      </c>
      <c r="V145" s="29">
        <f>Adaptor!V71</f>
        <v>0</v>
      </c>
      <c r="W145" s="29">
        <f>Adaptor!W71</f>
        <v>0</v>
      </c>
      <c r="X145" s="29">
        <f>Adaptor!X71</f>
        <v>0</v>
      </c>
      <c r="Y145" s="29">
        <f>Adaptor!Y71</f>
        <v>0</v>
      </c>
      <c r="Z145" s="29" t="e">
        <f>Adaptor!#REF!</f>
        <v>#REF!</v>
      </c>
      <c r="AA145" s="29">
        <f>Adaptor!Z71</f>
        <v>0</v>
      </c>
      <c r="AB145" s="29">
        <f>Adaptor!AA71</f>
        <v>0</v>
      </c>
    </row>
    <row r="146" spans="3:28" s="11" customFormat="1">
      <c r="C146" s="98" t="s">
        <v>21</v>
      </c>
      <c r="D146" s="29">
        <f>Adaptor!C72</f>
        <v>0</v>
      </c>
      <c r="E146" s="29">
        <f>Adaptor!D72</f>
        <v>0</v>
      </c>
      <c r="F146" s="29">
        <f>Adaptor!E72</f>
        <v>0</v>
      </c>
      <c r="G146" s="29" t="str">
        <f>Adaptor!F72</f>
        <v>X1502ZA</v>
      </c>
      <c r="H146" s="29" t="str">
        <f>Adaptor!G72</f>
        <v>Core i5-1235U</v>
      </c>
      <c r="I146" s="29" t="str">
        <f>Adaptor!H72</f>
        <v>Imported</v>
      </c>
      <c r="J146" s="29" t="str">
        <f>Adaptor!I72</f>
        <v>ASUS</v>
      </c>
      <c r="K146" s="29" t="str">
        <f>Adaptor!J72</f>
        <v>Adapter</v>
      </c>
      <c r="L146" s="29" t="str">
        <f>Adaptor!K72</f>
        <v xml:space="preserve">45W*4.5PHI </v>
      </c>
      <c r="M146" s="29">
        <f>Adaptor!L72</f>
        <v>0</v>
      </c>
      <c r="N146" s="29" t="str">
        <f>Adaptor!M72</f>
        <v>0A001-01103100
0A001-01103500</v>
      </c>
      <c r="O146" s="29">
        <f>Adaptor!N72</f>
        <v>0</v>
      </c>
      <c r="P146" s="29">
        <f>Adaptor!P72</f>
        <v>0</v>
      </c>
      <c r="Q146" s="29">
        <f>Adaptor!Q72</f>
        <v>0</v>
      </c>
      <c r="R146" s="29">
        <f>Adaptor!R72</f>
        <v>0</v>
      </c>
      <c r="S146" s="29">
        <f>Adaptor!S72</f>
        <v>0</v>
      </c>
      <c r="T146" s="29">
        <f>Adaptor!T72</f>
        <v>0</v>
      </c>
      <c r="U146" s="29">
        <f>Adaptor!U72</f>
        <v>0</v>
      </c>
      <c r="V146" s="29">
        <f>Adaptor!V72</f>
        <v>0</v>
      </c>
      <c r="W146" s="29">
        <f>Adaptor!W72</f>
        <v>0</v>
      </c>
      <c r="X146" s="29">
        <f>Adaptor!X72</f>
        <v>0</v>
      </c>
      <c r="Y146" s="29">
        <f>Adaptor!Y72</f>
        <v>0</v>
      </c>
      <c r="Z146" s="29" t="e">
        <f>Adaptor!#REF!</f>
        <v>#REF!</v>
      </c>
      <c r="AA146" s="29">
        <f>Adaptor!Z72</f>
        <v>100</v>
      </c>
      <c r="AB146" s="29">
        <f>Adaptor!AA72</f>
        <v>0</v>
      </c>
    </row>
    <row r="147" spans="3:28" s="11" customFormat="1">
      <c r="C147" s="98" t="s">
        <v>21</v>
      </c>
      <c r="D147" s="29">
        <f>Adaptor!C73</f>
        <v>0</v>
      </c>
      <c r="E147" s="29">
        <f>Adaptor!D73</f>
        <v>0</v>
      </c>
      <c r="F147" s="29">
        <f>Adaptor!E73</f>
        <v>0</v>
      </c>
      <c r="G147" s="29" t="str">
        <f>Adaptor!F73</f>
        <v>X1502ZA</v>
      </c>
      <c r="H147" s="29" t="str">
        <f>Adaptor!G73</f>
        <v>Core i5-1235U</v>
      </c>
      <c r="I147" s="29" t="str">
        <f>Adaptor!H73</f>
        <v>Local</v>
      </c>
      <c r="J147" s="29" t="str">
        <f>Adaptor!I73</f>
        <v>TBD</v>
      </c>
      <c r="K147" s="29" t="str">
        <f>Adaptor!J73</f>
        <v>Adapter</v>
      </c>
      <c r="L147" s="29" t="str">
        <f>Adaptor!K73</f>
        <v xml:space="preserve">45W*4.5PHI </v>
      </c>
      <c r="M147" s="29">
        <f>Adaptor!L73</f>
        <v>0</v>
      </c>
      <c r="N147" s="29">
        <f>Adaptor!M73</f>
        <v>0</v>
      </c>
      <c r="O147" s="29">
        <f>Adaptor!N73</f>
        <v>0</v>
      </c>
      <c r="P147" s="29">
        <f>Adaptor!P73</f>
        <v>0</v>
      </c>
      <c r="Q147" s="29">
        <f>Adaptor!Q73</f>
        <v>0</v>
      </c>
      <c r="R147" s="29">
        <f>Adaptor!R73</f>
        <v>0</v>
      </c>
      <c r="S147" s="29">
        <f>Adaptor!S73</f>
        <v>0</v>
      </c>
      <c r="T147" s="29">
        <f>Adaptor!T73</f>
        <v>0</v>
      </c>
      <c r="U147" s="29">
        <f>Adaptor!U73</f>
        <v>0</v>
      </c>
      <c r="V147" s="29">
        <f>Adaptor!V73</f>
        <v>0</v>
      </c>
      <c r="W147" s="29">
        <f>Adaptor!W73</f>
        <v>0</v>
      </c>
      <c r="X147" s="29">
        <f>Adaptor!X73</f>
        <v>0</v>
      </c>
      <c r="Y147" s="29">
        <f>Adaptor!Y73</f>
        <v>0</v>
      </c>
      <c r="Z147" s="29" t="e">
        <f>Adaptor!#REF!</f>
        <v>#REF!</v>
      </c>
      <c r="AA147" s="29">
        <f>Adaptor!Z73</f>
        <v>0</v>
      </c>
      <c r="AB147" s="29">
        <f>Adaptor!AA73</f>
        <v>0</v>
      </c>
    </row>
    <row r="148" spans="3:28" s="11" customFormat="1">
      <c r="C148" s="98" t="s">
        <v>21</v>
      </c>
      <c r="D148" s="29">
        <f>Adaptor!C74</f>
        <v>0</v>
      </c>
      <c r="E148" s="29" t="str">
        <f>Adaptor!D74</f>
        <v>FCST</v>
      </c>
      <c r="F148" s="29">
        <f>Adaptor!E74</f>
        <v>600</v>
      </c>
      <c r="G148" s="29" t="str">
        <f>Adaptor!F74</f>
        <v>X1502ZA</v>
      </c>
      <c r="H148" s="29" t="str">
        <f>Adaptor!G74</f>
        <v>Core i7-1255U</v>
      </c>
      <c r="I148" s="29">
        <f>Adaptor!H74</f>
        <v>0</v>
      </c>
      <c r="J148" s="29">
        <f>Adaptor!I74</f>
        <v>0</v>
      </c>
      <c r="K148" s="29">
        <f>Adaptor!J74</f>
        <v>0</v>
      </c>
      <c r="L148" s="29" t="str">
        <f>Adaptor!K74</f>
        <v xml:space="preserve">45W*4.5PHI </v>
      </c>
      <c r="M148" s="29">
        <f>Adaptor!L74</f>
        <v>0</v>
      </c>
      <c r="N148" s="29">
        <f>Adaptor!M74</f>
        <v>0</v>
      </c>
      <c r="O148" s="29">
        <f>Adaptor!N74</f>
        <v>200</v>
      </c>
      <c r="P148" s="29">
        <f>Adaptor!P74</f>
        <v>200</v>
      </c>
      <c r="Q148" s="29">
        <f>Adaptor!Q74</f>
        <v>0</v>
      </c>
      <c r="R148" s="29">
        <f>Adaptor!R74</f>
        <v>0</v>
      </c>
      <c r="S148" s="29">
        <f>Adaptor!S74</f>
        <v>0</v>
      </c>
      <c r="T148" s="29">
        <f>Adaptor!T74</f>
        <v>0</v>
      </c>
      <c r="U148" s="29">
        <f>Adaptor!U74</f>
        <v>0</v>
      </c>
      <c r="V148" s="29">
        <f>Adaptor!V74</f>
        <v>0</v>
      </c>
      <c r="W148" s="29">
        <f>Adaptor!W74</f>
        <v>0</v>
      </c>
      <c r="X148" s="29">
        <f>Adaptor!X74</f>
        <v>0</v>
      </c>
      <c r="Y148" s="29">
        <f>Adaptor!Y74</f>
        <v>0</v>
      </c>
      <c r="Z148" s="29" t="e">
        <f>Adaptor!#REF!</f>
        <v>#REF!</v>
      </c>
      <c r="AA148" s="29">
        <f>Adaptor!Z74</f>
        <v>0</v>
      </c>
      <c r="AB148" s="29">
        <f>Adaptor!AA74</f>
        <v>0</v>
      </c>
    </row>
    <row r="149" spans="3:28" s="11" customFormat="1">
      <c r="C149" s="98" t="s">
        <v>21</v>
      </c>
      <c r="D149" s="29">
        <f>Adaptor!C75</f>
        <v>0</v>
      </c>
      <c r="E149" s="29">
        <f>Adaptor!D75</f>
        <v>0</v>
      </c>
      <c r="F149" s="29">
        <f>Adaptor!E75</f>
        <v>0</v>
      </c>
      <c r="G149" s="29" t="str">
        <f>Adaptor!F75</f>
        <v>X1502ZA</v>
      </c>
      <c r="H149" s="29" t="str">
        <f>Adaptor!G75</f>
        <v>Core i7-1255U</v>
      </c>
      <c r="I149" s="29" t="str">
        <f>Adaptor!H75</f>
        <v>Imported</v>
      </c>
      <c r="J149" s="29" t="str">
        <f>Adaptor!I75</f>
        <v>ASUS</v>
      </c>
      <c r="K149" s="29" t="str">
        <f>Adaptor!J75</f>
        <v>Adapter</v>
      </c>
      <c r="L149" s="29" t="str">
        <f>Adaptor!K75</f>
        <v xml:space="preserve">45W*4.5PHI </v>
      </c>
      <c r="M149" s="29">
        <f>Adaptor!L75</f>
        <v>0</v>
      </c>
      <c r="N149" s="29" t="str">
        <f>Adaptor!M75</f>
        <v>0A001-01103100
0A001-01103500</v>
      </c>
      <c r="O149" s="29">
        <f>Adaptor!N75</f>
        <v>200</v>
      </c>
      <c r="P149" s="29">
        <f>Adaptor!P75</f>
        <v>200</v>
      </c>
      <c r="Q149" s="29">
        <f>Adaptor!Q75</f>
        <v>0</v>
      </c>
      <c r="R149" s="29">
        <f>Adaptor!R75</f>
        <v>0</v>
      </c>
      <c r="S149" s="29">
        <f>Adaptor!S75</f>
        <v>0</v>
      </c>
      <c r="T149" s="29">
        <f>Adaptor!T75</f>
        <v>0</v>
      </c>
      <c r="U149" s="29">
        <f>Adaptor!U75</f>
        <v>0</v>
      </c>
      <c r="V149" s="29">
        <f>Adaptor!V75</f>
        <v>0</v>
      </c>
      <c r="W149" s="29">
        <f>Adaptor!W75</f>
        <v>0</v>
      </c>
      <c r="X149" s="29">
        <f>Adaptor!X75</f>
        <v>0</v>
      </c>
      <c r="Y149" s="29">
        <f>Adaptor!Y75</f>
        <v>0</v>
      </c>
      <c r="Z149" s="29" t="e">
        <f>Adaptor!#REF!</f>
        <v>#REF!</v>
      </c>
      <c r="AA149" s="29">
        <f>Adaptor!Z75</f>
        <v>600</v>
      </c>
      <c r="AB149" s="29">
        <f>Adaptor!AA75</f>
        <v>0</v>
      </c>
    </row>
    <row r="150" spans="3:28" s="11" customFormat="1">
      <c r="C150" s="98" t="s">
        <v>21</v>
      </c>
      <c r="D150" s="29">
        <f>Adaptor!C76</f>
        <v>0</v>
      </c>
      <c r="E150" s="29">
        <f>Adaptor!D76</f>
        <v>0</v>
      </c>
      <c r="F150" s="29">
        <f>Adaptor!E76</f>
        <v>0</v>
      </c>
      <c r="G150" s="29" t="str">
        <f>Adaptor!F76</f>
        <v>X1502ZA</v>
      </c>
      <c r="H150" s="29" t="str">
        <f>Adaptor!G76</f>
        <v>Core i7-1255U</v>
      </c>
      <c r="I150" s="29" t="str">
        <f>Adaptor!H76</f>
        <v>Local</v>
      </c>
      <c r="J150" s="29" t="str">
        <f>Adaptor!I76</f>
        <v>TBD</v>
      </c>
      <c r="K150" s="29" t="str">
        <f>Adaptor!J76</f>
        <v>Adapter</v>
      </c>
      <c r="L150" s="29" t="str">
        <f>Adaptor!K76</f>
        <v xml:space="preserve">45W*4.5PHI </v>
      </c>
      <c r="M150" s="29">
        <f>Adaptor!L76</f>
        <v>0</v>
      </c>
      <c r="N150" s="29">
        <f>Adaptor!M76</f>
        <v>0</v>
      </c>
      <c r="O150" s="29">
        <f>Adaptor!N76</f>
        <v>0</v>
      </c>
      <c r="P150" s="29">
        <f>Adaptor!P76</f>
        <v>0</v>
      </c>
      <c r="Q150" s="29">
        <f>Adaptor!Q76</f>
        <v>0</v>
      </c>
      <c r="R150" s="29">
        <f>Adaptor!R76</f>
        <v>0</v>
      </c>
      <c r="S150" s="29">
        <f>Adaptor!S76</f>
        <v>0</v>
      </c>
      <c r="T150" s="29">
        <f>Adaptor!T76</f>
        <v>0</v>
      </c>
      <c r="U150" s="29">
        <f>Adaptor!U76</f>
        <v>0</v>
      </c>
      <c r="V150" s="29">
        <f>Adaptor!V76</f>
        <v>0</v>
      </c>
      <c r="W150" s="29">
        <f>Adaptor!W76</f>
        <v>0</v>
      </c>
      <c r="X150" s="29">
        <f>Adaptor!X76</f>
        <v>0</v>
      </c>
      <c r="Y150" s="29">
        <f>Adaptor!Y76</f>
        <v>0</v>
      </c>
      <c r="Z150" s="29" t="e">
        <f>Adaptor!#REF!</f>
        <v>#REF!</v>
      </c>
      <c r="AA150" s="29">
        <f>Adaptor!Z76</f>
        <v>0</v>
      </c>
      <c r="AB150" s="29">
        <f>Adaptor!AA76</f>
        <v>0</v>
      </c>
    </row>
    <row r="151" spans="3:28" s="11" customFormat="1">
      <c r="C151" s="98" t="s">
        <v>21</v>
      </c>
      <c r="D151" s="29">
        <f>Adaptor!C77</f>
        <v>0</v>
      </c>
      <c r="E151" s="29" t="str">
        <f>Adaptor!D77</f>
        <v>FCST</v>
      </c>
      <c r="F151" s="29">
        <f>Adaptor!E77</f>
        <v>0</v>
      </c>
      <c r="G151" s="29" t="str">
        <f>Adaptor!F77</f>
        <v>X1603ZA</v>
      </c>
      <c r="H151" s="29" t="str">
        <f>Adaptor!G77</f>
        <v>Core i7 ADL</v>
      </c>
      <c r="I151" s="29">
        <f>Adaptor!H77</f>
        <v>0</v>
      </c>
      <c r="J151" s="29">
        <f>Adaptor!I77</f>
        <v>0</v>
      </c>
      <c r="K151" s="29">
        <f>Adaptor!J77</f>
        <v>0</v>
      </c>
      <c r="L151" s="29" t="str">
        <f>Adaptor!K77</f>
        <v>90W*4.5PHI</v>
      </c>
      <c r="M151" s="29">
        <f>Adaptor!L77</f>
        <v>0</v>
      </c>
      <c r="N151" s="29">
        <f>Adaptor!M77</f>
        <v>0</v>
      </c>
      <c r="O151" s="29">
        <f>Adaptor!N77</f>
        <v>0</v>
      </c>
      <c r="P151" s="29">
        <f>Adaptor!P77</f>
        <v>0</v>
      </c>
      <c r="Q151" s="29">
        <f>Adaptor!Q77</f>
        <v>0</v>
      </c>
      <c r="R151" s="29">
        <f>Adaptor!R77</f>
        <v>0</v>
      </c>
      <c r="S151" s="29">
        <f>Adaptor!S77</f>
        <v>0</v>
      </c>
      <c r="T151" s="29">
        <f>Adaptor!T77</f>
        <v>0</v>
      </c>
      <c r="U151" s="29">
        <f>Adaptor!U77</f>
        <v>0</v>
      </c>
      <c r="V151" s="29">
        <f>Adaptor!V77</f>
        <v>0</v>
      </c>
      <c r="W151" s="29">
        <f>Adaptor!W77</f>
        <v>0</v>
      </c>
      <c r="X151" s="29">
        <f>Adaptor!X77</f>
        <v>0</v>
      </c>
      <c r="Y151" s="29">
        <f>Adaptor!Y77</f>
        <v>0</v>
      </c>
      <c r="Z151" s="29" t="e">
        <f>Adaptor!#REF!</f>
        <v>#REF!</v>
      </c>
      <c r="AA151" s="29">
        <f>Adaptor!Z77</f>
        <v>0</v>
      </c>
      <c r="AB151" s="29">
        <f>Adaptor!AA77</f>
        <v>0</v>
      </c>
    </row>
    <row r="152" spans="3:28" s="11" customFormat="1">
      <c r="C152" s="98" t="s">
        <v>21</v>
      </c>
      <c r="D152" s="29">
        <f>Adaptor!C78</f>
        <v>0</v>
      </c>
      <c r="E152" s="29">
        <f>Adaptor!D78</f>
        <v>0</v>
      </c>
      <c r="F152" s="29">
        <f>Adaptor!E78</f>
        <v>0</v>
      </c>
      <c r="G152" s="29" t="str">
        <f>Adaptor!F78</f>
        <v>X1603ZA</v>
      </c>
      <c r="H152" s="29" t="str">
        <f>Adaptor!G78</f>
        <v>Core i7 ADL</v>
      </c>
      <c r="I152" s="29" t="str">
        <f>Adaptor!H78</f>
        <v>Imported</v>
      </c>
      <c r="J152" s="29" t="str">
        <f>Adaptor!I78</f>
        <v>ASUS</v>
      </c>
      <c r="K152" s="29" t="str">
        <f>Adaptor!J78</f>
        <v>Adapter</v>
      </c>
      <c r="L152" s="29" t="str">
        <f>Adaptor!K78</f>
        <v>90W*4.5PHI</v>
      </c>
      <c r="M152" s="29">
        <f>Adaptor!L78</f>
        <v>0</v>
      </c>
      <c r="N152" s="29" t="str">
        <f>Adaptor!M78</f>
        <v>0A001-00059100
0A001-00059000</v>
      </c>
      <c r="O152" s="29">
        <f>Adaptor!N78</f>
        <v>0</v>
      </c>
      <c r="P152" s="29">
        <f>Adaptor!P78</f>
        <v>0</v>
      </c>
      <c r="Q152" s="29">
        <f>Adaptor!Q78</f>
        <v>0</v>
      </c>
      <c r="R152" s="29">
        <f>Adaptor!R78</f>
        <v>0</v>
      </c>
      <c r="S152" s="29">
        <f>Adaptor!S78</f>
        <v>0</v>
      </c>
      <c r="T152" s="29">
        <f>Adaptor!T78</f>
        <v>0</v>
      </c>
      <c r="U152" s="29">
        <f>Adaptor!U78</f>
        <v>0</v>
      </c>
      <c r="V152" s="29">
        <f>Adaptor!V78</f>
        <v>0</v>
      </c>
      <c r="W152" s="29">
        <f>Adaptor!W78</f>
        <v>0</v>
      </c>
      <c r="X152" s="29">
        <f>Adaptor!X78</f>
        <v>0</v>
      </c>
      <c r="Y152" s="29">
        <f>Adaptor!Y78</f>
        <v>0</v>
      </c>
      <c r="Z152" s="29" t="e">
        <f>Adaptor!#REF!</f>
        <v>#REF!</v>
      </c>
      <c r="AA152" s="29">
        <f>Adaptor!Z78</f>
        <v>0</v>
      </c>
      <c r="AB152" s="29">
        <f>Adaptor!AA78</f>
        <v>0</v>
      </c>
    </row>
    <row r="153" spans="3:28" s="11" customFormat="1">
      <c r="C153" s="98" t="s">
        <v>21</v>
      </c>
      <c r="D153" s="29">
        <f>Adaptor!C79</f>
        <v>0</v>
      </c>
      <c r="E153" s="29">
        <f>Adaptor!D79</f>
        <v>0</v>
      </c>
      <c r="F153" s="29">
        <f>Adaptor!E79</f>
        <v>0</v>
      </c>
      <c r="G153" s="29" t="str">
        <f>Adaptor!F79</f>
        <v>X1603ZA</v>
      </c>
      <c r="H153" s="29" t="str">
        <f>Adaptor!G79</f>
        <v>Core i7 ADL</v>
      </c>
      <c r="I153" s="29" t="str">
        <f>Adaptor!H79</f>
        <v>Local</v>
      </c>
      <c r="J153" s="29" t="str">
        <f>Adaptor!I79</f>
        <v>TBD</v>
      </c>
      <c r="K153" s="29" t="str">
        <f>Adaptor!J79</f>
        <v>Adapter</v>
      </c>
      <c r="L153" s="29" t="str">
        <f>Adaptor!K79</f>
        <v>90W*4.5PHI</v>
      </c>
      <c r="M153" s="29">
        <f>Adaptor!L79</f>
        <v>0</v>
      </c>
      <c r="N153" s="29">
        <f>Adaptor!M79</f>
        <v>0</v>
      </c>
      <c r="O153" s="29">
        <f>Adaptor!N79</f>
        <v>0</v>
      </c>
      <c r="P153" s="29">
        <f>Adaptor!P79</f>
        <v>0</v>
      </c>
      <c r="Q153" s="29">
        <f>Adaptor!Q79</f>
        <v>0</v>
      </c>
      <c r="R153" s="29">
        <f>Adaptor!R79</f>
        <v>0</v>
      </c>
      <c r="S153" s="29">
        <f>Adaptor!S79</f>
        <v>0</v>
      </c>
      <c r="T153" s="29">
        <f>Adaptor!T79</f>
        <v>0</v>
      </c>
      <c r="U153" s="29">
        <f>Adaptor!U79</f>
        <v>0</v>
      </c>
      <c r="V153" s="29">
        <f>Adaptor!V79</f>
        <v>0</v>
      </c>
      <c r="W153" s="29">
        <f>Adaptor!W79</f>
        <v>0</v>
      </c>
      <c r="X153" s="29">
        <f>Adaptor!X79</f>
        <v>0</v>
      </c>
      <c r="Y153" s="29">
        <f>Adaptor!Y79</f>
        <v>0</v>
      </c>
      <c r="Z153" s="29" t="e">
        <f>Adaptor!#REF!</f>
        <v>#REF!</v>
      </c>
      <c r="AA153" s="29">
        <f>Adaptor!Z79</f>
        <v>0</v>
      </c>
      <c r="AB153" s="29">
        <f>Adaptor!AA79</f>
        <v>0</v>
      </c>
    </row>
    <row r="154" spans="3:28" s="11" customFormat="1">
      <c r="C154" s="98" t="s">
        <v>21</v>
      </c>
      <c r="D154" s="29">
        <f>Adaptor!C80</f>
        <v>0</v>
      </c>
      <c r="E154" s="29" t="str">
        <f>Adaptor!D80</f>
        <v>FCST</v>
      </c>
      <c r="F154" s="29">
        <f>Adaptor!E80</f>
        <v>0</v>
      </c>
      <c r="G154" s="29" t="str">
        <f>Adaptor!F80</f>
        <v>UX325JA</v>
      </c>
      <c r="H154" s="29" t="str">
        <f>Adaptor!G80</f>
        <v>Core i5-1035G1</v>
      </c>
      <c r="I154" s="29">
        <f>Adaptor!H80</f>
        <v>0</v>
      </c>
      <c r="J154" s="29">
        <f>Adaptor!I80</f>
        <v>0</v>
      </c>
      <c r="K154" s="29">
        <f>Adaptor!J80</f>
        <v>0</v>
      </c>
      <c r="L154" s="29" t="str">
        <f>Adaptor!K80</f>
        <v>65W PD</v>
      </c>
      <c r="M154" s="29">
        <f>Adaptor!L80</f>
        <v>0</v>
      </c>
      <c r="N154" s="29">
        <f>Adaptor!M80</f>
        <v>0</v>
      </c>
      <c r="O154" s="29">
        <f>Adaptor!N80</f>
        <v>0</v>
      </c>
      <c r="P154" s="29">
        <f>Adaptor!P80</f>
        <v>0</v>
      </c>
      <c r="Q154" s="29">
        <f>Adaptor!Q80</f>
        <v>0</v>
      </c>
      <c r="R154" s="29">
        <f>Adaptor!R80</f>
        <v>0</v>
      </c>
      <c r="S154" s="29">
        <f>Adaptor!S80</f>
        <v>0</v>
      </c>
      <c r="T154" s="29">
        <f>Adaptor!T80</f>
        <v>0</v>
      </c>
      <c r="U154" s="29">
        <f>Adaptor!U80</f>
        <v>0</v>
      </c>
      <c r="V154" s="29">
        <f>Adaptor!V80</f>
        <v>0</v>
      </c>
      <c r="W154" s="29">
        <f>Adaptor!W80</f>
        <v>0</v>
      </c>
      <c r="X154" s="29">
        <f>Adaptor!X80</f>
        <v>0</v>
      </c>
      <c r="Y154" s="29">
        <f>Adaptor!Y80</f>
        <v>0</v>
      </c>
      <c r="Z154" s="29" t="e">
        <f>Adaptor!#REF!</f>
        <v>#REF!</v>
      </c>
      <c r="AA154" s="29">
        <f>Adaptor!Z80</f>
        <v>0</v>
      </c>
      <c r="AB154" s="29">
        <f>Adaptor!AA80</f>
        <v>0</v>
      </c>
    </row>
    <row r="155" spans="3:28" s="11" customFormat="1">
      <c r="C155" s="98" t="s">
        <v>21</v>
      </c>
      <c r="D155" s="29">
        <f>Adaptor!C81</f>
        <v>0</v>
      </c>
      <c r="E155" s="29">
        <f>Adaptor!D81</f>
        <v>0</v>
      </c>
      <c r="F155" s="29">
        <f>Adaptor!E81</f>
        <v>0</v>
      </c>
      <c r="G155" s="29" t="str">
        <f>Adaptor!F81</f>
        <v>UX325JA</v>
      </c>
      <c r="H155" s="29" t="str">
        <f>Adaptor!G81</f>
        <v>Core i5-1035G1</v>
      </c>
      <c r="I155" s="29" t="str">
        <f>Adaptor!H81</f>
        <v>Imported</v>
      </c>
      <c r="J155" s="29" t="str">
        <f>Adaptor!I81</f>
        <v>ASUS</v>
      </c>
      <c r="K155" s="29" t="str">
        <f>Adaptor!J81</f>
        <v>Adapter</v>
      </c>
      <c r="L155" s="29" t="str">
        <f>Adaptor!K81</f>
        <v>65W PD</v>
      </c>
      <c r="M155" s="29">
        <f>Adaptor!L81</f>
        <v>0</v>
      </c>
      <c r="N155" s="29" t="str">
        <f>Adaptor!M81</f>
        <v>0A001-00894600
0A001-00895400</v>
      </c>
      <c r="O155" s="29">
        <f>Adaptor!N81</f>
        <v>0</v>
      </c>
      <c r="P155" s="29">
        <f>Adaptor!P81</f>
        <v>0</v>
      </c>
      <c r="Q155" s="29">
        <f>Adaptor!Q81</f>
        <v>0</v>
      </c>
      <c r="R155" s="29">
        <f>Adaptor!R81</f>
        <v>0</v>
      </c>
      <c r="S155" s="29">
        <f>Adaptor!S81</f>
        <v>0</v>
      </c>
      <c r="T155" s="29">
        <f>Adaptor!T81</f>
        <v>0</v>
      </c>
      <c r="U155" s="29">
        <f>Adaptor!U81</f>
        <v>0</v>
      </c>
      <c r="V155" s="29">
        <f>Adaptor!V81</f>
        <v>0</v>
      </c>
      <c r="W155" s="29">
        <f>Adaptor!W81</f>
        <v>0</v>
      </c>
      <c r="X155" s="29">
        <f>Adaptor!X81</f>
        <v>0</v>
      </c>
      <c r="Y155" s="29">
        <f>Adaptor!Y81</f>
        <v>0</v>
      </c>
      <c r="Z155" s="29" t="e">
        <f>Adaptor!#REF!</f>
        <v>#REF!</v>
      </c>
      <c r="AA155" s="29">
        <f>Adaptor!Z81</f>
        <v>0</v>
      </c>
      <c r="AB155" s="29">
        <f>Adaptor!AA81</f>
        <v>0</v>
      </c>
    </row>
    <row r="156" spans="3:28" s="11" customFormat="1">
      <c r="C156" s="98" t="s">
        <v>21</v>
      </c>
      <c r="D156" s="29">
        <f>Adaptor!C82</f>
        <v>0</v>
      </c>
      <c r="E156" s="29">
        <f>Adaptor!D82</f>
        <v>0</v>
      </c>
      <c r="F156" s="29">
        <f>Adaptor!E82</f>
        <v>0</v>
      </c>
      <c r="G156" s="29" t="str">
        <f>Adaptor!F82</f>
        <v>UX325JA</v>
      </c>
      <c r="H156" s="29" t="str">
        <f>Adaptor!G82</f>
        <v>Core i5-1035G1</v>
      </c>
      <c r="I156" s="29" t="str">
        <f>Adaptor!H82</f>
        <v>Local</v>
      </c>
      <c r="J156" s="29" t="str">
        <f>Adaptor!I82</f>
        <v>TBD</v>
      </c>
      <c r="K156" s="29" t="str">
        <f>Adaptor!J82</f>
        <v>Adapter</v>
      </c>
      <c r="L156" s="29" t="str">
        <f>Adaptor!K82</f>
        <v>65W PD</v>
      </c>
      <c r="M156" s="29">
        <f>Adaptor!L82</f>
        <v>0</v>
      </c>
      <c r="N156" s="29">
        <f>Adaptor!M82</f>
        <v>0</v>
      </c>
      <c r="O156" s="29">
        <f>Adaptor!N82</f>
        <v>0</v>
      </c>
      <c r="P156" s="29">
        <f>Adaptor!P82</f>
        <v>0</v>
      </c>
      <c r="Q156" s="29">
        <f>Adaptor!Q82</f>
        <v>0</v>
      </c>
      <c r="R156" s="29">
        <f>Adaptor!R82</f>
        <v>0</v>
      </c>
      <c r="S156" s="29">
        <f>Adaptor!S82</f>
        <v>0</v>
      </c>
      <c r="T156" s="29">
        <f>Adaptor!T82</f>
        <v>0</v>
      </c>
      <c r="U156" s="29">
        <f>Adaptor!U82</f>
        <v>0</v>
      </c>
      <c r="V156" s="29">
        <f>Adaptor!V82</f>
        <v>0</v>
      </c>
      <c r="W156" s="29">
        <f>Adaptor!W82</f>
        <v>0</v>
      </c>
      <c r="X156" s="29">
        <f>Adaptor!X82</f>
        <v>0</v>
      </c>
      <c r="Y156" s="29">
        <f>Adaptor!Y82</f>
        <v>0</v>
      </c>
      <c r="Z156" s="29" t="e">
        <f>Adaptor!#REF!</f>
        <v>#REF!</v>
      </c>
      <c r="AA156" s="29">
        <f>Adaptor!Z82</f>
        <v>0</v>
      </c>
      <c r="AB156" s="29">
        <f>Adaptor!AA82</f>
        <v>0</v>
      </c>
    </row>
    <row r="157" spans="3:28" s="11" customFormat="1">
      <c r="C157" s="98" t="s">
        <v>21</v>
      </c>
      <c r="D157" s="29">
        <f>Adaptor!C86</f>
        <v>0</v>
      </c>
      <c r="E157" s="29" t="str">
        <f>Adaptor!D86</f>
        <v>FCST</v>
      </c>
      <c r="F157" s="29">
        <f>Adaptor!E86</f>
        <v>0</v>
      </c>
      <c r="G157" s="29" t="str">
        <f>Adaptor!F86</f>
        <v>UX482EAR</v>
      </c>
      <c r="H157" s="29" t="str">
        <f>Adaptor!G86</f>
        <v>Core i7-1195G7</v>
      </c>
      <c r="I157" s="29">
        <f>Adaptor!H86</f>
        <v>0</v>
      </c>
      <c r="J157" s="29">
        <f>Adaptor!I86</f>
        <v>0</v>
      </c>
      <c r="K157" s="29">
        <f>Adaptor!J86</f>
        <v>0</v>
      </c>
      <c r="L157" s="29" t="str">
        <f>Adaptor!K86</f>
        <v>65W PD</v>
      </c>
      <c r="M157" s="29">
        <f>Adaptor!L86</f>
        <v>0</v>
      </c>
      <c r="N157" s="29">
        <f>Adaptor!M86</f>
        <v>0</v>
      </c>
      <c r="O157" s="29">
        <f>Adaptor!N86</f>
        <v>0</v>
      </c>
      <c r="P157" s="29">
        <f>Adaptor!P86</f>
        <v>0</v>
      </c>
      <c r="Q157" s="29">
        <f>Adaptor!Q86</f>
        <v>0</v>
      </c>
      <c r="R157" s="29">
        <f>Adaptor!R86</f>
        <v>0</v>
      </c>
      <c r="S157" s="29">
        <f>Adaptor!S86</f>
        <v>0</v>
      </c>
      <c r="T157" s="29">
        <f>Adaptor!T86</f>
        <v>0</v>
      </c>
      <c r="U157" s="29">
        <f>Adaptor!U86</f>
        <v>0</v>
      </c>
      <c r="V157" s="29">
        <f>Adaptor!V86</f>
        <v>0</v>
      </c>
      <c r="W157" s="29">
        <f>Adaptor!W86</f>
        <v>0</v>
      </c>
      <c r="X157" s="29">
        <f>Adaptor!X86</f>
        <v>0</v>
      </c>
      <c r="Y157" s="29">
        <f>Adaptor!Y86</f>
        <v>0</v>
      </c>
      <c r="Z157" s="29" t="e">
        <f>Adaptor!#REF!</f>
        <v>#REF!</v>
      </c>
      <c r="AA157" s="29">
        <f>Adaptor!Z86</f>
        <v>0</v>
      </c>
      <c r="AB157" s="29">
        <f>Adaptor!AA86</f>
        <v>0</v>
      </c>
    </row>
    <row r="158" spans="3:28" s="11" customFormat="1">
      <c r="C158" s="98" t="s">
        <v>21</v>
      </c>
      <c r="D158" s="29">
        <f>Adaptor!C87</f>
        <v>0</v>
      </c>
      <c r="E158" s="29">
        <f>Adaptor!D87</f>
        <v>0</v>
      </c>
      <c r="F158" s="29">
        <f>Adaptor!E87</f>
        <v>0</v>
      </c>
      <c r="G158" s="29" t="str">
        <f>Adaptor!F87</f>
        <v>UX482EAR</v>
      </c>
      <c r="H158" s="29" t="str">
        <f>Adaptor!G87</f>
        <v>Core i7-1195G7</v>
      </c>
      <c r="I158" s="29" t="str">
        <f>Adaptor!H87</f>
        <v>Imported</v>
      </c>
      <c r="J158" s="29" t="str">
        <f>Adaptor!I87</f>
        <v>ASUS</v>
      </c>
      <c r="K158" s="29" t="str">
        <f>Adaptor!J87</f>
        <v>Adapter</v>
      </c>
      <c r="L158" s="29" t="str">
        <f>Adaptor!K87</f>
        <v>65W PD</v>
      </c>
      <c r="M158" s="29">
        <f>Adaptor!L87</f>
        <v>0</v>
      </c>
      <c r="N158" s="29" t="str">
        <f>Adaptor!M87</f>
        <v>0A001-00894600
0A001-00895400</v>
      </c>
      <c r="O158" s="29">
        <f>Adaptor!N87</f>
        <v>0</v>
      </c>
      <c r="P158" s="29">
        <f>Adaptor!P87</f>
        <v>0</v>
      </c>
      <c r="Q158" s="29">
        <f>Adaptor!Q87</f>
        <v>0</v>
      </c>
      <c r="R158" s="29">
        <f>Adaptor!R87</f>
        <v>0</v>
      </c>
      <c r="S158" s="29">
        <f>Adaptor!S87</f>
        <v>0</v>
      </c>
      <c r="T158" s="29">
        <f>Adaptor!T87</f>
        <v>0</v>
      </c>
      <c r="U158" s="29">
        <f>Adaptor!U87</f>
        <v>0</v>
      </c>
      <c r="V158" s="29">
        <f>Adaptor!V87</f>
        <v>0</v>
      </c>
      <c r="W158" s="29">
        <f>Adaptor!W87</f>
        <v>0</v>
      </c>
      <c r="X158" s="29">
        <f>Adaptor!X87</f>
        <v>0</v>
      </c>
      <c r="Y158" s="29">
        <f>Adaptor!Y87</f>
        <v>0</v>
      </c>
      <c r="Z158" s="29" t="e">
        <f>Adaptor!#REF!</f>
        <v>#REF!</v>
      </c>
      <c r="AA158" s="29">
        <f>Adaptor!Z87</f>
        <v>0</v>
      </c>
      <c r="AB158" s="29">
        <f>Adaptor!AA87</f>
        <v>0</v>
      </c>
    </row>
    <row r="159" spans="3:28" s="11" customFormat="1">
      <c r="C159" s="98" t="s">
        <v>21</v>
      </c>
      <c r="D159" s="29">
        <f>Adaptor!C88</f>
        <v>0</v>
      </c>
      <c r="E159" s="29">
        <f>Adaptor!D88</f>
        <v>0</v>
      </c>
      <c r="F159" s="29">
        <f>Adaptor!E88</f>
        <v>0</v>
      </c>
      <c r="G159" s="29" t="str">
        <f>Adaptor!F88</f>
        <v>UX482EAR</v>
      </c>
      <c r="H159" s="29" t="str">
        <f>Adaptor!G88</f>
        <v>Core i7-1195G7</v>
      </c>
      <c r="I159" s="29" t="str">
        <f>Adaptor!H88</f>
        <v>Local</v>
      </c>
      <c r="J159" s="29" t="str">
        <f>Adaptor!I88</f>
        <v>TBD</v>
      </c>
      <c r="K159" s="29" t="str">
        <f>Adaptor!J88</f>
        <v>Adapter</v>
      </c>
      <c r="L159" s="29" t="str">
        <f>Adaptor!K88</f>
        <v>65W PD</v>
      </c>
      <c r="M159" s="29">
        <f>Adaptor!L88</f>
        <v>0</v>
      </c>
      <c r="N159" s="29">
        <f>Adaptor!M88</f>
        <v>0</v>
      </c>
      <c r="O159" s="29">
        <f>Adaptor!N88</f>
        <v>0</v>
      </c>
      <c r="P159" s="29">
        <f>Adaptor!P88</f>
        <v>0</v>
      </c>
      <c r="Q159" s="29">
        <f>Adaptor!Q88</f>
        <v>0</v>
      </c>
      <c r="R159" s="29">
        <f>Adaptor!R88</f>
        <v>0</v>
      </c>
      <c r="S159" s="29">
        <f>Adaptor!S88</f>
        <v>0</v>
      </c>
      <c r="T159" s="29">
        <f>Adaptor!T88</f>
        <v>0</v>
      </c>
      <c r="U159" s="29">
        <f>Adaptor!U88</f>
        <v>0</v>
      </c>
      <c r="V159" s="29">
        <f>Adaptor!V88</f>
        <v>0</v>
      </c>
      <c r="W159" s="29">
        <f>Adaptor!W88</f>
        <v>0</v>
      </c>
      <c r="X159" s="29">
        <f>Adaptor!X88</f>
        <v>0</v>
      </c>
      <c r="Y159" s="29">
        <f>Adaptor!Y88</f>
        <v>0</v>
      </c>
      <c r="Z159" s="29" t="e">
        <f>Adaptor!#REF!</f>
        <v>#REF!</v>
      </c>
      <c r="AA159" s="29">
        <f>Adaptor!Z88</f>
        <v>0</v>
      </c>
      <c r="AB159" s="29">
        <f>Adaptor!AA88</f>
        <v>0</v>
      </c>
    </row>
    <row r="160" spans="3:28" s="11" customFormat="1">
      <c r="C160" s="98" t="s">
        <v>21</v>
      </c>
      <c r="D160" s="29">
        <f>Adaptor!C89</f>
        <v>0</v>
      </c>
      <c r="E160" s="29" t="str">
        <f>Adaptor!D89</f>
        <v>FCST</v>
      </c>
      <c r="F160" s="29">
        <f>Adaptor!E89</f>
        <v>450</v>
      </c>
      <c r="G160" s="29" t="str">
        <f>Adaptor!F89</f>
        <v>UX3402ZA</v>
      </c>
      <c r="H160" s="29" t="str">
        <f>Adaptor!G89</f>
        <v>Core i7-1260P</v>
      </c>
      <c r="I160" s="29">
        <f>Adaptor!H89</f>
        <v>0</v>
      </c>
      <c r="J160" s="29">
        <f>Adaptor!I89</f>
        <v>0</v>
      </c>
      <c r="K160" s="29">
        <f>Adaptor!J89</f>
        <v>0</v>
      </c>
      <c r="L160" s="29" t="str">
        <f>Adaptor!K89</f>
        <v>65W PD</v>
      </c>
      <c r="M160" s="29">
        <f>Adaptor!L89</f>
        <v>0</v>
      </c>
      <c r="N160" s="29">
        <f>Adaptor!M89</f>
        <v>0</v>
      </c>
      <c r="O160" s="29">
        <f>Adaptor!N89</f>
        <v>50</v>
      </c>
      <c r="P160" s="29">
        <f>Adaptor!P89</f>
        <v>0</v>
      </c>
      <c r="Q160" s="29">
        <f>Adaptor!Q89</f>
        <v>0</v>
      </c>
      <c r="R160" s="29">
        <f>Adaptor!R89</f>
        <v>150</v>
      </c>
      <c r="S160" s="29">
        <f>Adaptor!S89</f>
        <v>150</v>
      </c>
      <c r="T160" s="29">
        <f>Adaptor!T89</f>
        <v>0</v>
      </c>
      <c r="U160" s="29">
        <f>Adaptor!U89</f>
        <v>0</v>
      </c>
      <c r="V160" s="29">
        <f>Adaptor!V89</f>
        <v>0</v>
      </c>
      <c r="W160" s="29">
        <f>Adaptor!W89</f>
        <v>0</v>
      </c>
      <c r="X160" s="29">
        <f>Adaptor!X89</f>
        <v>0</v>
      </c>
      <c r="Y160" s="29">
        <f>Adaptor!Y89</f>
        <v>0</v>
      </c>
      <c r="Z160" s="29" t="e">
        <f>Adaptor!#REF!</f>
        <v>#REF!</v>
      </c>
      <c r="AA160" s="29">
        <f>Adaptor!Z89</f>
        <v>0</v>
      </c>
      <c r="AB160" s="29">
        <f>Adaptor!AA89</f>
        <v>0</v>
      </c>
    </row>
    <row r="161" spans="3:28" s="11" customFormat="1">
      <c r="C161" s="98" t="s">
        <v>21</v>
      </c>
      <c r="D161" s="29">
        <f>Adaptor!C90</f>
        <v>0</v>
      </c>
      <c r="E161" s="29">
        <f>Adaptor!D90</f>
        <v>0</v>
      </c>
      <c r="F161" s="29">
        <f>Adaptor!E90</f>
        <v>0</v>
      </c>
      <c r="G161" s="29" t="str">
        <f>Adaptor!F90</f>
        <v>UX3402ZA</v>
      </c>
      <c r="H161" s="29" t="str">
        <f>Adaptor!G90</f>
        <v>Core i7-1260P</v>
      </c>
      <c r="I161" s="29" t="str">
        <f>Adaptor!H90</f>
        <v>Imported</v>
      </c>
      <c r="J161" s="29" t="str">
        <f>Adaptor!I90</f>
        <v>ASUS</v>
      </c>
      <c r="K161" s="29" t="str">
        <f>Adaptor!J90</f>
        <v>Adapter</v>
      </c>
      <c r="L161" s="29" t="str">
        <f>Adaptor!K90</f>
        <v>65W PD</v>
      </c>
      <c r="M161" s="29">
        <f>Adaptor!L90</f>
        <v>0</v>
      </c>
      <c r="N161" s="29">
        <f>Adaptor!M90</f>
        <v>0</v>
      </c>
      <c r="O161" s="29">
        <f>Adaptor!N90</f>
        <v>50</v>
      </c>
      <c r="P161" s="29">
        <f>Adaptor!P90</f>
        <v>0</v>
      </c>
      <c r="Q161" s="29">
        <f>Adaptor!Q90</f>
        <v>0</v>
      </c>
      <c r="R161" s="29">
        <f>Adaptor!R90</f>
        <v>150</v>
      </c>
      <c r="S161" s="29">
        <f>Adaptor!S90</f>
        <v>150</v>
      </c>
      <c r="T161" s="29">
        <f>Adaptor!T90</f>
        <v>0</v>
      </c>
      <c r="U161" s="29">
        <f>Adaptor!U90</f>
        <v>0</v>
      </c>
      <c r="V161" s="29">
        <f>Adaptor!V90</f>
        <v>0</v>
      </c>
      <c r="W161" s="29">
        <f>Adaptor!W90</f>
        <v>0</v>
      </c>
      <c r="X161" s="29">
        <f>Adaptor!X90</f>
        <v>0</v>
      </c>
      <c r="Y161" s="29">
        <f>Adaptor!Y90</f>
        <v>0</v>
      </c>
      <c r="Z161" s="29" t="e">
        <f>Adaptor!#REF!</f>
        <v>#REF!</v>
      </c>
      <c r="AA161" s="29">
        <f>Adaptor!Z90</f>
        <v>450</v>
      </c>
      <c r="AB161" s="29">
        <f>Adaptor!AA90</f>
        <v>0</v>
      </c>
    </row>
    <row r="162" spans="3:28" s="11" customFormat="1">
      <c r="C162" s="98" t="s">
        <v>21</v>
      </c>
      <c r="D162" s="29">
        <f>Adaptor!C91</f>
        <v>0</v>
      </c>
      <c r="E162" s="29">
        <f>Adaptor!D91</f>
        <v>0</v>
      </c>
      <c r="F162" s="29">
        <f>Adaptor!E91</f>
        <v>0</v>
      </c>
      <c r="G162" s="29" t="str">
        <f>Adaptor!F91</f>
        <v>UX3402ZA</v>
      </c>
      <c r="H162" s="29" t="str">
        <f>Adaptor!G91</f>
        <v>Core i7-1260P</v>
      </c>
      <c r="I162" s="29" t="str">
        <f>Adaptor!H91</f>
        <v>Local</v>
      </c>
      <c r="J162" s="29" t="str">
        <f>Adaptor!I91</f>
        <v>TBD</v>
      </c>
      <c r="K162" s="29" t="str">
        <f>Adaptor!J91</f>
        <v>Adapter</v>
      </c>
      <c r="L162" s="29" t="str">
        <f>Adaptor!K91</f>
        <v>65W PD</v>
      </c>
      <c r="M162" s="29">
        <f>Adaptor!L91</f>
        <v>0</v>
      </c>
      <c r="N162" s="29">
        <f>Adaptor!M91</f>
        <v>0</v>
      </c>
      <c r="O162" s="29">
        <f>Adaptor!N91</f>
        <v>0</v>
      </c>
      <c r="P162" s="29">
        <f>Adaptor!P91</f>
        <v>0</v>
      </c>
      <c r="Q162" s="29">
        <f>Adaptor!Q91</f>
        <v>0</v>
      </c>
      <c r="R162" s="29">
        <f>Adaptor!R91</f>
        <v>0</v>
      </c>
      <c r="S162" s="29">
        <f>Adaptor!S91</f>
        <v>0</v>
      </c>
      <c r="T162" s="29">
        <f>Adaptor!T91</f>
        <v>0</v>
      </c>
      <c r="U162" s="29">
        <f>Adaptor!U91</f>
        <v>0</v>
      </c>
      <c r="V162" s="29">
        <f>Adaptor!V91</f>
        <v>0</v>
      </c>
      <c r="W162" s="29">
        <f>Adaptor!W91</f>
        <v>0</v>
      </c>
      <c r="X162" s="29">
        <f>Adaptor!X91</f>
        <v>0</v>
      </c>
      <c r="Y162" s="29">
        <f>Adaptor!Y91</f>
        <v>0</v>
      </c>
      <c r="Z162" s="29" t="e">
        <f>Adaptor!#REF!</f>
        <v>#REF!</v>
      </c>
      <c r="AA162" s="29">
        <f>Adaptor!Z91</f>
        <v>0</v>
      </c>
      <c r="AB162" s="29">
        <f>Adaptor!AA91</f>
        <v>0</v>
      </c>
    </row>
    <row r="163" spans="3:28" s="11" customFormat="1">
      <c r="C163" s="98" t="s">
        <v>21</v>
      </c>
      <c r="D163" s="29">
        <f>Adaptor!C92</f>
        <v>0</v>
      </c>
      <c r="E163" s="29" t="str">
        <f>Adaptor!D92</f>
        <v>FCST</v>
      </c>
      <c r="F163" s="29">
        <f>Adaptor!E92</f>
        <v>0</v>
      </c>
      <c r="G163" s="29" t="str">
        <f>Adaptor!F92</f>
        <v>UX5401ZA</v>
      </c>
      <c r="H163" s="29" t="str">
        <f>Adaptor!G92</f>
        <v>Core i7-12700H</v>
      </c>
      <c r="I163" s="29">
        <f>Adaptor!H92</f>
        <v>0</v>
      </c>
      <c r="J163" s="29">
        <f>Adaptor!I92</f>
        <v>0</v>
      </c>
      <c r="K163" s="29">
        <f>Adaptor!J92</f>
        <v>0</v>
      </c>
      <c r="L163" s="29" t="str">
        <f>Adaptor!K92</f>
        <v>100W PD</v>
      </c>
      <c r="M163" s="29">
        <f>Adaptor!L92</f>
        <v>0</v>
      </c>
      <c r="N163" s="29">
        <f>Adaptor!M92</f>
        <v>0</v>
      </c>
      <c r="O163" s="29">
        <f>Adaptor!N92</f>
        <v>0</v>
      </c>
      <c r="P163" s="29">
        <f>Adaptor!P92</f>
        <v>0</v>
      </c>
      <c r="Q163" s="29">
        <f>Adaptor!Q92</f>
        <v>0</v>
      </c>
      <c r="R163" s="29">
        <f>Adaptor!R92</f>
        <v>0</v>
      </c>
      <c r="S163" s="29">
        <f>Adaptor!S92</f>
        <v>0</v>
      </c>
      <c r="T163" s="29">
        <f>Adaptor!T92</f>
        <v>0</v>
      </c>
      <c r="U163" s="29">
        <f>Adaptor!U92</f>
        <v>0</v>
      </c>
      <c r="V163" s="29">
        <f>Adaptor!V92</f>
        <v>0</v>
      </c>
      <c r="W163" s="29">
        <f>Adaptor!W92</f>
        <v>0</v>
      </c>
      <c r="X163" s="29">
        <f>Adaptor!X92</f>
        <v>0</v>
      </c>
      <c r="Y163" s="29">
        <f>Adaptor!Y92</f>
        <v>0</v>
      </c>
      <c r="Z163" s="29" t="e">
        <f>Adaptor!#REF!</f>
        <v>#REF!</v>
      </c>
      <c r="AA163" s="29">
        <f>Adaptor!Z92</f>
        <v>0</v>
      </c>
      <c r="AB163" s="29">
        <f>Adaptor!AA92</f>
        <v>0</v>
      </c>
    </row>
    <row r="164" spans="3:28" s="11" customFormat="1">
      <c r="C164" s="98" t="s">
        <v>21</v>
      </c>
      <c r="D164" s="29">
        <f>Adaptor!C93</f>
        <v>0</v>
      </c>
      <c r="E164" s="29">
        <f>Adaptor!D93</f>
        <v>0</v>
      </c>
      <c r="F164" s="29">
        <f>Adaptor!E93</f>
        <v>0</v>
      </c>
      <c r="G164" s="29" t="str">
        <f>Adaptor!F93</f>
        <v>UX5401ZA</v>
      </c>
      <c r="H164" s="29" t="str">
        <f>Adaptor!G93</f>
        <v>Core i7-12700H</v>
      </c>
      <c r="I164" s="29" t="str">
        <f>Adaptor!H93</f>
        <v>Imported</v>
      </c>
      <c r="J164" s="29" t="str">
        <f>Adaptor!I93</f>
        <v>ASUS</v>
      </c>
      <c r="K164" s="29" t="str">
        <f>Adaptor!J93</f>
        <v>Adapter</v>
      </c>
      <c r="L164" s="29" t="str">
        <f>Adaptor!K93</f>
        <v>100W PD</v>
      </c>
      <c r="M164" s="29">
        <f>Adaptor!L93</f>
        <v>0</v>
      </c>
      <c r="N164" s="29" t="str">
        <f>Adaptor!M93</f>
        <v>0A001-01090000</v>
      </c>
      <c r="O164" s="29">
        <f>Adaptor!N93</f>
        <v>0</v>
      </c>
      <c r="P164" s="29">
        <f>Adaptor!P93</f>
        <v>0</v>
      </c>
      <c r="Q164" s="29">
        <f>Adaptor!Q93</f>
        <v>0</v>
      </c>
      <c r="R164" s="29">
        <f>Adaptor!R93</f>
        <v>0</v>
      </c>
      <c r="S164" s="29">
        <f>Adaptor!S93</f>
        <v>0</v>
      </c>
      <c r="T164" s="29">
        <f>Adaptor!T93</f>
        <v>0</v>
      </c>
      <c r="U164" s="29">
        <f>Adaptor!U93</f>
        <v>0</v>
      </c>
      <c r="V164" s="29">
        <f>Adaptor!V93</f>
        <v>0</v>
      </c>
      <c r="W164" s="29">
        <f>Adaptor!W93</f>
        <v>0</v>
      </c>
      <c r="X164" s="29">
        <f>Adaptor!X93</f>
        <v>0</v>
      </c>
      <c r="Y164" s="29">
        <f>Adaptor!Y93</f>
        <v>0</v>
      </c>
      <c r="Z164" s="29" t="e">
        <f>Adaptor!#REF!</f>
        <v>#REF!</v>
      </c>
      <c r="AA164" s="29">
        <f>Adaptor!Z93</f>
        <v>0</v>
      </c>
      <c r="AB164" s="29">
        <f>Adaptor!AA93</f>
        <v>0</v>
      </c>
    </row>
    <row r="165" spans="3:28" s="11" customFormat="1">
      <c r="C165" s="98" t="s">
        <v>21</v>
      </c>
      <c r="D165" s="29">
        <f>Adaptor!C94</f>
        <v>0</v>
      </c>
      <c r="E165" s="29">
        <f>Adaptor!D94</f>
        <v>0</v>
      </c>
      <c r="F165" s="29">
        <f>Adaptor!E94</f>
        <v>0</v>
      </c>
      <c r="G165" s="29" t="str">
        <f>Adaptor!F94</f>
        <v>UX5401ZA</v>
      </c>
      <c r="H165" s="29" t="str">
        <f>Adaptor!G94</f>
        <v>Core i7-12700H</v>
      </c>
      <c r="I165" s="29" t="str">
        <f>Adaptor!H94</f>
        <v>Local</v>
      </c>
      <c r="J165" s="29" t="str">
        <f>Adaptor!I94</f>
        <v>TBD</v>
      </c>
      <c r="K165" s="29" t="str">
        <f>Adaptor!J94</f>
        <v>Adapter</v>
      </c>
      <c r="L165" s="29" t="str">
        <f>Adaptor!K94</f>
        <v>100W PD</v>
      </c>
      <c r="M165" s="29">
        <f>Adaptor!L94</f>
        <v>0</v>
      </c>
      <c r="N165" s="29">
        <f>Adaptor!M94</f>
        <v>0</v>
      </c>
      <c r="O165" s="29">
        <f>Adaptor!N94</f>
        <v>0</v>
      </c>
      <c r="P165" s="29">
        <f>Adaptor!P94</f>
        <v>0</v>
      </c>
      <c r="Q165" s="29">
        <f>Adaptor!Q94</f>
        <v>0</v>
      </c>
      <c r="R165" s="29">
        <f>Adaptor!R94</f>
        <v>0</v>
      </c>
      <c r="S165" s="29">
        <f>Adaptor!S94</f>
        <v>0</v>
      </c>
      <c r="T165" s="29">
        <f>Adaptor!T94</f>
        <v>0</v>
      </c>
      <c r="U165" s="29">
        <f>Adaptor!U94</f>
        <v>0</v>
      </c>
      <c r="V165" s="29">
        <f>Adaptor!V94</f>
        <v>0</v>
      </c>
      <c r="W165" s="29">
        <f>Adaptor!W94</f>
        <v>0</v>
      </c>
      <c r="X165" s="29">
        <f>Adaptor!X94</f>
        <v>0</v>
      </c>
      <c r="Y165" s="29">
        <f>Adaptor!Y94</f>
        <v>0</v>
      </c>
      <c r="Z165" s="29" t="e">
        <f>Adaptor!#REF!</f>
        <v>#REF!</v>
      </c>
      <c r="AA165" s="29">
        <f>Adaptor!Z94</f>
        <v>0</v>
      </c>
      <c r="AB165" s="29">
        <f>Adaptor!AA94</f>
        <v>0</v>
      </c>
    </row>
    <row r="166" spans="3:28" s="11" customFormat="1">
      <c r="C166" s="98" t="s">
        <v>21</v>
      </c>
      <c r="D166" s="29" t="str">
        <f>Adaptor!C95</f>
        <v>new</v>
      </c>
      <c r="E166" s="29" t="str">
        <f>Adaptor!D95</f>
        <v>FCST</v>
      </c>
      <c r="F166" s="29">
        <f>Adaptor!E95</f>
        <v>4450</v>
      </c>
      <c r="G166" s="29" t="str">
        <f>Adaptor!F95</f>
        <v>K6502HC</v>
      </c>
      <c r="H166" s="29" t="str">
        <f>Adaptor!G95</f>
        <v>Core i9-11900H</v>
      </c>
      <c r="I166" s="29">
        <f>Adaptor!H95</f>
        <v>0</v>
      </c>
      <c r="J166" s="29">
        <f>Adaptor!I95</f>
        <v>0</v>
      </c>
      <c r="K166" s="29">
        <f>Adaptor!J95</f>
        <v>0</v>
      </c>
      <c r="L166" s="29" t="str">
        <f>Adaptor!K95</f>
        <v>150W*4.5PHI</v>
      </c>
      <c r="M166" s="29">
        <f>Adaptor!L95</f>
        <v>0</v>
      </c>
      <c r="N166" s="29">
        <f>Adaptor!M95</f>
        <v>0</v>
      </c>
      <c r="O166" s="29">
        <f>Adaptor!N95</f>
        <v>250</v>
      </c>
      <c r="P166" s="29">
        <f>Adaptor!P95</f>
        <v>550</v>
      </c>
      <c r="Q166" s="29">
        <f>Adaptor!Q95</f>
        <v>700</v>
      </c>
      <c r="R166" s="29">
        <f>Adaptor!R95</f>
        <v>450</v>
      </c>
      <c r="S166" s="29">
        <f>Adaptor!S95</f>
        <v>600</v>
      </c>
      <c r="T166" s="29">
        <f>Adaptor!T95</f>
        <v>450</v>
      </c>
      <c r="U166" s="29">
        <f>Adaptor!U95</f>
        <v>550</v>
      </c>
      <c r="V166" s="29">
        <f>Adaptor!V95</f>
        <v>550</v>
      </c>
      <c r="W166" s="29">
        <f>Adaptor!W95</f>
        <v>0</v>
      </c>
      <c r="X166" s="29">
        <f>Adaptor!X95</f>
        <v>0</v>
      </c>
      <c r="Y166" s="29">
        <f>Adaptor!Y95</f>
        <v>0</v>
      </c>
      <c r="Z166" s="29" t="e">
        <f>Adaptor!#REF!</f>
        <v>#REF!</v>
      </c>
      <c r="AA166" s="29">
        <f>Adaptor!Z95</f>
        <v>0</v>
      </c>
      <c r="AB166" s="29">
        <f>Adaptor!AA95</f>
        <v>0</v>
      </c>
    </row>
    <row r="167" spans="3:28" s="11" customFormat="1">
      <c r="C167" s="98" t="s">
        <v>21</v>
      </c>
      <c r="D167" s="29">
        <f>Adaptor!C96</f>
        <v>0</v>
      </c>
      <c r="E167" s="29">
        <f>Adaptor!D96</f>
        <v>0</v>
      </c>
      <c r="F167" s="29">
        <f>Adaptor!E96</f>
        <v>0</v>
      </c>
      <c r="G167" s="29" t="str">
        <f>Adaptor!F96</f>
        <v>K6502HC</v>
      </c>
      <c r="H167" s="29" t="str">
        <f>Adaptor!G96</f>
        <v>Core i9-11900H</v>
      </c>
      <c r="I167" s="29" t="str">
        <f>Adaptor!H96</f>
        <v>Imported</v>
      </c>
      <c r="J167" s="29" t="str">
        <f>Adaptor!I96</f>
        <v>ASUS</v>
      </c>
      <c r="K167" s="29" t="str">
        <f>Adaptor!J96</f>
        <v>Adapter</v>
      </c>
      <c r="L167" s="29" t="str">
        <f>Adaptor!K96</f>
        <v>150W*4.5PHI</v>
      </c>
      <c r="M167" s="29">
        <f>Adaptor!L96</f>
        <v>0</v>
      </c>
      <c r="N167" s="29" t="str">
        <f>Adaptor!M96</f>
        <v>0A001-00083300</v>
      </c>
      <c r="O167" s="29">
        <f>Adaptor!N96</f>
        <v>250</v>
      </c>
      <c r="P167" s="29">
        <f>Adaptor!P96</f>
        <v>550</v>
      </c>
      <c r="Q167" s="29">
        <f>Adaptor!Q96</f>
        <v>700</v>
      </c>
      <c r="R167" s="29">
        <f>Adaptor!R96</f>
        <v>450</v>
      </c>
      <c r="S167" s="29">
        <f>Adaptor!S96</f>
        <v>600</v>
      </c>
      <c r="T167" s="29">
        <f>Adaptor!T96</f>
        <v>450</v>
      </c>
      <c r="U167" s="29">
        <f>Adaptor!U96</f>
        <v>550</v>
      </c>
      <c r="V167" s="29">
        <f>Adaptor!V96</f>
        <v>550</v>
      </c>
      <c r="W167" s="29">
        <f>Adaptor!W96</f>
        <v>0</v>
      </c>
      <c r="X167" s="29">
        <f>Adaptor!X96</f>
        <v>0</v>
      </c>
      <c r="Y167" s="29">
        <f>Adaptor!Y96</f>
        <v>0</v>
      </c>
      <c r="Z167" s="29" t="e">
        <f>Adaptor!#REF!</f>
        <v>#REF!</v>
      </c>
      <c r="AA167" s="29">
        <f>Adaptor!Z96</f>
        <v>4450</v>
      </c>
      <c r="AB167" s="29">
        <f>Adaptor!AA96</f>
        <v>0</v>
      </c>
    </row>
    <row r="168" spans="3:28" s="11" customFormat="1">
      <c r="C168" s="98" t="s">
        <v>21</v>
      </c>
      <c r="D168" s="29">
        <f>Adaptor!C97</f>
        <v>0</v>
      </c>
      <c r="E168" s="29">
        <f>Adaptor!D97</f>
        <v>0</v>
      </c>
      <c r="F168" s="29">
        <f>Adaptor!E97</f>
        <v>0</v>
      </c>
      <c r="G168" s="29" t="str">
        <f>Adaptor!F97</f>
        <v>K6502HC</v>
      </c>
      <c r="H168" s="29" t="str">
        <f>Adaptor!G97</f>
        <v>Core i9-11900H</v>
      </c>
      <c r="I168" s="29" t="str">
        <f>Adaptor!H97</f>
        <v>Local</v>
      </c>
      <c r="J168" s="29" t="str">
        <f>Adaptor!I97</f>
        <v>TBD</v>
      </c>
      <c r="K168" s="29" t="str">
        <f>Adaptor!J97</f>
        <v>Adapter</v>
      </c>
      <c r="L168" s="29" t="str">
        <f>Adaptor!K97</f>
        <v>150W*4.5PHI</v>
      </c>
      <c r="M168" s="29">
        <f>Adaptor!L97</f>
        <v>0</v>
      </c>
      <c r="N168" s="29">
        <f>Adaptor!M97</f>
        <v>0</v>
      </c>
      <c r="O168" s="29">
        <f>Adaptor!N97</f>
        <v>0</v>
      </c>
      <c r="P168" s="29">
        <f>Adaptor!P97</f>
        <v>0</v>
      </c>
      <c r="Q168" s="29">
        <f>Adaptor!Q97</f>
        <v>0</v>
      </c>
      <c r="R168" s="29">
        <f>Adaptor!R97</f>
        <v>0</v>
      </c>
      <c r="S168" s="29">
        <f>Adaptor!S97</f>
        <v>0</v>
      </c>
      <c r="T168" s="29">
        <f>Adaptor!T97</f>
        <v>0</v>
      </c>
      <c r="U168" s="29">
        <f>Adaptor!U97</f>
        <v>0</v>
      </c>
      <c r="V168" s="29">
        <f>Adaptor!V97</f>
        <v>0</v>
      </c>
      <c r="W168" s="29">
        <f>Adaptor!W97</f>
        <v>0</v>
      </c>
      <c r="X168" s="29">
        <f>Adaptor!X97</f>
        <v>0</v>
      </c>
      <c r="Y168" s="29">
        <f>Adaptor!Y97</f>
        <v>0</v>
      </c>
      <c r="Z168" s="29" t="e">
        <f>Adaptor!#REF!</f>
        <v>#REF!</v>
      </c>
      <c r="AA168" s="29">
        <f>Adaptor!Z97</f>
        <v>0</v>
      </c>
      <c r="AB168" s="29">
        <f>Adaptor!AA97</f>
        <v>0</v>
      </c>
    </row>
    <row r="169" spans="3:28" s="11" customFormat="1">
      <c r="C169" s="98" t="s">
        <v>21</v>
      </c>
      <c r="D169" s="29" t="str">
        <f>Adaptor!C98</f>
        <v>new</v>
      </c>
      <c r="E169" s="29" t="str">
        <f>Adaptor!D98</f>
        <v>FCST</v>
      </c>
      <c r="F169" s="29">
        <f>Adaptor!E98</f>
        <v>300</v>
      </c>
      <c r="G169" s="29" t="str">
        <f>Adaptor!F98</f>
        <v>M6500RC</v>
      </c>
      <c r="H169" s="29" t="str">
        <f>Adaptor!G98</f>
        <v>Ryzen 7-6800H</v>
      </c>
      <c r="I169" s="29">
        <f>Adaptor!H98</f>
        <v>0</v>
      </c>
      <c r="J169" s="29">
        <f>Adaptor!I98</f>
        <v>0</v>
      </c>
      <c r="K169" s="29">
        <f>Adaptor!J98</f>
        <v>0</v>
      </c>
      <c r="L169" s="29" t="str">
        <f>Adaptor!K98</f>
        <v>150W*4.5PHI</v>
      </c>
      <c r="M169" s="29">
        <f>Adaptor!L98</f>
        <v>0</v>
      </c>
      <c r="N169" s="29">
        <f>Adaptor!M98</f>
        <v>0</v>
      </c>
      <c r="O169" s="29">
        <f>Adaptor!N98</f>
        <v>0</v>
      </c>
      <c r="P169" s="29">
        <f>Adaptor!P98</f>
        <v>0</v>
      </c>
      <c r="Q169" s="29">
        <f>Adaptor!Q98</f>
        <v>100</v>
      </c>
      <c r="R169" s="29">
        <f>Adaptor!R98</f>
        <v>0</v>
      </c>
      <c r="S169" s="29">
        <f>Adaptor!S98</f>
        <v>0</v>
      </c>
      <c r="T169" s="29">
        <f>Adaptor!T98</f>
        <v>0</v>
      </c>
      <c r="U169" s="29">
        <f>Adaptor!U98</f>
        <v>0</v>
      </c>
      <c r="V169" s="29">
        <f>Adaptor!V98</f>
        <v>0</v>
      </c>
      <c r="W169" s="29">
        <f>Adaptor!W98</f>
        <v>0</v>
      </c>
      <c r="X169" s="29">
        <f>Adaptor!X98</f>
        <v>0</v>
      </c>
      <c r="Y169" s="29">
        <f>Adaptor!Y98</f>
        <v>0</v>
      </c>
      <c r="Z169" s="29" t="e">
        <f>Adaptor!#REF!</f>
        <v>#REF!</v>
      </c>
      <c r="AA169" s="29">
        <f>Adaptor!Z98</f>
        <v>0</v>
      </c>
      <c r="AB169" s="29">
        <f>Adaptor!AA98</f>
        <v>0</v>
      </c>
    </row>
    <row r="170" spans="3:28" s="11" customFormat="1">
      <c r="C170" s="98" t="s">
        <v>21</v>
      </c>
      <c r="D170" s="29">
        <f>Adaptor!C99</f>
        <v>0</v>
      </c>
      <c r="E170" s="29">
        <f>Adaptor!D99</f>
        <v>0</v>
      </c>
      <c r="F170" s="29">
        <f>Adaptor!E99</f>
        <v>0</v>
      </c>
      <c r="G170" s="29" t="str">
        <f>Adaptor!F99</f>
        <v>M6500RC</v>
      </c>
      <c r="H170" s="29" t="str">
        <f>Adaptor!G99</f>
        <v>Ryzen 7-6800H</v>
      </c>
      <c r="I170" s="29" t="str">
        <f>Adaptor!H99</f>
        <v>Imported</v>
      </c>
      <c r="J170" s="29" t="str">
        <f>Adaptor!I99</f>
        <v>ASUS</v>
      </c>
      <c r="K170" s="29" t="str">
        <f>Adaptor!J99</f>
        <v>Adapter</v>
      </c>
      <c r="L170" s="29" t="str">
        <f>Adaptor!K99</f>
        <v>150W*4.5PHI</v>
      </c>
      <c r="M170" s="29">
        <f>Adaptor!L99</f>
        <v>0</v>
      </c>
      <c r="N170" s="29" t="str">
        <f>Adaptor!M99</f>
        <v>0A001-00083300</v>
      </c>
      <c r="O170" s="29">
        <f>Adaptor!N99</f>
        <v>0</v>
      </c>
      <c r="P170" s="29">
        <f>Adaptor!P99</f>
        <v>0</v>
      </c>
      <c r="Q170" s="29">
        <f>Adaptor!Q99</f>
        <v>100</v>
      </c>
      <c r="R170" s="29">
        <f>Adaptor!R99</f>
        <v>0</v>
      </c>
      <c r="S170" s="29">
        <f>Adaptor!S99</f>
        <v>0</v>
      </c>
      <c r="T170" s="29">
        <f>Adaptor!T99</f>
        <v>0</v>
      </c>
      <c r="U170" s="29">
        <f>Adaptor!U99</f>
        <v>0</v>
      </c>
      <c r="V170" s="29">
        <f>Adaptor!V99</f>
        <v>0</v>
      </c>
      <c r="W170" s="29">
        <f>Adaptor!W99</f>
        <v>0</v>
      </c>
      <c r="X170" s="29">
        <f>Adaptor!X99</f>
        <v>0</v>
      </c>
      <c r="Y170" s="29">
        <f>Adaptor!Y99</f>
        <v>0</v>
      </c>
      <c r="Z170" s="29" t="e">
        <f>Adaptor!#REF!</f>
        <v>#REF!</v>
      </c>
      <c r="AA170" s="29">
        <f>Adaptor!Z99</f>
        <v>300</v>
      </c>
      <c r="AB170" s="29">
        <f>Adaptor!AA99</f>
        <v>0</v>
      </c>
    </row>
    <row r="171" spans="3:28" s="11" customFormat="1">
      <c r="C171" s="98" t="s">
        <v>21</v>
      </c>
      <c r="D171" s="29">
        <f>Adaptor!C100</f>
        <v>0</v>
      </c>
      <c r="E171" s="29">
        <f>Adaptor!D100</f>
        <v>0</v>
      </c>
      <c r="F171" s="29">
        <f>Adaptor!E100</f>
        <v>0</v>
      </c>
      <c r="G171" s="29" t="str">
        <f>Adaptor!F100</f>
        <v>M6500RC</v>
      </c>
      <c r="H171" s="29" t="str">
        <f>Adaptor!G100</f>
        <v>Ryzen 7-6800H</v>
      </c>
      <c r="I171" s="29" t="str">
        <f>Adaptor!H100</f>
        <v>Local</v>
      </c>
      <c r="J171" s="29" t="str">
        <f>Adaptor!I100</f>
        <v>TBD</v>
      </c>
      <c r="K171" s="29" t="str">
        <f>Adaptor!J100</f>
        <v>Adapter</v>
      </c>
      <c r="L171" s="29" t="str">
        <f>Adaptor!K100</f>
        <v>150W*4.5PHI</v>
      </c>
      <c r="M171" s="29">
        <f>Adaptor!L100</f>
        <v>0</v>
      </c>
      <c r="N171" s="29">
        <f>Adaptor!M100</f>
        <v>0</v>
      </c>
      <c r="O171" s="29">
        <f>Adaptor!N100</f>
        <v>0</v>
      </c>
      <c r="P171" s="29">
        <f>Adaptor!P100</f>
        <v>0</v>
      </c>
      <c r="Q171" s="29">
        <f>Adaptor!Q100</f>
        <v>0</v>
      </c>
      <c r="R171" s="29">
        <f>Adaptor!R100</f>
        <v>0</v>
      </c>
      <c r="S171" s="29">
        <f>Adaptor!S100</f>
        <v>0</v>
      </c>
      <c r="T171" s="29">
        <f>Adaptor!T100</f>
        <v>0</v>
      </c>
      <c r="U171" s="29">
        <f>Adaptor!U100</f>
        <v>0</v>
      </c>
      <c r="V171" s="29">
        <f>Adaptor!V100</f>
        <v>0</v>
      </c>
      <c r="W171" s="29">
        <f>Adaptor!W100</f>
        <v>0</v>
      </c>
      <c r="X171" s="29">
        <f>Adaptor!X100</f>
        <v>0</v>
      </c>
      <c r="Y171" s="29">
        <f>Adaptor!Y100</f>
        <v>0</v>
      </c>
      <c r="Z171" s="29" t="e">
        <f>Adaptor!#REF!</f>
        <v>#REF!</v>
      </c>
      <c r="AA171" s="29">
        <f>Adaptor!Z100</f>
        <v>0</v>
      </c>
      <c r="AB171" s="29">
        <f>Adaptor!AA100</f>
        <v>0</v>
      </c>
    </row>
    <row r="172" spans="3:28" s="11" customFormat="1">
      <c r="C172" s="98" t="s">
        <v>21</v>
      </c>
      <c r="D172" s="29" t="str">
        <f>Adaptor!C101</f>
        <v>new</v>
      </c>
      <c r="E172" s="29" t="str">
        <f>Adaptor!D101</f>
        <v>FCST</v>
      </c>
      <c r="F172" s="29">
        <f>Adaptor!E101</f>
        <v>300</v>
      </c>
      <c r="G172" s="29" t="str">
        <f>Adaptor!F101</f>
        <v>K6502ZC</v>
      </c>
      <c r="H172" s="29" t="str">
        <f>Adaptor!G101</f>
        <v>Core i5-12450H</v>
      </c>
      <c r="I172" s="29">
        <f>Adaptor!H101</f>
        <v>0</v>
      </c>
      <c r="J172" s="29">
        <f>Adaptor!I101</f>
        <v>0</v>
      </c>
      <c r="K172" s="29">
        <f>Adaptor!J101</f>
        <v>0</v>
      </c>
      <c r="L172" s="29" t="str">
        <f>Adaptor!K101</f>
        <v>150W*4.5PHI</v>
      </c>
      <c r="M172" s="29">
        <f>Adaptor!L101</f>
        <v>0</v>
      </c>
      <c r="N172" s="29">
        <f>Adaptor!M101</f>
        <v>0</v>
      </c>
      <c r="O172" s="29">
        <f>Adaptor!N101</f>
        <v>0</v>
      </c>
      <c r="P172" s="29">
        <f>Adaptor!P101</f>
        <v>0</v>
      </c>
      <c r="Q172" s="29">
        <f>Adaptor!Q101</f>
        <v>100</v>
      </c>
      <c r="R172" s="29">
        <f>Adaptor!R101</f>
        <v>0</v>
      </c>
      <c r="S172" s="29">
        <f>Adaptor!S101</f>
        <v>0</v>
      </c>
      <c r="T172" s="29">
        <f>Adaptor!T101</f>
        <v>0</v>
      </c>
      <c r="U172" s="29">
        <f>Adaptor!U101</f>
        <v>0</v>
      </c>
      <c r="V172" s="29">
        <f>Adaptor!V101</f>
        <v>0</v>
      </c>
      <c r="W172" s="29">
        <f>Adaptor!W101</f>
        <v>0</v>
      </c>
      <c r="X172" s="29">
        <f>Adaptor!X101</f>
        <v>0</v>
      </c>
      <c r="Y172" s="29">
        <f>Adaptor!Y101</f>
        <v>0</v>
      </c>
      <c r="Z172" s="29" t="e">
        <f>Adaptor!#REF!</f>
        <v>#REF!</v>
      </c>
      <c r="AA172" s="29">
        <f>Adaptor!Z101</f>
        <v>0</v>
      </c>
      <c r="AB172" s="29">
        <f>Adaptor!AA101</f>
        <v>0</v>
      </c>
    </row>
    <row r="173" spans="3:28" s="11" customFormat="1">
      <c r="C173" s="98" t="s">
        <v>21</v>
      </c>
      <c r="D173" s="29">
        <f>Adaptor!C102</f>
        <v>0</v>
      </c>
      <c r="E173" s="29">
        <f>Adaptor!D102</f>
        <v>0</v>
      </c>
      <c r="F173" s="29">
        <f>Adaptor!E102</f>
        <v>0</v>
      </c>
      <c r="G173" s="29" t="str">
        <f>Adaptor!F102</f>
        <v>K6502ZC</v>
      </c>
      <c r="H173" s="29" t="str">
        <f>Adaptor!G102</f>
        <v>Core i5-12450H</v>
      </c>
      <c r="I173" s="29" t="str">
        <f>Adaptor!H102</f>
        <v>Imported</v>
      </c>
      <c r="J173" s="29" t="str">
        <f>Adaptor!I102</f>
        <v>ASUS</v>
      </c>
      <c r="K173" s="29" t="str">
        <f>Adaptor!J102</f>
        <v>Adapter</v>
      </c>
      <c r="L173" s="29" t="str">
        <f>Adaptor!K102</f>
        <v>150W*4.5PHI</v>
      </c>
      <c r="M173" s="29">
        <f>Adaptor!L102</f>
        <v>0</v>
      </c>
      <c r="N173" s="29" t="str">
        <f>Adaptor!M102</f>
        <v>0A001-00083300</v>
      </c>
      <c r="O173" s="29">
        <f>Adaptor!N102</f>
        <v>0</v>
      </c>
      <c r="P173" s="29">
        <f>Adaptor!P102</f>
        <v>0</v>
      </c>
      <c r="Q173" s="29">
        <f>Adaptor!Q102</f>
        <v>100</v>
      </c>
      <c r="R173" s="29">
        <f>Adaptor!R102</f>
        <v>0</v>
      </c>
      <c r="S173" s="29">
        <f>Adaptor!S102</f>
        <v>0</v>
      </c>
      <c r="T173" s="29">
        <f>Adaptor!T102</f>
        <v>0</v>
      </c>
      <c r="U173" s="29">
        <f>Adaptor!U102</f>
        <v>0</v>
      </c>
      <c r="V173" s="29">
        <f>Adaptor!V102</f>
        <v>0</v>
      </c>
      <c r="W173" s="29">
        <f>Adaptor!W102</f>
        <v>0</v>
      </c>
      <c r="X173" s="29">
        <f>Adaptor!X102</f>
        <v>0</v>
      </c>
      <c r="Y173" s="29">
        <f>Adaptor!Y102</f>
        <v>0</v>
      </c>
      <c r="Z173" s="29" t="e">
        <f>Adaptor!#REF!</f>
        <v>#REF!</v>
      </c>
      <c r="AA173" s="29">
        <f>Adaptor!Z102</f>
        <v>300</v>
      </c>
      <c r="AB173" s="29">
        <f>Adaptor!AA102</f>
        <v>0</v>
      </c>
    </row>
    <row r="174" spans="3:28" s="11" customFormat="1">
      <c r="C174" s="98" t="s">
        <v>21</v>
      </c>
      <c r="D174" s="29">
        <f>Adaptor!C103</f>
        <v>0</v>
      </c>
      <c r="E174" s="29">
        <f>Adaptor!D103</f>
        <v>0</v>
      </c>
      <c r="F174" s="29">
        <f>Adaptor!E103</f>
        <v>0</v>
      </c>
      <c r="G174" s="29" t="str">
        <f>Adaptor!F103</f>
        <v>K6502ZC</v>
      </c>
      <c r="H174" s="29" t="str">
        <f>Adaptor!G103</f>
        <v>Core i5-12450H</v>
      </c>
      <c r="I174" s="29" t="str">
        <f>Adaptor!H103</f>
        <v>Local</v>
      </c>
      <c r="J174" s="29" t="str">
        <f>Adaptor!I103</f>
        <v>TBD</v>
      </c>
      <c r="K174" s="29" t="str">
        <f>Adaptor!J103</f>
        <v>Adapter</v>
      </c>
      <c r="L174" s="29" t="str">
        <f>Adaptor!K103</f>
        <v>150W*4.5PHI</v>
      </c>
      <c r="M174" s="29">
        <f>Adaptor!L103</f>
        <v>0</v>
      </c>
      <c r="N174" s="29">
        <f>Adaptor!M103</f>
        <v>0</v>
      </c>
      <c r="O174" s="29">
        <f>Adaptor!N103</f>
        <v>0</v>
      </c>
      <c r="P174" s="29">
        <f>Adaptor!P103</f>
        <v>0</v>
      </c>
      <c r="Q174" s="29">
        <f>Adaptor!Q103</f>
        <v>0</v>
      </c>
      <c r="R174" s="29">
        <f>Adaptor!R103</f>
        <v>0</v>
      </c>
      <c r="S174" s="29">
        <f>Adaptor!S103</f>
        <v>0</v>
      </c>
      <c r="T174" s="29">
        <f>Adaptor!T103</f>
        <v>0</v>
      </c>
      <c r="U174" s="29">
        <f>Adaptor!U103</f>
        <v>0</v>
      </c>
      <c r="V174" s="29">
        <f>Adaptor!V103</f>
        <v>0</v>
      </c>
      <c r="W174" s="29">
        <f>Adaptor!W103</f>
        <v>0</v>
      </c>
      <c r="X174" s="29">
        <f>Adaptor!X103</f>
        <v>0</v>
      </c>
      <c r="Y174" s="29">
        <f>Adaptor!Y103</f>
        <v>0</v>
      </c>
      <c r="Z174" s="29" t="e">
        <f>Adaptor!#REF!</f>
        <v>#REF!</v>
      </c>
      <c r="AA174" s="29">
        <f>Adaptor!Z103</f>
        <v>0</v>
      </c>
      <c r="AB174" s="29">
        <f>Adaptor!AA103</f>
        <v>0</v>
      </c>
    </row>
    <row r="175" spans="3:28" s="11" customFormat="1">
      <c r="C175" s="98" t="s">
        <v>21</v>
      </c>
      <c r="D175" s="29" t="e">
        <f>Adaptor!#REF!</f>
        <v>#REF!</v>
      </c>
      <c r="E175" s="29" t="e">
        <f>Adaptor!#REF!</f>
        <v>#REF!</v>
      </c>
      <c r="F175" s="29" t="e">
        <f>Adaptor!#REF!</f>
        <v>#REF!</v>
      </c>
      <c r="G175" s="29" t="e">
        <f>Adaptor!#REF!</f>
        <v>#REF!</v>
      </c>
      <c r="H175" s="29" t="e">
        <f>Adaptor!#REF!</f>
        <v>#REF!</v>
      </c>
      <c r="I175" s="29" t="e">
        <f>Adaptor!#REF!</f>
        <v>#REF!</v>
      </c>
      <c r="J175" s="29" t="e">
        <f>Adaptor!#REF!</f>
        <v>#REF!</v>
      </c>
      <c r="K175" s="29" t="e">
        <f>Adaptor!#REF!</f>
        <v>#REF!</v>
      </c>
      <c r="L175" s="29" t="e">
        <f>Adaptor!#REF!</f>
        <v>#REF!</v>
      </c>
      <c r="M175" s="29" t="e">
        <f>Adaptor!#REF!</f>
        <v>#REF!</v>
      </c>
      <c r="N175" s="29" t="e">
        <f>Adaptor!#REF!</f>
        <v>#REF!</v>
      </c>
      <c r="O175" s="29" t="e">
        <f>Adaptor!#REF!</f>
        <v>#REF!</v>
      </c>
      <c r="P175" s="29" t="e">
        <f>Adaptor!#REF!</f>
        <v>#REF!</v>
      </c>
      <c r="Q175" s="29" t="e">
        <f>Adaptor!#REF!</f>
        <v>#REF!</v>
      </c>
      <c r="R175" s="29" t="e">
        <f>Adaptor!#REF!</f>
        <v>#REF!</v>
      </c>
      <c r="S175" s="29" t="e">
        <f>Adaptor!#REF!</f>
        <v>#REF!</v>
      </c>
      <c r="T175" s="29" t="e">
        <f>Adaptor!#REF!</f>
        <v>#REF!</v>
      </c>
      <c r="U175" s="29" t="e">
        <f>Adaptor!#REF!</f>
        <v>#REF!</v>
      </c>
      <c r="V175" s="29" t="e">
        <f>Adaptor!#REF!</f>
        <v>#REF!</v>
      </c>
      <c r="W175" s="29" t="e">
        <f>Adaptor!#REF!</f>
        <v>#REF!</v>
      </c>
      <c r="X175" s="29" t="e">
        <f>Adaptor!#REF!</f>
        <v>#REF!</v>
      </c>
      <c r="Y175" s="29" t="e">
        <f>Adaptor!#REF!</f>
        <v>#REF!</v>
      </c>
      <c r="Z175" s="29" t="e">
        <f>Adaptor!#REF!</f>
        <v>#REF!</v>
      </c>
      <c r="AA175" s="29" t="e">
        <f>Adaptor!#REF!</f>
        <v>#REF!</v>
      </c>
      <c r="AB175" s="29" t="e">
        <f>Adaptor!#REF!</f>
        <v>#REF!</v>
      </c>
    </row>
    <row r="176" spans="3:28" s="11" customFormat="1">
      <c r="C176" s="98" t="s">
        <v>21</v>
      </c>
      <c r="D176" s="29" t="e">
        <f>Adaptor!#REF!</f>
        <v>#REF!</v>
      </c>
      <c r="E176" s="29" t="e">
        <f>Adaptor!#REF!</f>
        <v>#REF!</v>
      </c>
      <c r="F176" s="29" t="e">
        <f>Adaptor!#REF!</f>
        <v>#REF!</v>
      </c>
      <c r="G176" s="29" t="e">
        <f>Adaptor!#REF!</f>
        <v>#REF!</v>
      </c>
      <c r="H176" s="29" t="e">
        <f>Adaptor!#REF!</f>
        <v>#REF!</v>
      </c>
      <c r="I176" s="29" t="e">
        <f>Adaptor!#REF!</f>
        <v>#REF!</v>
      </c>
      <c r="J176" s="29" t="e">
        <f>Adaptor!#REF!</f>
        <v>#REF!</v>
      </c>
      <c r="K176" s="29" t="e">
        <f>Adaptor!#REF!</f>
        <v>#REF!</v>
      </c>
      <c r="L176" s="29" t="e">
        <f>Adaptor!#REF!</f>
        <v>#REF!</v>
      </c>
      <c r="M176" s="29" t="e">
        <f>Adaptor!#REF!</f>
        <v>#REF!</v>
      </c>
      <c r="N176" s="29" t="e">
        <f>Adaptor!#REF!</f>
        <v>#REF!</v>
      </c>
      <c r="O176" s="29" t="e">
        <f>Adaptor!#REF!</f>
        <v>#REF!</v>
      </c>
      <c r="P176" s="29" t="e">
        <f>Adaptor!#REF!</f>
        <v>#REF!</v>
      </c>
      <c r="Q176" s="29" t="e">
        <f>Adaptor!#REF!</f>
        <v>#REF!</v>
      </c>
      <c r="R176" s="29" t="e">
        <f>Adaptor!#REF!</f>
        <v>#REF!</v>
      </c>
      <c r="S176" s="29" t="e">
        <f>Adaptor!#REF!</f>
        <v>#REF!</v>
      </c>
      <c r="T176" s="29" t="e">
        <f>Adaptor!#REF!</f>
        <v>#REF!</v>
      </c>
      <c r="U176" s="29" t="e">
        <f>Adaptor!#REF!</f>
        <v>#REF!</v>
      </c>
      <c r="V176" s="29" t="e">
        <f>Adaptor!#REF!</f>
        <v>#REF!</v>
      </c>
      <c r="W176" s="29" t="e">
        <f>Adaptor!#REF!</f>
        <v>#REF!</v>
      </c>
      <c r="X176" s="29" t="e">
        <f>Adaptor!#REF!</f>
        <v>#REF!</v>
      </c>
      <c r="Y176" s="29" t="e">
        <f>Adaptor!#REF!</f>
        <v>#REF!</v>
      </c>
      <c r="Z176" s="29" t="e">
        <f>Adaptor!#REF!</f>
        <v>#REF!</v>
      </c>
      <c r="AA176" s="29" t="e">
        <f>Adaptor!#REF!</f>
        <v>#REF!</v>
      </c>
      <c r="AB176" s="29" t="e">
        <f>Adaptor!#REF!</f>
        <v>#REF!</v>
      </c>
    </row>
    <row r="177" spans="3:28">
      <c r="C177" s="98" t="s">
        <v>25</v>
      </c>
      <c r="D177" s="23" t="e">
        <f>HDD!#REF!</f>
        <v>#REF!</v>
      </c>
      <c r="E177" s="23" t="e">
        <f>HDD!#REF!</f>
        <v>#REF!</v>
      </c>
      <c r="F177" s="23" t="e">
        <f>HDD!#REF!</f>
        <v>#REF!</v>
      </c>
      <c r="G177" s="23" t="e">
        <f>HDD!#REF!</f>
        <v>#REF!</v>
      </c>
      <c r="H177" s="23" t="e">
        <f>HDD!#REF!</f>
        <v>#REF!</v>
      </c>
      <c r="I177" s="23" t="e">
        <f>HDD!#REF!</f>
        <v>#REF!</v>
      </c>
      <c r="J177" s="23" t="e">
        <f>HDD!#REF!</f>
        <v>#REF!</v>
      </c>
      <c r="K177" s="23" t="e">
        <f>HDD!#REF!</f>
        <v>#REF!</v>
      </c>
      <c r="L177" s="23" t="e">
        <f>HDD!#REF!</f>
        <v>#REF!</v>
      </c>
      <c r="M177" s="23" t="e">
        <f>HDD!#REF!</f>
        <v>#REF!</v>
      </c>
      <c r="N177" s="23" t="e">
        <f>HDD!#REF!</f>
        <v>#REF!</v>
      </c>
      <c r="O177" s="23" t="e">
        <f>HDD!#REF!</f>
        <v>#REF!</v>
      </c>
      <c r="P177" s="23" t="e">
        <f>HDD!#REF!</f>
        <v>#REF!</v>
      </c>
      <c r="Q177" s="23" t="e">
        <f>HDD!#REF!</f>
        <v>#REF!</v>
      </c>
      <c r="R177" s="23" t="e">
        <f>HDD!#REF!</f>
        <v>#REF!</v>
      </c>
      <c r="S177" s="23" t="e">
        <f>HDD!#REF!</f>
        <v>#REF!</v>
      </c>
      <c r="T177" s="23" t="e">
        <f>HDD!#REF!</f>
        <v>#REF!</v>
      </c>
      <c r="U177" s="23" t="e">
        <f>HDD!#REF!</f>
        <v>#REF!</v>
      </c>
      <c r="V177" s="23" t="e">
        <f>HDD!#REF!</f>
        <v>#REF!</v>
      </c>
      <c r="W177" s="23" t="e">
        <f>HDD!#REF!</f>
        <v>#REF!</v>
      </c>
      <c r="X177" s="23" t="e">
        <f>HDD!#REF!</f>
        <v>#REF!</v>
      </c>
      <c r="Y177" s="23" t="e">
        <f>HDD!#REF!</f>
        <v>#REF!</v>
      </c>
      <c r="Z177" s="23" t="e">
        <f>HDD!#REF!</f>
        <v>#REF!</v>
      </c>
      <c r="AA177" s="23" t="e">
        <f>HDD!#REF!</f>
        <v>#REF!</v>
      </c>
      <c r="AB177" s="23" t="e">
        <f>HDD!#REF!</f>
        <v>#REF!</v>
      </c>
    </row>
    <row r="178" spans="3:28">
      <c r="C178" s="98" t="s">
        <v>25</v>
      </c>
      <c r="D178" s="23" t="e">
        <f>HDD!#REF!</f>
        <v>#REF!</v>
      </c>
      <c r="E178" s="23" t="e">
        <f>HDD!#REF!</f>
        <v>#REF!</v>
      </c>
      <c r="F178" s="23" t="e">
        <f>HDD!#REF!</f>
        <v>#REF!</v>
      </c>
      <c r="G178" s="23" t="e">
        <f>HDD!#REF!</f>
        <v>#REF!</v>
      </c>
      <c r="H178" s="23" t="e">
        <f>HDD!#REF!</f>
        <v>#REF!</v>
      </c>
      <c r="I178" s="23" t="e">
        <f>HDD!#REF!</f>
        <v>#REF!</v>
      </c>
      <c r="J178" s="23" t="e">
        <f>HDD!#REF!</f>
        <v>#REF!</v>
      </c>
      <c r="K178" s="23" t="e">
        <f>HDD!#REF!</f>
        <v>#REF!</v>
      </c>
      <c r="L178" s="23" t="e">
        <f>HDD!#REF!</f>
        <v>#REF!</v>
      </c>
      <c r="M178" s="23" t="e">
        <f>HDD!#REF!</f>
        <v>#REF!</v>
      </c>
      <c r="N178" s="23" t="e">
        <f>HDD!#REF!</f>
        <v>#REF!</v>
      </c>
      <c r="O178" s="23" t="e">
        <f>HDD!#REF!</f>
        <v>#REF!</v>
      </c>
      <c r="P178" s="23" t="e">
        <f>HDD!#REF!</f>
        <v>#REF!</v>
      </c>
      <c r="Q178" s="23" t="e">
        <f>HDD!#REF!</f>
        <v>#REF!</v>
      </c>
      <c r="R178" s="23" t="e">
        <f>HDD!#REF!</f>
        <v>#REF!</v>
      </c>
      <c r="S178" s="23" t="e">
        <f>HDD!#REF!</f>
        <v>#REF!</v>
      </c>
      <c r="T178" s="23" t="e">
        <f>HDD!#REF!</f>
        <v>#REF!</v>
      </c>
      <c r="U178" s="23" t="e">
        <f>HDD!#REF!</f>
        <v>#REF!</v>
      </c>
      <c r="V178" s="23" t="e">
        <f>HDD!#REF!</f>
        <v>#REF!</v>
      </c>
      <c r="W178" s="23" t="e">
        <f>HDD!#REF!</f>
        <v>#REF!</v>
      </c>
      <c r="X178" s="23" t="e">
        <f>HDD!#REF!</f>
        <v>#REF!</v>
      </c>
      <c r="Y178" s="23" t="e">
        <f>HDD!#REF!</f>
        <v>#REF!</v>
      </c>
      <c r="Z178" s="23" t="e">
        <f>HDD!#REF!</f>
        <v>#REF!</v>
      </c>
      <c r="AA178" s="23" t="e">
        <f>HDD!#REF!</f>
        <v>#REF!</v>
      </c>
      <c r="AB178" s="23" t="e">
        <f>HDD!#REF!</f>
        <v>#REF!</v>
      </c>
    </row>
    <row r="179" spans="3:28">
      <c r="C179" s="98" t="s">
        <v>25</v>
      </c>
      <c r="D179" s="23" t="e">
        <f>HDD!#REF!</f>
        <v>#REF!</v>
      </c>
      <c r="E179" s="23" t="e">
        <f>HDD!#REF!</f>
        <v>#REF!</v>
      </c>
      <c r="F179" s="23" t="e">
        <f>HDD!#REF!</f>
        <v>#REF!</v>
      </c>
      <c r="G179" s="23" t="e">
        <f>HDD!#REF!</f>
        <v>#REF!</v>
      </c>
      <c r="H179" s="23" t="e">
        <f>HDD!#REF!</f>
        <v>#REF!</v>
      </c>
      <c r="I179" s="23" t="e">
        <f>HDD!#REF!</f>
        <v>#REF!</v>
      </c>
      <c r="J179" s="23" t="e">
        <f>HDD!#REF!</f>
        <v>#REF!</v>
      </c>
      <c r="K179" s="23" t="e">
        <f>HDD!#REF!</f>
        <v>#REF!</v>
      </c>
      <c r="L179" s="23" t="e">
        <f>HDD!#REF!</f>
        <v>#REF!</v>
      </c>
      <c r="M179" s="23" t="e">
        <f>HDD!#REF!</f>
        <v>#REF!</v>
      </c>
      <c r="N179" s="23" t="e">
        <f>HDD!#REF!</f>
        <v>#REF!</v>
      </c>
      <c r="O179" s="23" t="e">
        <f>HDD!#REF!</f>
        <v>#REF!</v>
      </c>
      <c r="P179" s="23" t="e">
        <f>HDD!#REF!</f>
        <v>#REF!</v>
      </c>
      <c r="Q179" s="23" t="e">
        <f>HDD!#REF!</f>
        <v>#REF!</v>
      </c>
      <c r="R179" s="23" t="e">
        <f>HDD!#REF!</f>
        <v>#REF!</v>
      </c>
      <c r="S179" s="23" t="e">
        <f>HDD!#REF!</f>
        <v>#REF!</v>
      </c>
      <c r="T179" s="23" t="e">
        <f>HDD!#REF!</f>
        <v>#REF!</v>
      </c>
      <c r="U179" s="23" t="e">
        <f>HDD!#REF!</f>
        <v>#REF!</v>
      </c>
      <c r="V179" s="23" t="e">
        <f>HDD!#REF!</f>
        <v>#REF!</v>
      </c>
      <c r="W179" s="23" t="e">
        <f>HDD!#REF!</f>
        <v>#REF!</v>
      </c>
      <c r="X179" s="23" t="e">
        <f>HDD!#REF!</f>
        <v>#REF!</v>
      </c>
      <c r="Y179" s="23" t="e">
        <f>HDD!#REF!</f>
        <v>#REF!</v>
      </c>
      <c r="Z179" s="23" t="e">
        <f>HDD!#REF!</f>
        <v>#REF!</v>
      </c>
      <c r="AA179" s="23" t="e">
        <f>HDD!#REF!</f>
        <v>#REF!</v>
      </c>
      <c r="AB179" s="23" t="e">
        <f>HDD!#REF!</f>
        <v>#REF!</v>
      </c>
    </row>
    <row r="180" spans="3:28">
      <c r="C180" s="98" t="s">
        <v>25</v>
      </c>
      <c r="D180" s="23">
        <f>HDD!C14</f>
        <v>0</v>
      </c>
      <c r="E180" s="23" t="str">
        <f>HDD!D14</f>
        <v>FCST</v>
      </c>
      <c r="F180" s="23">
        <f>HDD!E14</f>
        <v>0</v>
      </c>
      <c r="G180" s="23" t="str">
        <f>HDD!F14</f>
        <v>X515JF</v>
      </c>
      <c r="H180" s="23" t="str">
        <f>HDD!G14</f>
        <v>Core i5-1035G1</v>
      </c>
      <c r="I180" s="23">
        <f>HDD!H14</f>
        <v>0</v>
      </c>
      <c r="J180" s="23">
        <f>HDD!I14</f>
        <v>0</v>
      </c>
      <c r="K180" s="23">
        <f>HDD!J14</f>
        <v>0</v>
      </c>
      <c r="L180" s="23" t="str">
        <f>HDD!K14</f>
        <v>1TB + 256GB SSD</v>
      </c>
      <c r="M180" s="23">
        <f>HDD!L14</f>
        <v>0</v>
      </c>
      <c r="N180" s="23">
        <f>HDD!M14</f>
        <v>0</v>
      </c>
      <c r="O180" s="23">
        <f>HDD!N14</f>
        <v>0</v>
      </c>
      <c r="P180" s="23">
        <f>HDD!P14</f>
        <v>0</v>
      </c>
      <c r="Q180" s="23">
        <f>HDD!Q14</f>
        <v>0</v>
      </c>
      <c r="R180" s="23">
        <f>HDD!R14</f>
        <v>0</v>
      </c>
      <c r="S180" s="23">
        <f>HDD!S14</f>
        <v>0</v>
      </c>
      <c r="T180" s="23">
        <f>HDD!T14</f>
        <v>0</v>
      </c>
      <c r="U180" s="23">
        <f>HDD!U14</f>
        <v>0</v>
      </c>
      <c r="V180" s="23">
        <f>HDD!V14</f>
        <v>0</v>
      </c>
      <c r="W180" s="23">
        <f>HDD!W14</f>
        <v>0</v>
      </c>
      <c r="X180" s="23">
        <f>HDD!X14</f>
        <v>0</v>
      </c>
      <c r="Y180" s="23">
        <f>HDD!Y14</f>
        <v>0</v>
      </c>
      <c r="Z180" s="23">
        <f>HDD!Z14</f>
        <v>0</v>
      </c>
      <c r="AA180" s="23">
        <f>HDD!AA14</f>
        <v>0</v>
      </c>
      <c r="AB180" s="23">
        <f>HDD!AB14</f>
        <v>0</v>
      </c>
    </row>
    <row r="181" spans="3:28">
      <c r="C181" s="98" t="s">
        <v>25</v>
      </c>
      <c r="D181" s="23">
        <f>HDD!C15</f>
        <v>0</v>
      </c>
      <c r="E181" s="23">
        <f>HDD!D15</f>
        <v>0</v>
      </c>
      <c r="F181" s="23">
        <f>HDD!E15</f>
        <v>0</v>
      </c>
      <c r="G181" s="23" t="str">
        <f>HDD!F15</f>
        <v>X515JF</v>
      </c>
      <c r="H181" s="23" t="str">
        <f>HDD!G15</f>
        <v>Core i5-1035G1</v>
      </c>
      <c r="I181" s="23" t="str">
        <f>HDD!H15</f>
        <v>Imported</v>
      </c>
      <c r="J181" s="23" t="str">
        <f>HDD!I15</f>
        <v>Asus</v>
      </c>
      <c r="K181" s="23" t="str">
        <f>HDD!J15</f>
        <v>HDD</v>
      </c>
      <c r="L181" s="23" t="str">
        <f>HDD!K15</f>
        <v>1TB</v>
      </c>
      <c r="M181" s="23">
        <f>HDD!L15</f>
        <v>0</v>
      </c>
      <c r="N181" s="23" t="str">
        <f>HDD!M15</f>
        <v>19200-41640800</v>
      </c>
      <c r="O181" s="23">
        <f>HDD!N15</f>
        <v>0</v>
      </c>
      <c r="P181" s="23">
        <f>HDD!P15</f>
        <v>0</v>
      </c>
      <c r="Q181" s="23">
        <f>HDD!Q15</f>
        <v>0</v>
      </c>
      <c r="R181" s="23">
        <f>HDD!R15</f>
        <v>0</v>
      </c>
      <c r="S181" s="23">
        <f>HDD!S15</f>
        <v>0</v>
      </c>
      <c r="T181" s="23">
        <f>HDD!T15</f>
        <v>0</v>
      </c>
      <c r="U181" s="23">
        <f>HDD!U15</f>
        <v>0</v>
      </c>
      <c r="V181" s="23">
        <f>HDD!V15</f>
        <v>0</v>
      </c>
      <c r="W181" s="23">
        <f>HDD!W15</f>
        <v>0</v>
      </c>
      <c r="X181" s="23">
        <f>HDD!X15</f>
        <v>0</v>
      </c>
      <c r="Y181" s="23">
        <f>HDD!Y15</f>
        <v>0</v>
      </c>
      <c r="Z181" s="23">
        <f>HDD!Z15</f>
        <v>0</v>
      </c>
      <c r="AA181" s="23">
        <f>HDD!AA15</f>
        <v>0</v>
      </c>
      <c r="AB181" s="23">
        <f>HDD!AB15</f>
        <v>0</v>
      </c>
    </row>
    <row r="182" spans="3:28">
      <c r="C182" s="98" t="s">
        <v>25</v>
      </c>
      <c r="D182" s="23">
        <f>HDD!C16</f>
        <v>0</v>
      </c>
      <c r="E182" s="23">
        <f>HDD!D16</f>
        <v>0</v>
      </c>
      <c r="F182" s="23">
        <f>HDD!E16</f>
        <v>0</v>
      </c>
      <c r="G182" s="23" t="str">
        <f>HDD!F16</f>
        <v>X515JF</v>
      </c>
      <c r="H182" s="23" t="str">
        <f>HDD!G16</f>
        <v>Core i5-1035G1</v>
      </c>
      <c r="I182" s="23" t="str">
        <f>HDD!H16</f>
        <v>Local</v>
      </c>
      <c r="J182" s="23" t="str">
        <f>HDD!I16</f>
        <v>WD</v>
      </c>
      <c r="K182" s="23" t="str">
        <f>HDD!J16</f>
        <v>HDD</v>
      </c>
      <c r="L182" s="23" t="str">
        <f>HDD!K16</f>
        <v>1TB</v>
      </c>
      <c r="M182" s="23">
        <f>HDD!L16</f>
        <v>0</v>
      </c>
      <c r="N182" s="23" t="str">
        <f>HDD!M16</f>
        <v>19200-41620800</v>
      </c>
      <c r="O182" s="23">
        <f>HDD!N16</f>
        <v>0</v>
      </c>
      <c r="P182" s="23">
        <f>HDD!P16</f>
        <v>0</v>
      </c>
      <c r="Q182" s="23">
        <f>HDD!Q16</f>
        <v>0</v>
      </c>
      <c r="R182" s="23">
        <f>HDD!R16</f>
        <v>0</v>
      </c>
      <c r="S182" s="23">
        <f>HDD!S16</f>
        <v>0</v>
      </c>
      <c r="T182" s="23">
        <f>HDD!T16</f>
        <v>0</v>
      </c>
      <c r="U182" s="23">
        <f>HDD!U16</f>
        <v>0</v>
      </c>
      <c r="V182" s="23">
        <f>HDD!V16</f>
        <v>0</v>
      </c>
      <c r="W182" s="23">
        <f>HDD!W16</f>
        <v>0</v>
      </c>
      <c r="X182" s="23">
        <f>HDD!X16</f>
        <v>0</v>
      </c>
      <c r="Y182" s="23">
        <f>HDD!Y16</f>
        <v>0</v>
      </c>
      <c r="Z182" s="23">
        <f>HDD!Z16</f>
        <v>0</v>
      </c>
      <c r="AA182" s="23">
        <f>HDD!AA16</f>
        <v>0</v>
      </c>
      <c r="AB182" s="23">
        <f>HDD!AB16</f>
        <v>0</v>
      </c>
    </row>
    <row r="183" spans="3:28">
      <c r="C183" s="98" t="s">
        <v>25</v>
      </c>
      <c r="D183" s="23">
        <f>HDD!C17</f>
        <v>0</v>
      </c>
      <c r="E183" s="23" t="str">
        <f>HDD!D17</f>
        <v>FCST</v>
      </c>
      <c r="F183" s="23">
        <f>HDD!E17</f>
        <v>0</v>
      </c>
      <c r="G183" s="23" t="str">
        <f>HDD!F17</f>
        <v>X513EA</v>
      </c>
      <c r="H183" s="23" t="str">
        <f>HDD!G17</f>
        <v>Core i7-1165G7</v>
      </c>
      <c r="I183" s="23">
        <f>HDD!H17</f>
        <v>0</v>
      </c>
      <c r="J183" s="23">
        <f>HDD!I17</f>
        <v>0</v>
      </c>
      <c r="K183" s="23">
        <f>HDD!J17</f>
        <v>0</v>
      </c>
      <c r="L183" s="23" t="str">
        <f>HDD!K17</f>
        <v>1TB + 256GB SSD</v>
      </c>
      <c r="M183" s="23">
        <f>HDD!L17</f>
        <v>0</v>
      </c>
      <c r="N183" s="23">
        <f>HDD!M17</f>
        <v>0</v>
      </c>
      <c r="O183" s="23">
        <f>HDD!N17</f>
        <v>0</v>
      </c>
      <c r="P183" s="23">
        <f>HDD!P17</f>
        <v>0</v>
      </c>
      <c r="Q183" s="23">
        <f>HDD!Q17</f>
        <v>0</v>
      </c>
      <c r="R183" s="23">
        <f>HDD!R17</f>
        <v>0</v>
      </c>
      <c r="S183" s="23">
        <f>HDD!S17</f>
        <v>0</v>
      </c>
      <c r="T183" s="23">
        <f>HDD!T17</f>
        <v>0</v>
      </c>
      <c r="U183" s="23">
        <f>HDD!U17</f>
        <v>0</v>
      </c>
      <c r="V183" s="23">
        <f>HDD!V17</f>
        <v>0</v>
      </c>
      <c r="W183" s="23">
        <f>HDD!W17</f>
        <v>0</v>
      </c>
      <c r="X183" s="23">
        <f>HDD!X17</f>
        <v>0</v>
      </c>
      <c r="Y183" s="23">
        <f>HDD!Y17</f>
        <v>0</v>
      </c>
      <c r="Z183" s="23">
        <f>HDD!Z17</f>
        <v>0</v>
      </c>
      <c r="AA183" s="23">
        <f>HDD!AA17</f>
        <v>0</v>
      </c>
      <c r="AB183" s="23">
        <f>HDD!AB17</f>
        <v>0</v>
      </c>
    </row>
    <row r="184" spans="3:28">
      <c r="C184" s="98" t="s">
        <v>25</v>
      </c>
      <c r="D184" s="23">
        <f>HDD!C18</f>
        <v>0</v>
      </c>
      <c r="E184" s="23">
        <f>HDD!D18</f>
        <v>0</v>
      </c>
      <c r="F184" s="23">
        <f>HDD!E18</f>
        <v>0</v>
      </c>
      <c r="G184" s="23" t="str">
        <f>HDD!F18</f>
        <v>X513EA</v>
      </c>
      <c r="H184" s="23" t="str">
        <f>HDD!G18</f>
        <v>Core i7-1165G7</v>
      </c>
      <c r="I184" s="23" t="str">
        <f>HDD!H18</f>
        <v>Imported</v>
      </c>
      <c r="J184" s="23" t="str">
        <f>HDD!I18</f>
        <v>Asus</v>
      </c>
      <c r="K184" s="23" t="str">
        <f>HDD!J18</f>
        <v>HDD</v>
      </c>
      <c r="L184" s="23" t="str">
        <f>HDD!K18</f>
        <v>1TB</v>
      </c>
      <c r="M184" s="23">
        <f>HDD!L18</f>
        <v>0</v>
      </c>
      <c r="N184" s="23" t="str">
        <f>HDD!M18</f>
        <v>19200-41640800</v>
      </c>
      <c r="O184" s="23">
        <f>HDD!N18</f>
        <v>0</v>
      </c>
      <c r="P184" s="23">
        <f>HDD!P18</f>
        <v>0</v>
      </c>
      <c r="Q184" s="23">
        <f>HDD!Q18</f>
        <v>0</v>
      </c>
      <c r="R184" s="23">
        <f>HDD!R18</f>
        <v>0</v>
      </c>
      <c r="S184" s="23">
        <f>HDD!S18</f>
        <v>0</v>
      </c>
      <c r="T184" s="23">
        <f>HDD!T18</f>
        <v>0</v>
      </c>
      <c r="U184" s="23">
        <f>HDD!U18</f>
        <v>0</v>
      </c>
      <c r="V184" s="23">
        <f>HDD!V18</f>
        <v>0</v>
      </c>
      <c r="W184" s="23">
        <f>HDD!W18</f>
        <v>0</v>
      </c>
      <c r="X184" s="23">
        <f>HDD!X18</f>
        <v>0</v>
      </c>
      <c r="Y184" s="23">
        <f>HDD!Y18</f>
        <v>0</v>
      </c>
      <c r="Z184" s="23">
        <f>HDD!Z18</f>
        <v>0</v>
      </c>
      <c r="AA184" s="23">
        <f>HDD!AA18</f>
        <v>0</v>
      </c>
      <c r="AB184" s="23">
        <f>HDD!AB18</f>
        <v>0</v>
      </c>
    </row>
    <row r="185" spans="3:28">
      <c r="C185" s="98" t="s">
        <v>25</v>
      </c>
      <c r="D185" s="23">
        <f>HDD!C19</f>
        <v>0</v>
      </c>
      <c r="E185" s="23">
        <f>HDD!D19</f>
        <v>0</v>
      </c>
      <c r="F185" s="23">
        <f>HDD!E19</f>
        <v>0</v>
      </c>
      <c r="G185" s="23" t="str">
        <f>HDD!F19</f>
        <v>X513EA</v>
      </c>
      <c r="H185" s="23" t="str">
        <f>HDD!G19</f>
        <v>Core i7-1165G7</v>
      </c>
      <c r="I185" s="23" t="str">
        <f>HDD!H19</f>
        <v>Local</v>
      </c>
      <c r="J185" s="23" t="str">
        <f>HDD!I19</f>
        <v>WD</v>
      </c>
      <c r="K185" s="23" t="str">
        <f>HDD!J19</f>
        <v>HDD</v>
      </c>
      <c r="L185" s="23" t="str">
        <f>HDD!K19</f>
        <v>1TB</v>
      </c>
      <c r="M185" s="23">
        <f>HDD!L19</f>
        <v>0</v>
      </c>
      <c r="N185" s="23" t="str">
        <f>HDD!M19</f>
        <v>19200-41620800</v>
      </c>
      <c r="O185" s="23">
        <f>HDD!N19</f>
        <v>0</v>
      </c>
      <c r="P185" s="23">
        <f>HDD!P19</f>
        <v>0</v>
      </c>
      <c r="Q185" s="23">
        <f>HDD!Q19</f>
        <v>0</v>
      </c>
      <c r="R185" s="23">
        <f>HDD!R19</f>
        <v>0</v>
      </c>
      <c r="S185" s="23">
        <f>HDD!S19</f>
        <v>0</v>
      </c>
      <c r="T185" s="23">
        <f>HDD!T19</f>
        <v>0</v>
      </c>
      <c r="U185" s="23">
        <f>HDD!U19</f>
        <v>0</v>
      </c>
      <c r="V185" s="23">
        <f>HDD!V19</f>
        <v>0</v>
      </c>
      <c r="W185" s="23">
        <f>HDD!W19</f>
        <v>0</v>
      </c>
      <c r="X185" s="23">
        <f>HDD!X19</f>
        <v>0</v>
      </c>
      <c r="Y185" s="23">
        <f>HDD!Y19</f>
        <v>0</v>
      </c>
      <c r="Z185" s="23">
        <f>HDD!Z19</f>
        <v>0</v>
      </c>
      <c r="AA185" s="23">
        <f>HDD!AA19</f>
        <v>0</v>
      </c>
      <c r="AB185" s="23">
        <f>HDD!AB19</f>
        <v>0</v>
      </c>
    </row>
    <row r="186" spans="3:28">
      <c r="C186" s="98" t="s">
        <v>25</v>
      </c>
      <c r="D186" s="23">
        <f>HDD!C20</f>
        <v>0</v>
      </c>
      <c r="E186" s="23">
        <f>HDD!D20</f>
        <v>0</v>
      </c>
      <c r="F186" s="23">
        <f>HDD!E20</f>
        <v>0</v>
      </c>
      <c r="G186" s="23">
        <f>HDD!F20</f>
        <v>0</v>
      </c>
      <c r="H186" s="23">
        <f>HDD!G20</f>
        <v>0</v>
      </c>
      <c r="I186" s="23">
        <f>HDD!H20</f>
        <v>0</v>
      </c>
      <c r="J186" s="23">
        <f>HDD!I20</f>
        <v>0</v>
      </c>
      <c r="K186" s="23">
        <f>HDD!J20</f>
        <v>0</v>
      </c>
      <c r="L186" s="23">
        <f>HDD!K20</f>
        <v>0</v>
      </c>
      <c r="M186" s="23">
        <f>HDD!L20</f>
        <v>0</v>
      </c>
      <c r="N186" s="23">
        <f>HDD!M20</f>
        <v>0</v>
      </c>
      <c r="O186" s="23">
        <f>HDD!N20</f>
        <v>0</v>
      </c>
      <c r="P186" s="23">
        <f>HDD!P20</f>
        <v>0</v>
      </c>
      <c r="Q186" s="23">
        <f>HDD!Q20</f>
        <v>0</v>
      </c>
      <c r="R186" s="23">
        <f>HDD!R20</f>
        <v>0</v>
      </c>
      <c r="S186" s="23">
        <f>HDD!S20</f>
        <v>0</v>
      </c>
      <c r="T186" s="23">
        <f>HDD!T20</f>
        <v>0</v>
      </c>
      <c r="U186" s="23">
        <f>HDD!U20</f>
        <v>0</v>
      </c>
      <c r="V186" s="23">
        <f>HDD!V20</f>
        <v>0</v>
      </c>
      <c r="W186" s="23">
        <f>HDD!W20</f>
        <v>0</v>
      </c>
      <c r="X186" s="23">
        <f>HDD!X20</f>
        <v>0</v>
      </c>
      <c r="Y186" s="23">
        <f>HDD!Y20</f>
        <v>0</v>
      </c>
      <c r="Z186" s="23">
        <f>HDD!Z20</f>
        <v>0</v>
      </c>
      <c r="AA186" s="23">
        <f>HDD!AA20</f>
        <v>0</v>
      </c>
      <c r="AB186" s="23">
        <f>HDD!AB20</f>
        <v>0</v>
      </c>
    </row>
    <row r="187" spans="3:28">
      <c r="C187" s="98" t="s">
        <v>25</v>
      </c>
      <c r="D187" s="23">
        <f>HDD!C21</f>
        <v>0</v>
      </c>
      <c r="E187" s="23">
        <f>HDD!D21</f>
        <v>0</v>
      </c>
      <c r="F187" s="23">
        <f>HDD!E21</f>
        <v>0</v>
      </c>
      <c r="G187" s="23">
        <f>HDD!F21</f>
        <v>0</v>
      </c>
      <c r="H187" s="23">
        <f>HDD!G21</f>
        <v>0</v>
      </c>
      <c r="I187" s="23">
        <f>HDD!H21</f>
        <v>0</v>
      </c>
      <c r="J187" s="23">
        <f>HDD!I21</f>
        <v>0</v>
      </c>
      <c r="K187" s="23">
        <f>HDD!J21</f>
        <v>0</v>
      </c>
      <c r="L187" s="23">
        <f>HDD!K21</f>
        <v>0</v>
      </c>
      <c r="M187" s="23">
        <f>HDD!L21</f>
        <v>0</v>
      </c>
      <c r="N187" s="23">
        <f>HDD!M21</f>
        <v>0</v>
      </c>
      <c r="O187" s="23">
        <f>HDD!N21</f>
        <v>0</v>
      </c>
      <c r="P187" s="23">
        <f>HDD!P21</f>
        <v>0</v>
      </c>
      <c r="Q187" s="23">
        <f>HDD!Q21</f>
        <v>0</v>
      </c>
      <c r="R187" s="23">
        <f>HDD!R21</f>
        <v>0</v>
      </c>
      <c r="S187" s="23">
        <f>HDD!S21</f>
        <v>0</v>
      </c>
      <c r="T187" s="23">
        <f>HDD!T21</f>
        <v>0</v>
      </c>
      <c r="U187" s="23">
        <f>HDD!U21</f>
        <v>0</v>
      </c>
      <c r="V187" s="23">
        <f>HDD!V21</f>
        <v>0</v>
      </c>
      <c r="W187" s="23">
        <f>HDD!W21</f>
        <v>0</v>
      </c>
      <c r="X187" s="23">
        <f>HDD!X21</f>
        <v>0</v>
      </c>
      <c r="Y187" s="23">
        <f>HDD!Y21</f>
        <v>0</v>
      </c>
      <c r="Z187" s="23">
        <f>HDD!Z21</f>
        <v>0</v>
      </c>
      <c r="AA187" s="23">
        <f>HDD!AA21</f>
        <v>0</v>
      </c>
      <c r="AB187" s="23">
        <f>HDD!AB21</f>
        <v>0</v>
      </c>
    </row>
    <row r="188" spans="3:28">
      <c r="C188" s="98" t="s">
        <v>25</v>
      </c>
      <c r="D188" s="23">
        <f>HDD!C22</f>
        <v>0</v>
      </c>
      <c r="E188" s="23">
        <f>HDD!D22</f>
        <v>0</v>
      </c>
      <c r="F188" s="23">
        <f>HDD!E22</f>
        <v>0</v>
      </c>
      <c r="G188" s="23">
        <f>HDD!F22</f>
        <v>0</v>
      </c>
      <c r="H188" s="23">
        <f>HDD!G22</f>
        <v>0</v>
      </c>
      <c r="I188" s="23">
        <f>HDD!H22</f>
        <v>0</v>
      </c>
      <c r="J188" s="23">
        <f>HDD!I22</f>
        <v>0</v>
      </c>
      <c r="K188" s="23">
        <f>HDD!J22</f>
        <v>0</v>
      </c>
      <c r="L188" s="23">
        <f>HDD!K22</f>
        <v>0</v>
      </c>
      <c r="M188" s="23">
        <f>HDD!L22</f>
        <v>0</v>
      </c>
      <c r="N188" s="23">
        <f>HDD!M22</f>
        <v>0</v>
      </c>
      <c r="O188" s="23">
        <f>HDD!N22</f>
        <v>0</v>
      </c>
      <c r="P188" s="23">
        <f>HDD!P22</f>
        <v>0</v>
      </c>
      <c r="Q188" s="23">
        <f>HDD!Q22</f>
        <v>0</v>
      </c>
      <c r="R188" s="23">
        <f>HDD!R22</f>
        <v>0</v>
      </c>
      <c r="S188" s="23">
        <f>HDD!S22</f>
        <v>0</v>
      </c>
      <c r="T188" s="23">
        <f>HDD!T22</f>
        <v>0</v>
      </c>
      <c r="U188" s="23">
        <f>HDD!U22</f>
        <v>0</v>
      </c>
      <c r="V188" s="23">
        <f>HDD!V22</f>
        <v>0</v>
      </c>
      <c r="W188" s="23">
        <f>HDD!W22</f>
        <v>0</v>
      </c>
      <c r="X188" s="23">
        <f>HDD!X22</f>
        <v>0</v>
      </c>
      <c r="Y188" s="23">
        <f>HDD!Y22</f>
        <v>0</v>
      </c>
      <c r="Z188" s="23">
        <f>HDD!Z22</f>
        <v>0</v>
      </c>
      <c r="AA188" s="23">
        <f>HDD!AA22</f>
        <v>0</v>
      </c>
      <c r="AB188" s="23">
        <f>HDD!AB22</f>
        <v>0</v>
      </c>
    </row>
    <row r="189" spans="3:28">
      <c r="C189" s="98" t="s">
        <v>25</v>
      </c>
      <c r="D189" s="23">
        <f>HDD!C23</f>
        <v>0</v>
      </c>
      <c r="E189" s="23">
        <f>HDD!D23</f>
        <v>0</v>
      </c>
      <c r="F189" s="23">
        <f>HDD!E23</f>
        <v>0</v>
      </c>
      <c r="G189" s="23">
        <f>HDD!F23</f>
        <v>0</v>
      </c>
      <c r="H189" s="23">
        <f>HDD!G23</f>
        <v>0</v>
      </c>
      <c r="I189" s="23">
        <f>HDD!H23</f>
        <v>0</v>
      </c>
      <c r="J189" s="23">
        <f>HDD!I23</f>
        <v>0</v>
      </c>
      <c r="K189" s="23">
        <f>HDD!J23</f>
        <v>0</v>
      </c>
      <c r="L189" s="23">
        <f>HDD!K23</f>
        <v>0</v>
      </c>
      <c r="M189" s="23">
        <f>HDD!L23</f>
        <v>0</v>
      </c>
      <c r="N189" s="23">
        <f>HDD!M23</f>
        <v>0</v>
      </c>
      <c r="O189" s="23">
        <f>HDD!N23</f>
        <v>0</v>
      </c>
      <c r="P189" s="23">
        <f>HDD!P23</f>
        <v>0</v>
      </c>
      <c r="Q189" s="23">
        <f>HDD!Q23</f>
        <v>0</v>
      </c>
      <c r="R189" s="23">
        <f>HDD!R23</f>
        <v>0</v>
      </c>
      <c r="S189" s="23">
        <f>HDD!S23</f>
        <v>0</v>
      </c>
      <c r="T189" s="23">
        <f>HDD!T23</f>
        <v>0</v>
      </c>
      <c r="U189" s="23">
        <f>HDD!U23</f>
        <v>0</v>
      </c>
      <c r="V189" s="23">
        <f>HDD!V23</f>
        <v>0</v>
      </c>
      <c r="W189" s="23">
        <f>HDD!W23</f>
        <v>0</v>
      </c>
      <c r="X189" s="23">
        <f>HDD!X23</f>
        <v>0</v>
      </c>
      <c r="Y189" s="23">
        <f>HDD!Y23</f>
        <v>0</v>
      </c>
      <c r="Z189" s="23">
        <f>HDD!Z23</f>
        <v>0</v>
      </c>
      <c r="AA189" s="23">
        <f>HDD!AA23</f>
        <v>0</v>
      </c>
      <c r="AB189" s="23">
        <f>HDD!AB23</f>
        <v>0</v>
      </c>
    </row>
    <row r="190" spans="3:28">
      <c r="C190" s="98" t="s">
        <v>25</v>
      </c>
      <c r="D190" s="23">
        <f>HDD!C24</f>
        <v>0</v>
      </c>
      <c r="E190" s="23">
        <f>HDD!D24</f>
        <v>0</v>
      </c>
      <c r="F190" s="23">
        <f>HDD!E24</f>
        <v>0</v>
      </c>
      <c r="G190" s="23">
        <f>HDD!F24</f>
        <v>0</v>
      </c>
      <c r="H190" s="23">
        <f>HDD!G24</f>
        <v>0</v>
      </c>
      <c r="I190" s="23">
        <f>HDD!H24</f>
        <v>0</v>
      </c>
      <c r="J190" s="23">
        <f>HDD!I24</f>
        <v>0</v>
      </c>
      <c r="K190" s="23">
        <f>HDD!J24</f>
        <v>0</v>
      </c>
      <c r="L190" s="23">
        <f>HDD!K24</f>
        <v>0</v>
      </c>
      <c r="M190" s="23">
        <f>HDD!L24</f>
        <v>0</v>
      </c>
      <c r="N190" s="23">
        <f>HDD!M24</f>
        <v>0</v>
      </c>
      <c r="O190" s="23">
        <f>HDD!N24</f>
        <v>0</v>
      </c>
      <c r="P190" s="23">
        <f>HDD!P24</f>
        <v>0</v>
      </c>
      <c r="Q190" s="23">
        <f>HDD!Q24</f>
        <v>0</v>
      </c>
      <c r="R190" s="23">
        <f>HDD!R24</f>
        <v>0</v>
      </c>
      <c r="S190" s="23">
        <f>HDD!S24</f>
        <v>0</v>
      </c>
      <c r="T190" s="23">
        <f>HDD!T24</f>
        <v>0</v>
      </c>
      <c r="U190" s="23">
        <f>HDD!U24</f>
        <v>0</v>
      </c>
      <c r="V190" s="23">
        <f>HDD!V24</f>
        <v>0</v>
      </c>
      <c r="W190" s="23">
        <f>HDD!W24</f>
        <v>0</v>
      </c>
      <c r="X190" s="23">
        <f>HDD!X24</f>
        <v>0</v>
      </c>
      <c r="Y190" s="23">
        <f>HDD!Y24</f>
        <v>0</v>
      </c>
      <c r="Z190" s="23">
        <f>HDD!Z24</f>
        <v>0</v>
      </c>
      <c r="AA190" s="23">
        <f>HDD!AA24</f>
        <v>0</v>
      </c>
      <c r="AB190" s="23">
        <f>HDD!AB24</f>
        <v>0</v>
      </c>
    </row>
    <row r="191" spans="3:28" s="11" customFormat="1">
      <c r="C191" s="98" t="s">
        <v>25</v>
      </c>
      <c r="D191" s="23">
        <f>HDD!C25</f>
        <v>0</v>
      </c>
      <c r="E191" s="23">
        <f>HDD!D25</f>
        <v>0</v>
      </c>
      <c r="F191" s="23">
        <f>HDD!E25</f>
        <v>0</v>
      </c>
      <c r="G191" s="23">
        <f>HDD!F25</f>
        <v>0</v>
      </c>
      <c r="H191" s="23">
        <f>HDD!G25</f>
        <v>0</v>
      </c>
      <c r="I191" s="23">
        <f>HDD!H25</f>
        <v>0</v>
      </c>
      <c r="J191" s="23">
        <f>HDD!I25</f>
        <v>0</v>
      </c>
      <c r="K191" s="23">
        <f>HDD!J25</f>
        <v>0</v>
      </c>
      <c r="L191" s="23">
        <f>HDD!K25</f>
        <v>0</v>
      </c>
      <c r="M191" s="23">
        <f>HDD!L25</f>
        <v>0</v>
      </c>
      <c r="N191" s="23">
        <f>HDD!M25</f>
        <v>0</v>
      </c>
      <c r="O191" s="23">
        <f>HDD!N25</f>
        <v>0</v>
      </c>
      <c r="P191" s="23">
        <f>HDD!P25</f>
        <v>0</v>
      </c>
      <c r="Q191" s="23">
        <f>HDD!Q25</f>
        <v>0</v>
      </c>
      <c r="R191" s="23">
        <f>HDD!R25</f>
        <v>0</v>
      </c>
      <c r="S191" s="23">
        <f>HDD!S25</f>
        <v>0</v>
      </c>
      <c r="T191" s="23">
        <f>HDD!T25</f>
        <v>0</v>
      </c>
      <c r="U191" s="23">
        <f>HDD!U25</f>
        <v>0</v>
      </c>
      <c r="V191" s="23">
        <f>HDD!V25</f>
        <v>0</v>
      </c>
      <c r="W191" s="23">
        <f>HDD!W25</f>
        <v>0</v>
      </c>
      <c r="X191" s="23">
        <f>HDD!X25</f>
        <v>0</v>
      </c>
      <c r="Y191" s="23">
        <f>HDD!Y25</f>
        <v>0</v>
      </c>
      <c r="Z191" s="23">
        <f>HDD!Z25</f>
        <v>0</v>
      </c>
      <c r="AA191" s="23">
        <f>HDD!AA25</f>
        <v>0</v>
      </c>
      <c r="AB191" s="23">
        <f>HDD!AB25</f>
        <v>0</v>
      </c>
    </row>
    <row r="192" spans="3:28" s="11" customFormat="1">
      <c r="C192" s="98" t="s">
        <v>25</v>
      </c>
      <c r="D192" s="23">
        <f>HDD!C26</f>
        <v>0</v>
      </c>
      <c r="E192" s="23">
        <f>HDD!D26</f>
        <v>0</v>
      </c>
      <c r="F192" s="23">
        <f>HDD!E26</f>
        <v>0</v>
      </c>
      <c r="G192" s="23">
        <f>HDD!F26</f>
        <v>0</v>
      </c>
      <c r="H192" s="23">
        <f>HDD!G26</f>
        <v>0</v>
      </c>
      <c r="I192" s="23">
        <f>HDD!H26</f>
        <v>0</v>
      </c>
      <c r="J192" s="23">
        <f>HDD!I26</f>
        <v>0</v>
      </c>
      <c r="K192" s="23">
        <f>HDD!J26</f>
        <v>0</v>
      </c>
      <c r="L192" s="23">
        <f>HDD!K26</f>
        <v>0</v>
      </c>
      <c r="M192" s="23">
        <f>HDD!L26</f>
        <v>0</v>
      </c>
      <c r="N192" s="23">
        <f>HDD!M26</f>
        <v>0</v>
      </c>
      <c r="O192" s="23">
        <f>HDD!N26</f>
        <v>0</v>
      </c>
      <c r="P192" s="23">
        <f>HDD!P26</f>
        <v>0</v>
      </c>
      <c r="Q192" s="23">
        <f>HDD!Q26</f>
        <v>0</v>
      </c>
      <c r="R192" s="23">
        <f>HDD!R26</f>
        <v>0</v>
      </c>
      <c r="S192" s="23">
        <f>HDD!S26</f>
        <v>0</v>
      </c>
      <c r="T192" s="23">
        <f>HDD!T26</f>
        <v>0</v>
      </c>
      <c r="U192" s="23">
        <f>HDD!U26</f>
        <v>0</v>
      </c>
      <c r="V192" s="23">
        <f>HDD!V26</f>
        <v>0</v>
      </c>
      <c r="W192" s="23">
        <f>HDD!W26</f>
        <v>0</v>
      </c>
      <c r="X192" s="23">
        <f>HDD!X26</f>
        <v>0</v>
      </c>
      <c r="Y192" s="23">
        <f>HDD!Y26</f>
        <v>0</v>
      </c>
      <c r="Z192" s="23">
        <f>HDD!Z26</f>
        <v>0</v>
      </c>
      <c r="AA192" s="23">
        <f>HDD!AA26</f>
        <v>0</v>
      </c>
      <c r="AB192" s="23">
        <f>HDD!AB26</f>
        <v>0</v>
      </c>
    </row>
    <row r="193" spans="3:28" s="11" customFormat="1">
      <c r="C193" s="98" t="s">
        <v>25</v>
      </c>
      <c r="D193" s="23">
        <f>HDD!C27</f>
        <v>0</v>
      </c>
      <c r="E193" s="23">
        <f>HDD!D27</f>
        <v>0</v>
      </c>
      <c r="F193" s="23">
        <f>HDD!E27</f>
        <v>0</v>
      </c>
      <c r="G193" s="23">
        <f>HDD!F27</f>
        <v>0</v>
      </c>
      <c r="H193" s="23">
        <f>HDD!G27</f>
        <v>0</v>
      </c>
      <c r="I193" s="23">
        <f>HDD!H27</f>
        <v>0</v>
      </c>
      <c r="J193" s="23">
        <f>HDD!I27</f>
        <v>0</v>
      </c>
      <c r="K193" s="23">
        <f>HDD!J27</f>
        <v>0</v>
      </c>
      <c r="L193" s="23">
        <f>HDD!K27</f>
        <v>0</v>
      </c>
      <c r="M193" s="23">
        <f>HDD!L27</f>
        <v>0</v>
      </c>
      <c r="N193" s="23">
        <f>HDD!M27</f>
        <v>0</v>
      </c>
      <c r="O193" s="23">
        <f>HDD!N27</f>
        <v>0</v>
      </c>
      <c r="P193" s="23">
        <f>HDD!P27</f>
        <v>0</v>
      </c>
      <c r="Q193" s="23">
        <f>HDD!Q27</f>
        <v>0</v>
      </c>
      <c r="R193" s="23">
        <f>HDD!R27</f>
        <v>0</v>
      </c>
      <c r="S193" s="23">
        <f>HDD!S27</f>
        <v>0</v>
      </c>
      <c r="T193" s="23">
        <f>HDD!T27</f>
        <v>0</v>
      </c>
      <c r="U193" s="23">
        <f>HDD!U27</f>
        <v>0</v>
      </c>
      <c r="V193" s="23">
        <f>HDD!V27</f>
        <v>0</v>
      </c>
      <c r="W193" s="23">
        <f>HDD!W27</f>
        <v>0</v>
      </c>
      <c r="X193" s="23">
        <f>HDD!X27</f>
        <v>0</v>
      </c>
      <c r="Y193" s="23">
        <f>HDD!Y27</f>
        <v>0</v>
      </c>
      <c r="Z193" s="23">
        <f>HDD!Z27</f>
        <v>0</v>
      </c>
      <c r="AA193" s="23">
        <f>HDD!AA27</f>
        <v>0</v>
      </c>
      <c r="AB193" s="23">
        <f>HDD!AB27</f>
        <v>0</v>
      </c>
    </row>
    <row r="194" spans="3:28" s="11" customFormat="1">
      <c r="C194" s="98" t="s">
        <v>25</v>
      </c>
      <c r="D194" s="23">
        <f>HDD!C28</f>
        <v>0</v>
      </c>
      <c r="E194" s="23">
        <f>HDD!D28</f>
        <v>0</v>
      </c>
      <c r="F194" s="23">
        <f>HDD!E28</f>
        <v>0</v>
      </c>
      <c r="G194" s="23">
        <f>HDD!F28</f>
        <v>0</v>
      </c>
      <c r="H194" s="23">
        <f>HDD!G28</f>
        <v>0</v>
      </c>
      <c r="I194" s="23">
        <f>HDD!H28</f>
        <v>0</v>
      </c>
      <c r="J194" s="23">
        <f>HDD!I28</f>
        <v>0</v>
      </c>
      <c r="K194" s="23">
        <f>HDD!J28</f>
        <v>0</v>
      </c>
      <c r="L194" s="23">
        <f>HDD!K28</f>
        <v>0</v>
      </c>
      <c r="M194" s="23">
        <f>HDD!L28</f>
        <v>0</v>
      </c>
      <c r="N194" s="23">
        <f>HDD!M28</f>
        <v>0</v>
      </c>
      <c r="O194" s="23">
        <f>HDD!N28</f>
        <v>0</v>
      </c>
      <c r="P194" s="23">
        <f>HDD!P28</f>
        <v>0</v>
      </c>
      <c r="Q194" s="23">
        <f>HDD!Q28</f>
        <v>0</v>
      </c>
      <c r="R194" s="23">
        <f>HDD!R28</f>
        <v>0</v>
      </c>
      <c r="S194" s="23">
        <f>HDD!S28</f>
        <v>0</v>
      </c>
      <c r="T194" s="23">
        <f>HDD!T28</f>
        <v>0</v>
      </c>
      <c r="U194" s="23">
        <f>HDD!U28</f>
        <v>0</v>
      </c>
      <c r="V194" s="23">
        <f>HDD!V28</f>
        <v>0</v>
      </c>
      <c r="W194" s="23">
        <f>HDD!W28</f>
        <v>0</v>
      </c>
      <c r="X194" s="23">
        <f>HDD!X28</f>
        <v>0</v>
      </c>
      <c r="Y194" s="23">
        <f>HDD!Y28</f>
        <v>0</v>
      </c>
      <c r="Z194" s="23">
        <f>HDD!Z28</f>
        <v>0</v>
      </c>
      <c r="AA194" s="23">
        <f>HDD!AA28</f>
        <v>0</v>
      </c>
      <c r="AB194" s="23">
        <f>HDD!AB28</f>
        <v>0</v>
      </c>
    </row>
    <row r="195" spans="3:28" s="11" customFormat="1">
      <c r="C195" s="98" t="s">
        <v>25</v>
      </c>
      <c r="D195" s="23">
        <f>HDD!C29</f>
        <v>0</v>
      </c>
      <c r="E195" s="23">
        <f>HDD!D29</f>
        <v>0</v>
      </c>
      <c r="F195" s="23">
        <f>HDD!E29</f>
        <v>0</v>
      </c>
      <c r="G195" s="23">
        <f>HDD!F29</f>
        <v>0</v>
      </c>
      <c r="H195" s="23">
        <f>HDD!G29</f>
        <v>0</v>
      </c>
      <c r="I195" s="23">
        <f>HDD!H29</f>
        <v>0</v>
      </c>
      <c r="J195" s="23">
        <f>HDD!I29</f>
        <v>0</v>
      </c>
      <c r="K195" s="23">
        <f>HDD!J29</f>
        <v>0</v>
      </c>
      <c r="L195" s="23">
        <f>HDD!K29</f>
        <v>0</v>
      </c>
      <c r="M195" s="23">
        <f>HDD!L29</f>
        <v>0</v>
      </c>
      <c r="N195" s="23">
        <f>HDD!M29</f>
        <v>0</v>
      </c>
      <c r="O195" s="23">
        <f>HDD!N29</f>
        <v>0</v>
      </c>
      <c r="P195" s="23">
        <f>HDD!P29</f>
        <v>0</v>
      </c>
      <c r="Q195" s="23">
        <f>HDD!Q29</f>
        <v>0</v>
      </c>
      <c r="R195" s="23">
        <f>HDD!R29</f>
        <v>0</v>
      </c>
      <c r="S195" s="23">
        <f>HDD!S29</f>
        <v>0</v>
      </c>
      <c r="T195" s="23">
        <f>HDD!T29</f>
        <v>0</v>
      </c>
      <c r="U195" s="23">
        <f>HDD!U29</f>
        <v>0</v>
      </c>
      <c r="V195" s="23">
        <f>HDD!V29</f>
        <v>0</v>
      </c>
      <c r="W195" s="23">
        <f>HDD!W29</f>
        <v>0</v>
      </c>
      <c r="X195" s="23">
        <f>HDD!X29</f>
        <v>0</v>
      </c>
      <c r="Y195" s="23">
        <f>HDD!Y29</f>
        <v>0</v>
      </c>
      <c r="Z195" s="23">
        <f>HDD!Z29</f>
        <v>0</v>
      </c>
      <c r="AA195" s="23">
        <f>HDD!AA29</f>
        <v>0</v>
      </c>
      <c r="AB195" s="23">
        <f>HDD!AB29</f>
        <v>0</v>
      </c>
    </row>
    <row r="196" spans="3:28" s="11" customFormat="1">
      <c r="C196" s="98" t="s">
        <v>25</v>
      </c>
      <c r="D196" s="23">
        <f>HDD!C30</f>
        <v>0</v>
      </c>
      <c r="E196" s="23">
        <f>HDD!D30</f>
        <v>0</v>
      </c>
      <c r="F196" s="23">
        <f>HDD!E30</f>
        <v>0</v>
      </c>
      <c r="G196" s="23">
        <f>HDD!F30</f>
        <v>0</v>
      </c>
      <c r="H196" s="23">
        <f>HDD!G30</f>
        <v>0</v>
      </c>
      <c r="I196" s="23">
        <f>HDD!H30</f>
        <v>0</v>
      </c>
      <c r="J196" s="23">
        <f>HDD!I30</f>
        <v>0</v>
      </c>
      <c r="K196" s="23">
        <f>HDD!J30</f>
        <v>0</v>
      </c>
      <c r="L196" s="23">
        <f>HDD!K30</f>
        <v>0</v>
      </c>
      <c r="M196" s="23">
        <f>HDD!L30</f>
        <v>0</v>
      </c>
      <c r="N196" s="23">
        <f>HDD!M30</f>
        <v>0</v>
      </c>
      <c r="O196" s="23">
        <f>HDD!N30</f>
        <v>0</v>
      </c>
      <c r="P196" s="23">
        <f>HDD!P30</f>
        <v>0</v>
      </c>
      <c r="Q196" s="23">
        <f>HDD!Q30</f>
        <v>0</v>
      </c>
      <c r="R196" s="23">
        <f>HDD!R30</f>
        <v>0</v>
      </c>
      <c r="S196" s="23">
        <f>HDD!S30</f>
        <v>0</v>
      </c>
      <c r="T196" s="23">
        <f>HDD!T30</f>
        <v>0</v>
      </c>
      <c r="U196" s="23">
        <f>HDD!U30</f>
        <v>0</v>
      </c>
      <c r="V196" s="23">
        <f>HDD!V30</f>
        <v>0</v>
      </c>
      <c r="W196" s="23">
        <f>HDD!W30</f>
        <v>0</v>
      </c>
      <c r="X196" s="23">
        <f>HDD!X30</f>
        <v>0</v>
      </c>
      <c r="Y196" s="23">
        <f>HDD!Y30</f>
        <v>0</v>
      </c>
      <c r="Z196" s="23">
        <f>HDD!Z30</f>
        <v>0</v>
      </c>
      <c r="AA196" s="23">
        <f>HDD!AA30</f>
        <v>0</v>
      </c>
      <c r="AB196" s="23">
        <f>HDD!AB30</f>
        <v>0</v>
      </c>
    </row>
    <row r="197" spans="3:28">
      <c r="C197" s="98" t="s">
        <v>115</v>
      </c>
      <c r="D197" s="29">
        <f>'SSD_eMMC_non volatile'!C14</f>
        <v>0</v>
      </c>
      <c r="E197" s="29" t="str">
        <f>'SSD_eMMC_non volatile'!D14</f>
        <v>FCST</v>
      </c>
      <c r="F197" s="29">
        <f>'SSD_eMMC_non volatile'!E14</f>
        <v>1800</v>
      </c>
      <c r="G197" s="29" t="str">
        <f>'SSD_eMMC_non volatile'!F14</f>
        <v>X515JA</v>
      </c>
      <c r="H197" s="29" t="str">
        <f>'SSD_eMMC_non volatile'!G14</f>
        <v>Core i3-1005G1</v>
      </c>
      <c r="I197" s="29">
        <f>'SSD_eMMC_non volatile'!H14</f>
        <v>0</v>
      </c>
      <c r="J197" s="29">
        <f>'SSD_eMMC_non volatile'!I14</f>
        <v>0</v>
      </c>
      <c r="K197" s="29">
        <f>'SSD_eMMC_non volatile'!J14</f>
        <v>0</v>
      </c>
      <c r="L197" s="29" t="str">
        <f>'SSD_eMMC_non volatile'!K14</f>
        <v>128GB SSD</v>
      </c>
      <c r="M197" s="29">
        <f>'SSD_eMMC_non volatile'!L14</f>
        <v>0</v>
      </c>
      <c r="N197" s="29">
        <f>'SSD_eMMC_non volatile'!M14</f>
        <v>0</v>
      </c>
      <c r="O197" s="29">
        <f>'SSD_eMMC_non volatile'!N14</f>
        <v>600</v>
      </c>
      <c r="P197" s="29">
        <f>'SSD_eMMC_non volatile'!P14</f>
        <v>600</v>
      </c>
      <c r="Q197" s="29">
        <f>'SSD_eMMC_non volatile'!Q14</f>
        <v>0</v>
      </c>
      <c r="R197" s="29">
        <f>'SSD_eMMC_non volatile'!R14</f>
        <v>0</v>
      </c>
      <c r="S197" s="29">
        <f>'SSD_eMMC_non volatile'!S14</f>
        <v>0</v>
      </c>
      <c r="T197" s="29">
        <f>'SSD_eMMC_non volatile'!T14</f>
        <v>0</v>
      </c>
      <c r="U197" s="29">
        <f>'SSD_eMMC_non volatile'!U14</f>
        <v>0</v>
      </c>
      <c r="V197" s="29">
        <f>'SSD_eMMC_non volatile'!V14</f>
        <v>0</v>
      </c>
      <c r="W197" s="29">
        <f>'SSD_eMMC_non volatile'!W14</f>
        <v>0</v>
      </c>
      <c r="X197" s="29">
        <f>'SSD_eMMC_non volatile'!X14</f>
        <v>0</v>
      </c>
      <c r="Y197" s="29">
        <f>'SSD_eMMC_non volatile'!Y14</f>
        <v>0</v>
      </c>
      <c r="Z197" s="29" t="e">
        <f>'SSD_eMMC_non volatile'!#REF!</f>
        <v>#REF!</v>
      </c>
      <c r="AA197" s="29">
        <f>'SSD_eMMC_non volatile'!Z14</f>
        <v>0</v>
      </c>
      <c r="AB197" s="29">
        <f>'SSD_eMMC_non volatile'!AA14</f>
        <v>0</v>
      </c>
    </row>
    <row r="198" spans="3:28">
      <c r="C198" s="98" t="s">
        <v>115</v>
      </c>
      <c r="D198" s="29">
        <f>'SSD_eMMC_non volatile'!C15</f>
        <v>0</v>
      </c>
      <c r="E198" s="29">
        <f>'SSD_eMMC_non volatile'!D15</f>
        <v>0</v>
      </c>
      <c r="F198" s="29">
        <f>'SSD_eMMC_non volatile'!E15</f>
        <v>0</v>
      </c>
      <c r="G198" s="29" t="str">
        <f>'SSD_eMMC_non volatile'!F15</f>
        <v>X515JA</v>
      </c>
      <c r="H198" s="29" t="str">
        <f>'SSD_eMMC_non volatile'!G15</f>
        <v>Core i3-1005G1</v>
      </c>
      <c r="I198" s="29" t="str">
        <f>'SSD_eMMC_non volatile'!H15</f>
        <v>Imported</v>
      </c>
      <c r="J198" s="29" t="str">
        <f>'SSD_eMMC_non volatile'!I15</f>
        <v>Asus</v>
      </c>
      <c r="K198" s="29" t="str">
        <f>'SSD_eMMC_non volatile'!J15</f>
        <v>SSD</v>
      </c>
      <c r="L198" s="29" t="str">
        <f>'SSD_eMMC_non volatile'!K15</f>
        <v>128G</v>
      </c>
      <c r="M198" s="29">
        <f>'SSD_eMMC_non volatile'!L15</f>
        <v>2</v>
      </c>
      <c r="N198" s="29">
        <f>'SSD_eMMC_non volatile'!M15</f>
        <v>0</v>
      </c>
      <c r="O198" s="29">
        <f>'SSD_eMMC_non volatile'!N15</f>
        <v>600</v>
      </c>
      <c r="P198" s="29">
        <f>'SSD_eMMC_non volatile'!P15</f>
        <v>600</v>
      </c>
      <c r="Q198" s="29">
        <f>'SSD_eMMC_non volatile'!Q15</f>
        <v>0</v>
      </c>
      <c r="R198" s="29">
        <f>'SSD_eMMC_non volatile'!R15</f>
        <v>0</v>
      </c>
      <c r="S198" s="29">
        <f>'SSD_eMMC_non volatile'!S15</f>
        <v>0</v>
      </c>
      <c r="T198" s="29">
        <f>'SSD_eMMC_non volatile'!T15</f>
        <v>0</v>
      </c>
      <c r="U198" s="29">
        <f>'SSD_eMMC_non volatile'!U15</f>
        <v>0</v>
      </c>
      <c r="V198" s="29">
        <f>'SSD_eMMC_non volatile'!V15</f>
        <v>0</v>
      </c>
      <c r="W198" s="29">
        <f>'SSD_eMMC_non volatile'!W15</f>
        <v>0</v>
      </c>
      <c r="X198" s="29">
        <f>'SSD_eMMC_non volatile'!X15</f>
        <v>0</v>
      </c>
      <c r="Y198" s="29">
        <f>'SSD_eMMC_non volatile'!Y15</f>
        <v>0</v>
      </c>
      <c r="Z198" s="29" t="e">
        <f>'SSD_eMMC_non volatile'!#REF!</f>
        <v>#REF!</v>
      </c>
      <c r="AA198" s="29">
        <f>'SSD_eMMC_non volatile'!Z15</f>
        <v>3600</v>
      </c>
      <c r="AB198" s="29">
        <f>'SSD_eMMC_non volatile'!AA15</f>
        <v>1800</v>
      </c>
    </row>
    <row r="199" spans="3:28">
      <c r="C199" s="98" t="s">
        <v>115</v>
      </c>
      <c r="D199" s="29" t="e">
        <f>'SSD_eMMC_non volatile'!#REF!</f>
        <v>#REF!</v>
      </c>
      <c r="E199" s="29" t="e">
        <f>'SSD_eMMC_non volatile'!#REF!</f>
        <v>#REF!</v>
      </c>
      <c r="F199" s="29" t="e">
        <f>'SSD_eMMC_non volatile'!#REF!</f>
        <v>#REF!</v>
      </c>
      <c r="G199" s="29" t="e">
        <f>'SSD_eMMC_non volatile'!#REF!</f>
        <v>#REF!</v>
      </c>
      <c r="H199" s="29" t="e">
        <f>'SSD_eMMC_non volatile'!#REF!</f>
        <v>#REF!</v>
      </c>
      <c r="I199" s="29" t="e">
        <f>'SSD_eMMC_non volatile'!#REF!</f>
        <v>#REF!</v>
      </c>
      <c r="J199" s="29" t="e">
        <f>'SSD_eMMC_non volatile'!#REF!</f>
        <v>#REF!</v>
      </c>
      <c r="K199" s="29" t="e">
        <f>'SSD_eMMC_non volatile'!#REF!</f>
        <v>#REF!</v>
      </c>
      <c r="L199" s="29" t="e">
        <f>'SSD_eMMC_non volatile'!#REF!</f>
        <v>#REF!</v>
      </c>
      <c r="M199" s="29" t="e">
        <f>'SSD_eMMC_non volatile'!#REF!</f>
        <v>#REF!</v>
      </c>
      <c r="N199" s="29" t="e">
        <f>'SSD_eMMC_non volatile'!#REF!</f>
        <v>#REF!</v>
      </c>
      <c r="O199" s="29" t="e">
        <f>'SSD_eMMC_non volatile'!#REF!</f>
        <v>#REF!</v>
      </c>
      <c r="P199" s="29" t="e">
        <f>'SSD_eMMC_non volatile'!#REF!</f>
        <v>#REF!</v>
      </c>
      <c r="Q199" s="29" t="e">
        <f>'SSD_eMMC_non volatile'!#REF!</f>
        <v>#REF!</v>
      </c>
      <c r="R199" s="29" t="e">
        <f>'SSD_eMMC_non volatile'!#REF!</f>
        <v>#REF!</v>
      </c>
      <c r="S199" s="29" t="e">
        <f>'SSD_eMMC_non volatile'!#REF!</f>
        <v>#REF!</v>
      </c>
      <c r="T199" s="29" t="e">
        <f>'SSD_eMMC_non volatile'!#REF!</f>
        <v>#REF!</v>
      </c>
      <c r="U199" s="29" t="e">
        <f>'SSD_eMMC_non volatile'!#REF!</f>
        <v>#REF!</v>
      </c>
      <c r="V199" s="29" t="e">
        <f>'SSD_eMMC_non volatile'!#REF!</f>
        <v>#REF!</v>
      </c>
      <c r="W199" s="29" t="e">
        <f>'SSD_eMMC_non volatile'!#REF!</f>
        <v>#REF!</v>
      </c>
      <c r="X199" s="29" t="e">
        <f>'SSD_eMMC_non volatile'!#REF!</f>
        <v>#REF!</v>
      </c>
      <c r="Y199" s="29" t="e">
        <f>'SSD_eMMC_non volatile'!#REF!</f>
        <v>#REF!</v>
      </c>
      <c r="Z199" s="29" t="e">
        <f>'SSD_eMMC_non volatile'!#REF!</f>
        <v>#REF!</v>
      </c>
      <c r="AA199" s="29" t="e">
        <f>'SSD_eMMC_non volatile'!#REF!</f>
        <v>#REF!</v>
      </c>
      <c r="AB199" s="29" t="e">
        <f>'SSD_eMMC_non volatile'!#REF!</f>
        <v>#REF!</v>
      </c>
    </row>
    <row r="200" spans="3:28">
      <c r="C200" s="98" t="s">
        <v>115</v>
      </c>
      <c r="D200" s="29" t="e">
        <f>'SSD_eMMC_non volatile'!#REF!</f>
        <v>#REF!</v>
      </c>
      <c r="E200" s="29" t="e">
        <f>'SSD_eMMC_non volatile'!#REF!</f>
        <v>#REF!</v>
      </c>
      <c r="F200" s="29" t="e">
        <f>'SSD_eMMC_non volatile'!#REF!</f>
        <v>#REF!</v>
      </c>
      <c r="G200" s="29" t="e">
        <f>'SSD_eMMC_non volatile'!#REF!</f>
        <v>#REF!</v>
      </c>
      <c r="H200" s="29" t="e">
        <f>'SSD_eMMC_non volatile'!#REF!</f>
        <v>#REF!</v>
      </c>
      <c r="I200" s="29" t="e">
        <f>'SSD_eMMC_non volatile'!#REF!</f>
        <v>#REF!</v>
      </c>
      <c r="J200" s="29" t="e">
        <f>'SSD_eMMC_non volatile'!#REF!</f>
        <v>#REF!</v>
      </c>
      <c r="K200" s="29" t="e">
        <f>'SSD_eMMC_non volatile'!#REF!</f>
        <v>#REF!</v>
      </c>
      <c r="L200" s="29" t="e">
        <f>'SSD_eMMC_non volatile'!#REF!</f>
        <v>#REF!</v>
      </c>
      <c r="M200" s="29" t="e">
        <f>'SSD_eMMC_non volatile'!#REF!</f>
        <v>#REF!</v>
      </c>
      <c r="N200" s="29" t="e">
        <f>'SSD_eMMC_non volatile'!#REF!</f>
        <v>#REF!</v>
      </c>
      <c r="O200" s="29" t="e">
        <f>'SSD_eMMC_non volatile'!#REF!</f>
        <v>#REF!</v>
      </c>
      <c r="P200" s="29" t="e">
        <f>'SSD_eMMC_non volatile'!#REF!</f>
        <v>#REF!</v>
      </c>
      <c r="Q200" s="29" t="e">
        <f>'SSD_eMMC_non volatile'!#REF!</f>
        <v>#REF!</v>
      </c>
      <c r="R200" s="29" t="e">
        <f>'SSD_eMMC_non volatile'!#REF!</f>
        <v>#REF!</v>
      </c>
      <c r="S200" s="29" t="e">
        <f>'SSD_eMMC_non volatile'!#REF!</f>
        <v>#REF!</v>
      </c>
      <c r="T200" s="29" t="e">
        <f>'SSD_eMMC_non volatile'!#REF!</f>
        <v>#REF!</v>
      </c>
      <c r="U200" s="29" t="e">
        <f>'SSD_eMMC_non volatile'!#REF!</f>
        <v>#REF!</v>
      </c>
      <c r="V200" s="29" t="e">
        <f>'SSD_eMMC_non volatile'!#REF!</f>
        <v>#REF!</v>
      </c>
      <c r="W200" s="29" t="e">
        <f>'SSD_eMMC_non volatile'!#REF!</f>
        <v>#REF!</v>
      </c>
      <c r="X200" s="29" t="e">
        <f>'SSD_eMMC_non volatile'!#REF!</f>
        <v>#REF!</v>
      </c>
      <c r="Y200" s="29" t="e">
        <f>'SSD_eMMC_non volatile'!#REF!</f>
        <v>#REF!</v>
      </c>
      <c r="Z200" s="29" t="e">
        <f>'SSD_eMMC_non volatile'!#REF!</f>
        <v>#REF!</v>
      </c>
      <c r="AA200" s="29" t="e">
        <f>'SSD_eMMC_non volatile'!#REF!</f>
        <v>#REF!</v>
      </c>
      <c r="AB200" s="29" t="e">
        <f>'SSD_eMMC_non volatile'!#REF!</f>
        <v>#REF!</v>
      </c>
    </row>
    <row r="201" spans="3:28">
      <c r="C201" s="98" t="s">
        <v>115</v>
      </c>
      <c r="D201" s="29" t="e">
        <f>'SSD_eMMC_non volatile'!#REF!</f>
        <v>#REF!</v>
      </c>
      <c r="E201" s="29" t="e">
        <f>'SSD_eMMC_non volatile'!#REF!</f>
        <v>#REF!</v>
      </c>
      <c r="F201" s="29" t="e">
        <f>'SSD_eMMC_non volatile'!#REF!</f>
        <v>#REF!</v>
      </c>
      <c r="G201" s="29" t="e">
        <f>'SSD_eMMC_non volatile'!#REF!</f>
        <v>#REF!</v>
      </c>
      <c r="H201" s="29" t="e">
        <f>'SSD_eMMC_non volatile'!#REF!</f>
        <v>#REF!</v>
      </c>
      <c r="I201" s="29" t="e">
        <f>'SSD_eMMC_non volatile'!#REF!</f>
        <v>#REF!</v>
      </c>
      <c r="J201" s="29" t="e">
        <f>'SSD_eMMC_non volatile'!#REF!</f>
        <v>#REF!</v>
      </c>
      <c r="K201" s="29" t="e">
        <f>'SSD_eMMC_non volatile'!#REF!</f>
        <v>#REF!</v>
      </c>
      <c r="L201" s="29" t="e">
        <f>'SSD_eMMC_non volatile'!#REF!</f>
        <v>#REF!</v>
      </c>
      <c r="M201" s="29" t="e">
        <f>'SSD_eMMC_non volatile'!#REF!</f>
        <v>#REF!</v>
      </c>
      <c r="N201" s="29" t="e">
        <f>'SSD_eMMC_non volatile'!#REF!</f>
        <v>#REF!</v>
      </c>
      <c r="O201" s="29" t="e">
        <f>'SSD_eMMC_non volatile'!#REF!</f>
        <v>#REF!</v>
      </c>
      <c r="P201" s="29" t="e">
        <f>'SSD_eMMC_non volatile'!#REF!</f>
        <v>#REF!</v>
      </c>
      <c r="Q201" s="29" t="e">
        <f>'SSD_eMMC_non volatile'!#REF!</f>
        <v>#REF!</v>
      </c>
      <c r="R201" s="29" t="e">
        <f>'SSD_eMMC_non volatile'!#REF!</f>
        <v>#REF!</v>
      </c>
      <c r="S201" s="29" t="e">
        <f>'SSD_eMMC_non volatile'!#REF!</f>
        <v>#REF!</v>
      </c>
      <c r="T201" s="29" t="e">
        <f>'SSD_eMMC_non volatile'!#REF!</f>
        <v>#REF!</v>
      </c>
      <c r="U201" s="29" t="e">
        <f>'SSD_eMMC_non volatile'!#REF!</f>
        <v>#REF!</v>
      </c>
      <c r="V201" s="29" t="e">
        <f>'SSD_eMMC_non volatile'!#REF!</f>
        <v>#REF!</v>
      </c>
      <c r="W201" s="29" t="e">
        <f>'SSD_eMMC_non volatile'!#REF!</f>
        <v>#REF!</v>
      </c>
      <c r="X201" s="29" t="e">
        <f>'SSD_eMMC_non volatile'!#REF!</f>
        <v>#REF!</v>
      </c>
      <c r="Y201" s="29" t="e">
        <f>'SSD_eMMC_non volatile'!#REF!</f>
        <v>#REF!</v>
      </c>
      <c r="Z201" s="29" t="e">
        <f>'SSD_eMMC_non volatile'!#REF!</f>
        <v>#REF!</v>
      </c>
      <c r="AA201" s="29" t="e">
        <f>'SSD_eMMC_non volatile'!#REF!</f>
        <v>#REF!</v>
      </c>
      <c r="AB201" s="29" t="e">
        <f>'SSD_eMMC_non volatile'!#REF!</f>
        <v>#REF!</v>
      </c>
    </row>
    <row r="202" spans="3:28">
      <c r="C202" s="98" t="s">
        <v>115</v>
      </c>
      <c r="D202" s="29">
        <f>'SSD_eMMC_non volatile'!C16</f>
        <v>0</v>
      </c>
      <c r="E202" s="29">
        <f>'SSD_eMMC_non volatile'!D16</f>
        <v>0</v>
      </c>
      <c r="F202" s="29">
        <f>'SSD_eMMC_non volatile'!E16</f>
        <v>0</v>
      </c>
      <c r="G202" s="29" t="str">
        <f>'SSD_eMMC_non volatile'!F16</f>
        <v>X515JA</v>
      </c>
      <c r="H202" s="29" t="str">
        <f>'SSD_eMMC_non volatile'!G16</f>
        <v>Core i3-1005G1</v>
      </c>
      <c r="I202" s="29" t="str">
        <f>'SSD_eMMC_non volatile'!H16</f>
        <v>Local</v>
      </c>
      <c r="J202" s="29" t="str">
        <f>'SSD_eMMC_non volatile'!I16</f>
        <v>TBD</v>
      </c>
      <c r="K202" s="29" t="str">
        <f>'SSD_eMMC_non volatile'!J16</f>
        <v>SSD</v>
      </c>
      <c r="L202" s="29" t="str">
        <f>'SSD_eMMC_non volatile'!K16</f>
        <v>128G</v>
      </c>
      <c r="M202" s="29">
        <f>'SSD_eMMC_non volatile'!L16</f>
        <v>1</v>
      </c>
      <c r="N202" s="29">
        <f>'SSD_eMMC_non volatile'!M16</f>
        <v>0</v>
      </c>
      <c r="O202" s="29">
        <f>'SSD_eMMC_non volatile'!N16</f>
        <v>0</v>
      </c>
      <c r="P202" s="29">
        <f>'SSD_eMMC_non volatile'!P16</f>
        <v>0</v>
      </c>
      <c r="Q202" s="29">
        <f>'SSD_eMMC_non volatile'!Q16</f>
        <v>0</v>
      </c>
      <c r="R202" s="29">
        <f>'SSD_eMMC_non volatile'!R16</f>
        <v>0</v>
      </c>
      <c r="S202" s="29">
        <f>'SSD_eMMC_non volatile'!S16</f>
        <v>0</v>
      </c>
      <c r="T202" s="29">
        <f>'SSD_eMMC_non volatile'!T16</f>
        <v>0</v>
      </c>
      <c r="U202" s="29">
        <f>'SSD_eMMC_non volatile'!U16</f>
        <v>0</v>
      </c>
      <c r="V202" s="29">
        <f>'SSD_eMMC_non volatile'!V16</f>
        <v>0</v>
      </c>
      <c r="W202" s="29">
        <f>'SSD_eMMC_non volatile'!W16</f>
        <v>0</v>
      </c>
      <c r="X202" s="29">
        <f>'SSD_eMMC_non volatile'!X16</f>
        <v>0</v>
      </c>
      <c r="Y202" s="29">
        <f>'SSD_eMMC_non volatile'!Y16</f>
        <v>0</v>
      </c>
      <c r="Z202" s="29" t="e">
        <f>'SSD_eMMC_non volatile'!#REF!</f>
        <v>#REF!</v>
      </c>
      <c r="AA202" s="29">
        <f>'SSD_eMMC_non volatile'!Z16</f>
        <v>0</v>
      </c>
      <c r="AB202" s="29">
        <f>'SSD_eMMC_non volatile'!AA16</f>
        <v>0</v>
      </c>
    </row>
    <row r="203" spans="3:28">
      <c r="C203" s="98" t="s">
        <v>115</v>
      </c>
      <c r="D203" s="29">
        <f>'SSD_eMMC_non volatile'!C23</f>
        <v>0</v>
      </c>
      <c r="E203" s="29" t="str">
        <f>'SSD_eMMC_non volatile'!D23</f>
        <v>FCST</v>
      </c>
      <c r="F203" s="29">
        <f>'SSD_eMMC_non volatile'!E23</f>
        <v>19200</v>
      </c>
      <c r="G203" s="29" t="str">
        <f>'SSD_eMMC_non volatile'!F23</f>
        <v>X515JA</v>
      </c>
      <c r="H203" s="29" t="str">
        <f>'SSD_eMMC_non volatile'!G23</f>
        <v>Core i5-1035G1</v>
      </c>
      <c r="I203" s="29">
        <f>'SSD_eMMC_non volatile'!H23</f>
        <v>0</v>
      </c>
      <c r="J203" s="29">
        <f>'SSD_eMMC_non volatile'!I23</f>
        <v>0</v>
      </c>
      <c r="K203" s="29">
        <f>'SSD_eMMC_non volatile'!J23</f>
        <v>0</v>
      </c>
      <c r="L203" s="29" t="str">
        <f>'SSD_eMMC_non volatile'!K23</f>
        <v>256GB SSD</v>
      </c>
      <c r="M203" s="29">
        <f>'SSD_eMMC_non volatile'!L23</f>
        <v>0</v>
      </c>
      <c r="N203" s="29">
        <f>'SSD_eMMC_non volatile'!M23</f>
        <v>0</v>
      </c>
      <c r="O203" s="29">
        <f>'SSD_eMMC_non volatile'!N23</f>
        <v>4700</v>
      </c>
      <c r="P203" s="29">
        <f>'SSD_eMMC_non volatile'!P23</f>
        <v>7000</v>
      </c>
      <c r="Q203" s="29">
        <f>'SSD_eMMC_non volatile'!Q23</f>
        <v>4500</v>
      </c>
      <c r="R203" s="29">
        <f>'SSD_eMMC_non volatile'!R23</f>
        <v>0</v>
      </c>
      <c r="S203" s="29">
        <f>'SSD_eMMC_non volatile'!S23</f>
        <v>0</v>
      </c>
      <c r="T203" s="29">
        <f>'SSD_eMMC_non volatile'!T23</f>
        <v>0</v>
      </c>
      <c r="U203" s="29">
        <f>'SSD_eMMC_non volatile'!U23</f>
        <v>0</v>
      </c>
      <c r="V203" s="29">
        <f>'SSD_eMMC_non volatile'!V23</f>
        <v>0</v>
      </c>
      <c r="W203" s="29">
        <f>'SSD_eMMC_non volatile'!W23</f>
        <v>0</v>
      </c>
      <c r="X203" s="29">
        <f>'SSD_eMMC_non volatile'!X23</f>
        <v>0</v>
      </c>
      <c r="Y203" s="29">
        <f>'SSD_eMMC_non volatile'!Y23</f>
        <v>0</v>
      </c>
      <c r="Z203" s="29" t="e">
        <f>'SSD_eMMC_non volatile'!#REF!</f>
        <v>#REF!</v>
      </c>
      <c r="AA203" s="29">
        <f>'SSD_eMMC_non volatile'!Z23</f>
        <v>0</v>
      </c>
      <c r="AB203" s="29">
        <f>'SSD_eMMC_non volatile'!AA23</f>
        <v>0</v>
      </c>
    </row>
    <row r="204" spans="3:28">
      <c r="C204" s="98" t="s">
        <v>115</v>
      </c>
      <c r="D204" s="29">
        <f>'SSD_eMMC_non volatile'!C24</f>
        <v>0</v>
      </c>
      <c r="E204" s="29">
        <f>'SSD_eMMC_non volatile'!D24</f>
        <v>0</v>
      </c>
      <c r="F204" s="29">
        <f>'SSD_eMMC_non volatile'!E24</f>
        <v>0</v>
      </c>
      <c r="G204" s="29" t="str">
        <f>'SSD_eMMC_non volatile'!F24</f>
        <v>X515JA</v>
      </c>
      <c r="H204" s="29" t="str">
        <f>'SSD_eMMC_non volatile'!G24</f>
        <v>Core i5-1035G1</v>
      </c>
      <c r="I204" s="29" t="str">
        <f>'SSD_eMMC_non volatile'!H24</f>
        <v>Imported</v>
      </c>
      <c r="J204" s="29" t="str">
        <f>'SSD_eMMC_non volatile'!I24</f>
        <v>Asus</v>
      </c>
      <c r="K204" s="29" t="str">
        <f>'SSD_eMMC_non volatile'!J24</f>
        <v>SSD</v>
      </c>
      <c r="L204" s="29" t="str">
        <f>'SSD_eMMC_non volatile'!K24</f>
        <v>256G</v>
      </c>
      <c r="M204" s="29">
        <f>'SSD_eMMC_non volatile'!L24</f>
        <v>1</v>
      </c>
      <c r="N204" s="29" t="str">
        <f>'SSD_eMMC_non volatile'!M24</f>
        <v>03B03-00226200</v>
      </c>
      <c r="O204" s="29">
        <f>'SSD_eMMC_non volatile'!N24</f>
        <v>0</v>
      </c>
      <c r="P204" s="29">
        <f>'SSD_eMMC_non volatile'!P24</f>
        <v>0</v>
      </c>
      <c r="Q204" s="29">
        <f>'SSD_eMMC_non volatile'!Q24</f>
        <v>0</v>
      </c>
      <c r="R204" s="29">
        <f>'SSD_eMMC_non volatile'!R24</f>
        <v>0</v>
      </c>
      <c r="S204" s="29">
        <f>'SSD_eMMC_non volatile'!S24</f>
        <v>0</v>
      </c>
      <c r="T204" s="29">
        <f>'SSD_eMMC_non volatile'!T24</f>
        <v>0</v>
      </c>
      <c r="U204" s="29">
        <f>'SSD_eMMC_non volatile'!U24</f>
        <v>0</v>
      </c>
      <c r="V204" s="29">
        <f>'SSD_eMMC_non volatile'!V24</f>
        <v>0</v>
      </c>
      <c r="W204" s="29">
        <f>'SSD_eMMC_non volatile'!W24</f>
        <v>0</v>
      </c>
      <c r="X204" s="29">
        <f>'SSD_eMMC_non volatile'!X24</f>
        <v>0</v>
      </c>
      <c r="Y204" s="29">
        <f>'SSD_eMMC_non volatile'!Y24</f>
        <v>0</v>
      </c>
      <c r="Z204" s="29" t="e">
        <f>'SSD_eMMC_non volatile'!#REF!</f>
        <v>#REF!</v>
      </c>
      <c r="AA204" s="29">
        <f>'SSD_eMMC_non volatile'!Z24</f>
        <v>0</v>
      </c>
      <c r="AB204" s="29">
        <f>'SSD_eMMC_non volatile'!AA24</f>
        <v>0</v>
      </c>
    </row>
    <row r="205" spans="3:28">
      <c r="C205" s="98" t="s">
        <v>115</v>
      </c>
      <c r="D205" s="29">
        <f>'SSD_eMMC_non volatile'!C25</f>
        <v>0</v>
      </c>
      <c r="E205" s="29">
        <f>'SSD_eMMC_non volatile'!D25</f>
        <v>0</v>
      </c>
      <c r="F205" s="29">
        <f>'SSD_eMMC_non volatile'!E25</f>
        <v>0</v>
      </c>
      <c r="G205" s="29" t="str">
        <f>'SSD_eMMC_non volatile'!F25</f>
        <v>X515JA</v>
      </c>
      <c r="H205" s="29" t="str">
        <f>'SSD_eMMC_non volatile'!G25</f>
        <v>Core i5-1035G1</v>
      </c>
      <c r="I205" s="29" t="str">
        <f>'SSD_eMMC_non volatile'!H25</f>
        <v>Local</v>
      </c>
      <c r="J205" s="29" t="str">
        <f>'SSD_eMMC_non volatile'!I25</f>
        <v>DIGITRON</v>
      </c>
      <c r="K205" s="29" t="str">
        <f>'SSD_eMMC_non volatile'!J25</f>
        <v>SSD</v>
      </c>
      <c r="L205" s="29" t="str">
        <f>'SSD_eMMC_non volatile'!K25</f>
        <v>256G</v>
      </c>
      <c r="M205" s="29">
        <f>'SSD_eMMC_non volatile'!L25</f>
        <v>2</v>
      </c>
      <c r="N205" s="29" t="str">
        <f>'SSD_eMMC_non volatile'!M25</f>
        <v>03B03-00228500</v>
      </c>
      <c r="O205" s="29">
        <f>'SSD_eMMC_non volatile'!N25</f>
        <v>0</v>
      </c>
      <c r="P205" s="29">
        <f>'SSD_eMMC_non volatile'!P25</f>
        <v>0</v>
      </c>
      <c r="Q205" s="29">
        <f>'SSD_eMMC_non volatile'!Q25</f>
        <v>0</v>
      </c>
      <c r="R205" s="29">
        <f>'SSD_eMMC_non volatile'!R25</f>
        <v>0</v>
      </c>
      <c r="S205" s="29">
        <f>'SSD_eMMC_non volatile'!S25</f>
        <v>0</v>
      </c>
      <c r="T205" s="29">
        <f>'SSD_eMMC_non volatile'!T25</f>
        <v>0</v>
      </c>
      <c r="U205" s="29">
        <f>'SSD_eMMC_non volatile'!U25</f>
        <v>0</v>
      </c>
      <c r="V205" s="29">
        <f>'SSD_eMMC_non volatile'!V25</f>
        <v>0</v>
      </c>
      <c r="W205" s="29">
        <f>'SSD_eMMC_non volatile'!W25</f>
        <v>0</v>
      </c>
      <c r="X205" s="29">
        <f>'SSD_eMMC_non volatile'!X25</f>
        <v>0</v>
      </c>
      <c r="Y205" s="29">
        <f>'SSD_eMMC_non volatile'!Y25</f>
        <v>0</v>
      </c>
      <c r="Z205" s="29" t="e">
        <f>'SSD_eMMC_non volatile'!#REF!</f>
        <v>#REF!</v>
      </c>
      <c r="AA205" s="29">
        <f>'SSD_eMMC_non volatile'!Z25</f>
        <v>0</v>
      </c>
      <c r="AB205" s="29">
        <f>'SSD_eMMC_non volatile'!AA25</f>
        <v>0</v>
      </c>
    </row>
    <row r="206" spans="3:28">
      <c r="C206" s="98" t="s">
        <v>115</v>
      </c>
      <c r="D206" s="29">
        <f>'SSD_eMMC_non volatile'!C26</f>
        <v>0</v>
      </c>
      <c r="E206" s="29">
        <f>'SSD_eMMC_non volatile'!D26</f>
        <v>0</v>
      </c>
      <c r="F206" s="29">
        <f>'SSD_eMMC_non volatile'!E26</f>
        <v>0</v>
      </c>
      <c r="G206" s="29" t="str">
        <f>'SSD_eMMC_non volatile'!F26</f>
        <v>X515JA</v>
      </c>
      <c r="H206" s="29" t="str">
        <f>'SSD_eMMC_non volatile'!G26</f>
        <v>Core i5-1035G1</v>
      </c>
      <c r="I206" s="29" t="str">
        <f>'SSD_eMMC_non volatile'!H26</f>
        <v>Local</v>
      </c>
      <c r="J206" s="29" t="str">
        <f>'SSD_eMMC_non volatile'!I26</f>
        <v>Multilaser</v>
      </c>
      <c r="K206" s="29" t="str">
        <f>'SSD_eMMC_non volatile'!J26</f>
        <v>SSD</v>
      </c>
      <c r="L206" s="29" t="str">
        <f>'SSD_eMMC_non volatile'!K26</f>
        <v>256G</v>
      </c>
      <c r="M206" s="29">
        <f>'SSD_eMMC_non volatile'!L26</f>
        <v>2</v>
      </c>
      <c r="N206" s="29" t="str">
        <f>'SSD_eMMC_non volatile'!M26</f>
        <v>03B03-00227200</v>
      </c>
      <c r="O206" s="29">
        <f>'SSD_eMMC_non volatile'!N26</f>
        <v>0</v>
      </c>
      <c r="P206" s="29">
        <f>'SSD_eMMC_non volatile'!P26</f>
        <v>0</v>
      </c>
      <c r="Q206" s="29">
        <f>'SSD_eMMC_non volatile'!Q26</f>
        <v>0</v>
      </c>
      <c r="R206" s="29">
        <f>'SSD_eMMC_non volatile'!R26</f>
        <v>0</v>
      </c>
      <c r="S206" s="29">
        <f>'SSD_eMMC_non volatile'!S26</f>
        <v>0</v>
      </c>
      <c r="T206" s="29">
        <f>'SSD_eMMC_non volatile'!T26</f>
        <v>0</v>
      </c>
      <c r="U206" s="29">
        <f>'SSD_eMMC_non volatile'!U26</f>
        <v>0</v>
      </c>
      <c r="V206" s="29">
        <f>'SSD_eMMC_non volatile'!V26</f>
        <v>0</v>
      </c>
      <c r="W206" s="29">
        <f>'SSD_eMMC_non volatile'!W26</f>
        <v>0</v>
      </c>
      <c r="X206" s="29">
        <f>'SSD_eMMC_non volatile'!X26</f>
        <v>0</v>
      </c>
      <c r="Y206" s="29">
        <f>'SSD_eMMC_non volatile'!Y26</f>
        <v>0</v>
      </c>
      <c r="Z206" s="29" t="e">
        <f>'SSD_eMMC_non volatile'!#REF!</f>
        <v>#REF!</v>
      </c>
      <c r="AA206" s="29">
        <f>'SSD_eMMC_non volatile'!Z26</f>
        <v>0</v>
      </c>
      <c r="AB206" s="29">
        <f>'SSD_eMMC_non volatile'!AA26</f>
        <v>0</v>
      </c>
    </row>
    <row r="207" spans="3:28">
      <c r="C207" s="98" t="s">
        <v>115</v>
      </c>
      <c r="D207" s="29">
        <f>'SSD_eMMC_non volatile'!C27</f>
        <v>0</v>
      </c>
      <c r="E207" s="29">
        <f>'SSD_eMMC_non volatile'!D27</f>
        <v>0</v>
      </c>
      <c r="F207" s="29">
        <f>'SSD_eMMC_non volatile'!E27</f>
        <v>0</v>
      </c>
      <c r="G207" s="29" t="str">
        <f>'SSD_eMMC_non volatile'!F27</f>
        <v>X515JA</v>
      </c>
      <c r="H207" s="29" t="str">
        <f>'SSD_eMMC_non volatile'!G27</f>
        <v>Core i5-1035G1</v>
      </c>
      <c r="I207" s="29" t="str">
        <f>'SSD_eMMC_non volatile'!H27</f>
        <v>Local</v>
      </c>
      <c r="J207" s="29" t="str">
        <f>'SSD_eMMC_non volatile'!I27</f>
        <v>ADATA</v>
      </c>
      <c r="K207" s="29" t="str">
        <f>'SSD_eMMC_non volatile'!J27</f>
        <v>SSD</v>
      </c>
      <c r="L207" s="29" t="str">
        <f>'SSD_eMMC_non volatile'!K27</f>
        <v>256G</v>
      </c>
      <c r="M207" s="29">
        <f>'SSD_eMMC_non volatile'!L27</f>
        <v>2</v>
      </c>
      <c r="N207" s="29" t="str">
        <f>'SSD_eMMC_non volatile'!M27</f>
        <v>03B03-00420500</v>
      </c>
      <c r="O207" s="29">
        <f>'SSD_eMMC_non volatile'!N27</f>
        <v>4700</v>
      </c>
      <c r="P207" s="29">
        <f>'SSD_eMMC_non volatile'!P27</f>
        <v>7000</v>
      </c>
      <c r="Q207" s="29">
        <f>'SSD_eMMC_non volatile'!Q27</f>
        <v>4500</v>
      </c>
      <c r="R207" s="29">
        <f>'SSD_eMMC_non volatile'!R27</f>
        <v>0</v>
      </c>
      <c r="S207" s="29">
        <f>'SSD_eMMC_non volatile'!S27</f>
        <v>0</v>
      </c>
      <c r="T207" s="29">
        <f>'SSD_eMMC_non volatile'!T27</f>
        <v>0</v>
      </c>
      <c r="U207" s="29">
        <f>'SSD_eMMC_non volatile'!U27</f>
        <v>0</v>
      </c>
      <c r="V207" s="29">
        <f>'SSD_eMMC_non volatile'!V27</f>
        <v>0</v>
      </c>
      <c r="W207" s="29">
        <f>'SSD_eMMC_non volatile'!W27</f>
        <v>0</v>
      </c>
      <c r="X207" s="29">
        <f>'SSD_eMMC_non volatile'!X27</f>
        <v>0</v>
      </c>
      <c r="Y207" s="29">
        <f>'SSD_eMMC_non volatile'!Y27</f>
        <v>0</v>
      </c>
      <c r="Z207" s="29" t="e">
        <f>'SSD_eMMC_non volatile'!#REF!</f>
        <v>#REF!</v>
      </c>
      <c r="AA207" s="29">
        <f>'SSD_eMMC_non volatile'!Z27</f>
        <v>38400</v>
      </c>
      <c r="AB207" s="29">
        <f>'SSD_eMMC_non volatile'!AA27</f>
        <v>19200</v>
      </c>
    </row>
    <row r="208" spans="3:28">
      <c r="C208" s="98" t="s">
        <v>115</v>
      </c>
      <c r="D208" s="29">
        <f>'SSD_eMMC_non volatile'!C28</f>
        <v>0</v>
      </c>
      <c r="E208" s="29">
        <f>'SSD_eMMC_non volatile'!D28</f>
        <v>0</v>
      </c>
      <c r="F208" s="29">
        <f>'SSD_eMMC_non volatile'!E28</f>
        <v>0</v>
      </c>
      <c r="G208" s="29" t="str">
        <f>'SSD_eMMC_non volatile'!F28</f>
        <v>X515JA</v>
      </c>
      <c r="H208" s="29" t="str">
        <f>'SSD_eMMC_non volatile'!G28</f>
        <v>Core i5-1035G1</v>
      </c>
      <c r="I208" s="29" t="str">
        <f>'SSD_eMMC_non volatile'!H28</f>
        <v>Local</v>
      </c>
      <c r="J208" s="29" t="str">
        <f>'SSD_eMMC_non volatile'!I28</f>
        <v>TBD</v>
      </c>
      <c r="K208" s="29" t="str">
        <f>'SSD_eMMC_non volatile'!J28</f>
        <v>SSD</v>
      </c>
      <c r="L208" s="29" t="str">
        <f>'SSD_eMMC_non volatile'!K28</f>
        <v>256G</v>
      </c>
      <c r="M208" s="29">
        <f>'SSD_eMMC_non volatile'!L28</f>
        <v>2</v>
      </c>
      <c r="N208" s="29">
        <f>'SSD_eMMC_non volatile'!M28</f>
        <v>0</v>
      </c>
      <c r="O208" s="29">
        <f>'SSD_eMMC_non volatile'!N28</f>
        <v>0</v>
      </c>
      <c r="P208" s="29">
        <f>'SSD_eMMC_non volatile'!P28</f>
        <v>0</v>
      </c>
      <c r="Q208" s="29">
        <f>'SSD_eMMC_non volatile'!Q28</f>
        <v>0</v>
      </c>
      <c r="R208" s="29">
        <f>'SSD_eMMC_non volatile'!R28</f>
        <v>0</v>
      </c>
      <c r="S208" s="29">
        <f>'SSD_eMMC_non volatile'!S28</f>
        <v>0</v>
      </c>
      <c r="T208" s="29">
        <f>'SSD_eMMC_non volatile'!T28</f>
        <v>0</v>
      </c>
      <c r="U208" s="29">
        <f>'SSD_eMMC_non volatile'!U28</f>
        <v>0</v>
      </c>
      <c r="V208" s="29">
        <f>'SSD_eMMC_non volatile'!V28</f>
        <v>0</v>
      </c>
      <c r="W208" s="29">
        <f>'SSD_eMMC_non volatile'!W28</f>
        <v>0</v>
      </c>
      <c r="X208" s="29">
        <f>'SSD_eMMC_non volatile'!X28</f>
        <v>0</v>
      </c>
      <c r="Y208" s="29">
        <f>'SSD_eMMC_non volatile'!Y28</f>
        <v>0</v>
      </c>
      <c r="Z208" s="29" t="e">
        <f>'SSD_eMMC_non volatile'!#REF!</f>
        <v>#REF!</v>
      </c>
      <c r="AA208" s="29">
        <f>'SSD_eMMC_non volatile'!Z28</f>
        <v>0</v>
      </c>
      <c r="AB208" s="29">
        <f>'SSD_eMMC_non volatile'!AA28</f>
        <v>0</v>
      </c>
    </row>
    <row r="209" spans="3:28">
      <c r="C209" s="98" t="s">
        <v>115</v>
      </c>
      <c r="D209" s="29">
        <f>'SSD_eMMC_non volatile'!C29</f>
        <v>0</v>
      </c>
      <c r="E209" s="29" t="str">
        <f>'SSD_eMMC_non volatile'!D29</f>
        <v>FCST</v>
      </c>
      <c r="F209" s="29">
        <f>'SSD_eMMC_non volatile'!E29</f>
        <v>3850</v>
      </c>
      <c r="G209" s="29" t="str">
        <f>'SSD_eMMC_non volatile'!F29</f>
        <v>X515JA</v>
      </c>
      <c r="H209" s="29" t="str">
        <f>'SSD_eMMC_non volatile'!G29</f>
        <v>Core i5-1035G1</v>
      </c>
      <c r="I209" s="29">
        <f>'SSD_eMMC_non volatile'!H29</f>
        <v>0</v>
      </c>
      <c r="J209" s="29">
        <f>'SSD_eMMC_non volatile'!I29</f>
        <v>0</v>
      </c>
      <c r="K209" s="29">
        <f>'SSD_eMMC_non volatile'!J29</f>
        <v>0</v>
      </c>
      <c r="L209" s="29" t="str">
        <f>'SSD_eMMC_non volatile'!K29</f>
        <v>512GB SSD</v>
      </c>
      <c r="M209" s="29">
        <f>'SSD_eMMC_non volatile'!L29</f>
        <v>0</v>
      </c>
      <c r="N209" s="29">
        <f>'SSD_eMMC_non volatile'!M29</f>
        <v>0</v>
      </c>
      <c r="O209" s="29">
        <f>'SSD_eMMC_non volatile'!N29</f>
        <v>800</v>
      </c>
      <c r="P209" s="29">
        <f>'SSD_eMMC_non volatile'!P29</f>
        <v>1000</v>
      </c>
      <c r="Q209" s="29">
        <f>'SSD_eMMC_non volatile'!Q29</f>
        <v>1250</v>
      </c>
      <c r="R209" s="29">
        <f>'SSD_eMMC_non volatile'!R29</f>
        <v>0</v>
      </c>
      <c r="S209" s="29">
        <f>'SSD_eMMC_non volatile'!S29</f>
        <v>0</v>
      </c>
      <c r="T209" s="29">
        <f>'SSD_eMMC_non volatile'!T29</f>
        <v>0</v>
      </c>
      <c r="U209" s="29">
        <f>'SSD_eMMC_non volatile'!U29</f>
        <v>0</v>
      </c>
      <c r="V209" s="29">
        <f>'SSD_eMMC_non volatile'!V29</f>
        <v>0</v>
      </c>
      <c r="W209" s="29">
        <f>'SSD_eMMC_non volatile'!W29</f>
        <v>0</v>
      </c>
      <c r="X209" s="29">
        <f>'SSD_eMMC_non volatile'!X29</f>
        <v>0</v>
      </c>
      <c r="Y209" s="29">
        <f>'SSD_eMMC_non volatile'!Y29</f>
        <v>0</v>
      </c>
      <c r="Z209" s="29" t="e">
        <f>'SSD_eMMC_non volatile'!#REF!</f>
        <v>#REF!</v>
      </c>
      <c r="AA209" s="29">
        <f>'SSD_eMMC_non volatile'!Z29</f>
        <v>0</v>
      </c>
      <c r="AB209" s="29">
        <f>'SSD_eMMC_non volatile'!AA29</f>
        <v>0</v>
      </c>
    </row>
    <row r="210" spans="3:28">
      <c r="C210" s="98" t="s">
        <v>115</v>
      </c>
      <c r="D210" s="29">
        <f>'SSD_eMMC_non volatile'!C30</f>
        <v>0</v>
      </c>
      <c r="E210" s="29">
        <f>'SSD_eMMC_non volatile'!D30</f>
        <v>0</v>
      </c>
      <c r="F210" s="29">
        <f>'SSD_eMMC_non volatile'!E30</f>
        <v>0</v>
      </c>
      <c r="G210" s="29" t="str">
        <f>'SSD_eMMC_non volatile'!F30</f>
        <v>X515JA</v>
      </c>
      <c r="H210" s="29" t="str">
        <f>'SSD_eMMC_non volatile'!G30</f>
        <v>Core i5-1035G1</v>
      </c>
      <c r="I210" s="29" t="str">
        <f>'SSD_eMMC_non volatile'!H30</f>
        <v>Imported</v>
      </c>
      <c r="J210" s="29" t="str">
        <f>'SSD_eMMC_non volatile'!I30</f>
        <v>Asus</v>
      </c>
      <c r="K210" s="29" t="str">
        <f>'SSD_eMMC_non volatile'!J30</f>
        <v>SSD</v>
      </c>
      <c r="L210" s="29" t="str">
        <f>'SSD_eMMC_non volatile'!K30</f>
        <v>512G</v>
      </c>
      <c r="M210" s="29">
        <f>'SSD_eMMC_non volatile'!L30</f>
        <v>2</v>
      </c>
      <c r="N210" s="29" t="str">
        <f>'SSD_eMMC_non volatile'!M30</f>
        <v>03B03-00372600</v>
      </c>
      <c r="O210" s="29">
        <f>'SSD_eMMC_non volatile'!N30</f>
        <v>500</v>
      </c>
      <c r="P210" s="29">
        <f>'SSD_eMMC_non volatile'!P30</f>
        <v>1000</v>
      </c>
      <c r="Q210" s="29">
        <f>'SSD_eMMC_non volatile'!Q30</f>
        <v>1250</v>
      </c>
      <c r="R210" s="29">
        <f>'SSD_eMMC_non volatile'!R30</f>
        <v>0</v>
      </c>
      <c r="S210" s="29">
        <f>'SSD_eMMC_non volatile'!S30</f>
        <v>0</v>
      </c>
      <c r="T210" s="29">
        <f>'SSD_eMMC_non volatile'!T30</f>
        <v>0</v>
      </c>
      <c r="U210" s="29">
        <f>'SSD_eMMC_non volatile'!U30</f>
        <v>0</v>
      </c>
      <c r="V210" s="29">
        <f>'SSD_eMMC_non volatile'!V30</f>
        <v>0</v>
      </c>
      <c r="W210" s="29">
        <f>'SSD_eMMC_non volatile'!W30</f>
        <v>0</v>
      </c>
      <c r="X210" s="29">
        <f>'SSD_eMMC_non volatile'!X30</f>
        <v>0</v>
      </c>
      <c r="Y210" s="29">
        <f>'SSD_eMMC_non volatile'!Y30</f>
        <v>0</v>
      </c>
      <c r="Z210" s="29" t="e">
        <f>'SSD_eMMC_non volatile'!#REF!</f>
        <v>#REF!</v>
      </c>
      <c r="AA210" s="29">
        <f>'SSD_eMMC_non volatile'!Z30</f>
        <v>7100</v>
      </c>
      <c r="AB210" s="29">
        <f>'SSD_eMMC_non volatile'!AA30</f>
        <v>3550</v>
      </c>
    </row>
    <row r="211" spans="3:28">
      <c r="C211" s="98" t="s">
        <v>115</v>
      </c>
      <c r="D211" s="29">
        <f>'SSD_eMMC_non volatile'!C31</f>
        <v>0</v>
      </c>
      <c r="E211" s="29">
        <f>'SSD_eMMC_non volatile'!D31</f>
        <v>0</v>
      </c>
      <c r="F211" s="29">
        <f>'SSD_eMMC_non volatile'!E31</f>
        <v>0</v>
      </c>
      <c r="G211" s="29" t="str">
        <f>'SSD_eMMC_non volatile'!F31</f>
        <v>X515JA</v>
      </c>
      <c r="H211" s="29" t="str">
        <f>'SSD_eMMC_non volatile'!G31</f>
        <v>Core i5-1035G1</v>
      </c>
      <c r="I211" s="29" t="str">
        <f>'SSD_eMMC_non volatile'!H31</f>
        <v>Local</v>
      </c>
      <c r="J211" s="29" t="str">
        <f>'SSD_eMMC_non volatile'!I31</f>
        <v>DIGITRON</v>
      </c>
      <c r="K211" s="29" t="str">
        <f>'SSD_eMMC_non volatile'!J31</f>
        <v>SSD</v>
      </c>
      <c r="L211" s="29" t="str">
        <f>'SSD_eMMC_non volatile'!K31</f>
        <v>512G</v>
      </c>
      <c r="M211" s="29">
        <f>'SSD_eMMC_non volatile'!L31</f>
        <v>2</v>
      </c>
      <c r="N211" s="29" t="str">
        <f>'SSD_eMMC_non volatile'!M31</f>
        <v>03B03-00373200</v>
      </c>
      <c r="O211" s="29">
        <f>'SSD_eMMC_non volatile'!N31</f>
        <v>0</v>
      </c>
      <c r="P211" s="29">
        <f>'SSD_eMMC_non volatile'!P31</f>
        <v>0</v>
      </c>
      <c r="Q211" s="29">
        <f>'SSD_eMMC_non volatile'!Q31</f>
        <v>0</v>
      </c>
      <c r="R211" s="29">
        <f>'SSD_eMMC_non volatile'!R31</f>
        <v>0</v>
      </c>
      <c r="S211" s="29">
        <f>'SSD_eMMC_non volatile'!S31</f>
        <v>0</v>
      </c>
      <c r="T211" s="29">
        <f>'SSD_eMMC_non volatile'!T31</f>
        <v>0</v>
      </c>
      <c r="U211" s="29">
        <f>'SSD_eMMC_non volatile'!U31</f>
        <v>0</v>
      </c>
      <c r="V211" s="29">
        <f>'SSD_eMMC_non volatile'!V31</f>
        <v>0</v>
      </c>
      <c r="W211" s="29">
        <f>'SSD_eMMC_non volatile'!W31</f>
        <v>0</v>
      </c>
      <c r="X211" s="29">
        <f>'SSD_eMMC_non volatile'!X31</f>
        <v>0</v>
      </c>
      <c r="Y211" s="29">
        <f>'SSD_eMMC_non volatile'!Y31</f>
        <v>0</v>
      </c>
      <c r="Z211" s="29" t="e">
        <f>'SSD_eMMC_non volatile'!#REF!</f>
        <v>#REF!</v>
      </c>
      <c r="AA211" s="29">
        <f>'SSD_eMMC_non volatile'!Z31</f>
        <v>0</v>
      </c>
      <c r="AB211" s="29">
        <f>'SSD_eMMC_non volatile'!AA31</f>
        <v>0</v>
      </c>
    </row>
    <row r="212" spans="3:28">
      <c r="C212" s="98" t="s">
        <v>115</v>
      </c>
      <c r="D212" s="29">
        <f>'SSD_eMMC_non volatile'!C32</f>
        <v>0</v>
      </c>
      <c r="E212" s="29">
        <f>'SSD_eMMC_non volatile'!D32</f>
        <v>0</v>
      </c>
      <c r="F212" s="29">
        <f>'SSD_eMMC_non volatile'!E32</f>
        <v>0</v>
      </c>
      <c r="G212" s="29" t="str">
        <f>'SSD_eMMC_non volatile'!F32</f>
        <v>X515JA</v>
      </c>
      <c r="H212" s="29" t="str">
        <f>'SSD_eMMC_non volatile'!G32</f>
        <v>Core i5-1035G1</v>
      </c>
      <c r="I212" s="29" t="str">
        <f>'SSD_eMMC_non volatile'!H32</f>
        <v>Local</v>
      </c>
      <c r="J212" s="29" t="str">
        <f>'SSD_eMMC_non volatile'!I32</f>
        <v>ADATA</v>
      </c>
      <c r="K212" s="29" t="str">
        <f>'SSD_eMMC_non volatile'!J32</f>
        <v>SSD</v>
      </c>
      <c r="L212" s="29" t="str">
        <f>'SSD_eMMC_non volatile'!K32</f>
        <v>512G</v>
      </c>
      <c r="M212" s="29">
        <f>'SSD_eMMC_non volatile'!L32</f>
        <v>2</v>
      </c>
      <c r="N212" s="29" t="str">
        <f>'SSD_eMMC_non volatile'!M32</f>
        <v>03B03-00375700</v>
      </c>
      <c r="O212" s="29">
        <f>'SSD_eMMC_non volatile'!N32</f>
        <v>300</v>
      </c>
      <c r="P212" s="29">
        <f>'SSD_eMMC_non volatile'!P32</f>
        <v>0</v>
      </c>
      <c r="Q212" s="29">
        <f>'SSD_eMMC_non volatile'!Q32</f>
        <v>0</v>
      </c>
      <c r="R212" s="29">
        <f>'SSD_eMMC_non volatile'!R32</f>
        <v>0</v>
      </c>
      <c r="S212" s="29">
        <f>'SSD_eMMC_non volatile'!S32</f>
        <v>0</v>
      </c>
      <c r="T212" s="29">
        <f>'SSD_eMMC_non volatile'!T32</f>
        <v>0</v>
      </c>
      <c r="U212" s="29">
        <f>'SSD_eMMC_non volatile'!U32</f>
        <v>0</v>
      </c>
      <c r="V212" s="29">
        <f>'SSD_eMMC_non volatile'!V32</f>
        <v>0</v>
      </c>
      <c r="W212" s="29">
        <f>'SSD_eMMC_non volatile'!W32</f>
        <v>0</v>
      </c>
      <c r="X212" s="29">
        <f>'SSD_eMMC_non volatile'!X32</f>
        <v>0</v>
      </c>
      <c r="Y212" s="29">
        <f>'SSD_eMMC_non volatile'!Y32</f>
        <v>0</v>
      </c>
      <c r="Z212" s="29" t="e">
        <f>'SSD_eMMC_non volatile'!#REF!</f>
        <v>#REF!</v>
      </c>
      <c r="AA212" s="29">
        <f>'SSD_eMMC_non volatile'!Z32</f>
        <v>600</v>
      </c>
      <c r="AB212" s="29">
        <f>'SSD_eMMC_non volatile'!AA32</f>
        <v>300</v>
      </c>
    </row>
    <row r="213" spans="3:28">
      <c r="C213" s="98" t="s">
        <v>115</v>
      </c>
      <c r="D213" s="29">
        <f>'SSD_eMMC_non volatile'!C33</f>
        <v>0</v>
      </c>
      <c r="E213" s="29">
        <f>'SSD_eMMC_non volatile'!D33</f>
        <v>0</v>
      </c>
      <c r="F213" s="29">
        <f>'SSD_eMMC_non volatile'!E33</f>
        <v>0</v>
      </c>
      <c r="G213" s="29" t="str">
        <f>'SSD_eMMC_non volatile'!F33</f>
        <v>X515JA</v>
      </c>
      <c r="H213" s="29" t="str">
        <f>'SSD_eMMC_non volatile'!G33</f>
        <v>Core i5-1035G1</v>
      </c>
      <c r="I213" s="29" t="str">
        <f>'SSD_eMMC_non volatile'!H33</f>
        <v>Local</v>
      </c>
      <c r="J213" s="29" t="str">
        <f>'SSD_eMMC_non volatile'!I33</f>
        <v>TBD</v>
      </c>
      <c r="K213" s="29" t="str">
        <f>'SSD_eMMC_non volatile'!J33</f>
        <v>SSD</v>
      </c>
      <c r="L213" s="29" t="str">
        <f>'SSD_eMMC_non volatile'!K33</f>
        <v>512G</v>
      </c>
      <c r="M213" s="29">
        <f>'SSD_eMMC_non volatile'!L33</f>
        <v>2</v>
      </c>
      <c r="N213" s="29">
        <f>'SSD_eMMC_non volatile'!M33</f>
        <v>0</v>
      </c>
      <c r="O213" s="29">
        <f>'SSD_eMMC_non volatile'!N33</f>
        <v>0</v>
      </c>
      <c r="P213" s="29">
        <f>'SSD_eMMC_non volatile'!P33</f>
        <v>0</v>
      </c>
      <c r="Q213" s="29">
        <f>'SSD_eMMC_non volatile'!Q33</f>
        <v>0</v>
      </c>
      <c r="R213" s="29">
        <f>'SSD_eMMC_non volatile'!R33</f>
        <v>0</v>
      </c>
      <c r="S213" s="29">
        <f>'SSD_eMMC_non volatile'!S33</f>
        <v>0</v>
      </c>
      <c r="T213" s="29">
        <f>'SSD_eMMC_non volatile'!T33</f>
        <v>0</v>
      </c>
      <c r="U213" s="29">
        <f>'SSD_eMMC_non volatile'!U33</f>
        <v>0</v>
      </c>
      <c r="V213" s="29">
        <f>'SSD_eMMC_non volatile'!V33</f>
        <v>0</v>
      </c>
      <c r="W213" s="29">
        <f>'SSD_eMMC_non volatile'!W33</f>
        <v>0</v>
      </c>
      <c r="X213" s="29">
        <f>'SSD_eMMC_non volatile'!X33</f>
        <v>0</v>
      </c>
      <c r="Y213" s="29">
        <f>'SSD_eMMC_non volatile'!Y33</f>
        <v>0</v>
      </c>
      <c r="Z213" s="29" t="e">
        <f>'SSD_eMMC_non volatile'!#REF!</f>
        <v>#REF!</v>
      </c>
      <c r="AA213" s="29">
        <f>'SSD_eMMC_non volatile'!Z33</f>
        <v>0</v>
      </c>
      <c r="AB213" s="29">
        <f>'SSD_eMMC_non volatile'!AA33</f>
        <v>0</v>
      </c>
    </row>
    <row r="214" spans="3:28">
      <c r="C214" s="98" t="s">
        <v>115</v>
      </c>
      <c r="D214" s="29">
        <f>'SSD_eMMC_non volatile'!C34</f>
        <v>0</v>
      </c>
      <c r="E214" s="29" t="str">
        <f>'SSD_eMMC_non volatile'!D34</f>
        <v>FCST</v>
      </c>
      <c r="F214" s="29">
        <f>'SSD_eMMC_non volatile'!E34</f>
        <v>0</v>
      </c>
      <c r="G214" s="29" t="str">
        <f>'SSD_eMMC_non volatile'!F34</f>
        <v>X515JF</v>
      </c>
      <c r="H214" s="29" t="str">
        <f>'SSD_eMMC_non volatile'!G34</f>
        <v>Core i5-1035G1</v>
      </c>
      <c r="I214" s="29">
        <f>'SSD_eMMC_non volatile'!H34</f>
        <v>0</v>
      </c>
      <c r="J214" s="29">
        <f>'SSD_eMMC_non volatile'!I34</f>
        <v>0</v>
      </c>
      <c r="K214" s="29">
        <f>'SSD_eMMC_non volatile'!J34</f>
        <v>0</v>
      </c>
      <c r="L214" s="29" t="str">
        <f>'SSD_eMMC_non volatile'!K34</f>
        <v>256GB SSD</v>
      </c>
      <c r="M214" s="29">
        <f>'SSD_eMMC_non volatile'!L34</f>
        <v>0</v>
      </c>
      <c r="N214" s="29">
        <f>'SSD_eMMC_non volatile'!M34</f>
        <v>0</v>
      </c>
      <c r="O214" s="29">
        <f>'SSD_eMMC_non volatile'!N34</f>
        <v>0</v>
      </c>
      <c r="P214" s="29">
        <f>'SSD_eMMC_non volatile'!P34</f>
        <v>0</v>
      </c>
      <c r="Q214" s="29">
        <f>'SSD_eMMC_non volatile'!Q34</f>
        <v>0</v>
      </c>
      <c r="R214" s="29">
        <f>'SSD_eMMC_non volatile'!R34</f>
        <v>0</v>
      </c>
      <c r="S214" s="29">
        <f>'SSD_eMMC_non volatile'!S34</f>
        <v>0</v>
      </c>
      <c r="T214" s="29">
        <f>'SSD_eMMC_non volatile'!T34</f>
        <v>0</v>
      </c>
      <c r="U214" s="29">
        <f>'SSD_eMMC_non volatile'!U34</f>
        <v>0</v>
      </c>
      <c r="V214" s="29">
        <f>'SSD_eMMC_non volatile'!V34</f>
        <v>0</v>
      </c>
      <c r="W214" s="29">
        <f>'SSD_eMMC_non volatile'!W34</f>
        <v>0</v>
      </c>
      <c r="X214" s="29">
        <f>'SSD_eMMC_non volatile'!X34</f>
        <v>0</v>
      </c>
      <c r="Y214" s="29">
        <f>'SSD_eMMC_non volatile'!Y34</f>
        <v>0</v>
      </c>
      <c r="Z214" s="29" t="e">
        <f>'SSD_eMMC_non volatile'!#REF!</f>
        <v>#REF!</v>
      </c>
      <c r="AA214" s="29">
        <f>'SSD_eMMC_non volatile'!Z34</f>
        <v>0</v>
      </c>
      <c r="AB214" s="29">
        <f>'SSD_eMMC_non volatile'!AA34</f>
        <v>0</v>
      </c>
    </row>
    <row r="215" spans="3:28">
      <c r="C215" s="98" t="s">
        <v>115</v>
      </c>
      <c r="D215" s="29">
        <f>'SSD_eMMC_non volatile'!C35</f>
        <v>0</v>
      </c>
      <c r="E215" s="29">
        <f>'SSD_eMMC_non volatile'!D35</f>
        <v>0</v>
      </c>
      <c r="F215" s="29">
        <f>'SSD_eMMC_non volatile'!E35</f>
        <v>0</v>
      </c>
      <c r="G215" s="29" t="str">
        <f>'SSD_eMMC_non volatile'!F35</f>
        <v>X515JF</v>
      </c>
      <c r="H215" s="29" t="str">
        <f>'SSD_eMMC_non volatile'!G35</f>
        <v>Core i5-1035G1</v>
      </c>
      <c r="I215" s="29" t="str">
        <f>'SSD_eMMC_non volatile'!H35</f>
        <v>Imported</v>
      </c>
      <c r="J215" s="29" t="str">
        <f>'SSD_eMMC_non volatile'!I35</f>
        <v>Asus</v>
      </c>
      <c r="K215" s="29" t="str">
        <f>'SSD_eMMC_non volatile'!J35</f>
        <v>SSD</v>
      </c>
      <c r="L215" s="29" t="str">
        <f>'SSD_eMMC_non volatile'!K35</f>
        <v>256G</v>
      </c>
      <c r="M215" s="29">
        <f>'SSD_eMMC_non volatile'!L35</f>
        <v>1</v>
      </c>
      <c r="N215" s="29" t="str">
        <f>'SSD_eMMC_non volatile'!M35</f>
        <v>03B03-00226200</v>
      </c>
      <c r="O215" s="29">
        <f>'SSD_eMMC_non volatile'!N35</f>
        <v>0</v>
      </c>
      <c r="P215" s="29">
        <f>'SSD_eMMC_non volatile'!P35</f>
        <v>0</v>
      </c>
      <c r="Q215" s="29">
        <f>'SSD_eMMC_non volatile'!Q35</f>
        <v>0</v>
      </c>
      <c r="R215" s="29">
        <f>'SSD_eMMC_non volatile'!R35</f>
        <v>0</v>
      </c>
      <c r="S215" s="29">
        <f>'SSD_eMMC_non volatile'!S35</f>
        <v>0</v>
      </c>
      <c r="T215" s="29">
        <f>'SSD_eMMC_non volatile'!T35</f>
        <v>0</v>
      </c>
      <c r="U215" s="29">
        <f>'SSD_eMMC_non volatile'!U35</f>
        <v>0</v>
      </c>
      <c r="V215" s="29">
        <f>'SSD_eMMC_non volatile'!V35</f>
        <v>0</v>
      </c>
      <c r="W215" s="29">
        <f>'SSD_eMMC_non volatile'!W35</f>
        <v>0</v>
      </c>
      <c r="X215" s="29">
        <f>'SSD_eMMC_non volatile'!X35</f>
        <v>0</v>
      </c>
      <c r="Y215" s="29">
        <f>'SSD_eMMC_non volatile'!Y35</f>
        <v>0</v>
      </c>
      <c r="Z215" s="29" t="e">
        <f>'SSD_eMMC_non volatile'!#REF!</f>
        <v>#REF!</v>
      </c>
      <c r="AA215" s="29">
        <f>'SSD_eMMC_non volatile'!Z35</f>
        <v>0</v>
      </c>
      <c r="AB215" s="29">
        <f>'SSD_eMMC_non volatile'!AA35</f>
        <v>0</v>
      </c>
    </row>
    <row r="216" spans="3:28">
      <c r="C216" s="98" t="s">
        <v>115</v>
      </c>
      <c r="D216" s="29">
        <f>'SSD_eMMC_non volatile'!C36</f>
        <v>0</v>
      </c>
      <c r="E216" s="29">
        <f>'SSD_eMMC_non volatile'!D36</f>
        <v>0</v>
      </c>
      <c r="F216" s="29">
        <f>'SSD_eMMC_non volatile'!E36</f>
        <v>0</v>
      </c>
      <c r="G216" s="29" t="str">
        <f>'SSD_eMMC_non volatile'!F36</f>
        <v>X515JF</v>
      </c>
      <c r="H216" s="29" t="str">
        <f>'SSD_eMMC_non volatile'!G36</f>
        <v>Core i5-1035G1</v>
      </c>
      <c r="I216" s="29" t="str">
        <f>'SSD_eMMC_non volatile'!H36</f>
        <v>Local</v>
      </c>
      <c r="J216" s="29" t="str">
        <f>'SSD_eMMC_non volatile'!I36</f>
        <v>Multilaser</v>
      </c>
      <c r="K216" s="29" t="str">
        <f>'SSD_eMMC_non volatile'!J36</f>
        <v>SSD</v>
      </c>
      <c r="L216" s="29" t="str">
        <f>'SSD_eMMC_non volatile'!K36</f>
        <v>256G</v>
      </c>
      <c r="M216" s="29">
        <f>'SSD_eMMC_non volatile'!L36</f>
        <v>2</v>
      </c>
      <c r="N216" s="29" t="str">
        <f>'SSD_eMMC_non volatile'!M36</f>
        <v>03B03-00227200</v>
      </c>
      <c r="O216" s="29">
        <f>'SSD_eMMC_non volatile'!N36</f>
        <v>0</v>
      </c>
      <c r="P216" s="29">
        <f>'SSD_eMMC_non volatile'!P36</f>
        <v>0</v>
      </c>
      <c r="Q216" s="29">
        <f>'SSD_eMMC_non volatile'!Q36</f>
        <v>0</v>
      </c>
      <c r="R216" s="29">
        <f>'SSD_eMMC_non volatile'!R36</f>
        <v>0</v>
      </c>
      <c r="S216" s="29">
        <f>'SSD_eMMC_non volatile'!S36</f>
        <v>0</v>
      </c>
      <c r="T216" s="29">
        <f>'SSD_eMMC_non volatile'!T36</f>
        <v>0</v>
      </c>
      <c r="U216" s="29">
        <f>'SSD_eMMC_non volatile'!U36</f>
        <v>0</v>
      </c>
      <c r="V216" s="29">
        <f>'SSD_eMMC_non volatile'!V36</f>
        <v>0</v>
      </c>
      <c r="W216" s="29">
        <f>'SSD_eMMC_non volatile'!W36</f>
        <v>0</v>
      </c>
      <c r="X216" s="29">
        <f>'SSD_eMMC_non volatile'!X36</f>
        <v>0</v>
      </c>
      <c r="Y216" s="29">
        <f>'SSD_eMMC_non volatile'!Y36</f>
        <v>0</v>
      </c>
      <c r="Z216" s="29" t="e">
        <f>'SSD_eMMC_non volatile'!#REF!</f>
        <v>#REF!</v>
      </c>
      <c r="AA216" s="29">
        <f>'SSD_eMMC_non volatile'!Z36</f>
        <v>0</v>
      </c>
      <c r="AB216" s="29">
        <f>'SSD_eMMC_non volatile'!AA36</f>
        <v>0</v>
      </c>
    </row>
    <row r="217" spans="3:28">
      <c r="C217" s="98" t="s">
        <v>115</v>
      </c>
      <c r="D217" s="29">
        <f>'SSD_eMMC_non volatile'!C37</f>
        <v>0</v>
      </c>
      <c r="E217" s="29">
        <f>'SSD_eMMC_non volatile'!D37</f>
        <v>0</v>
      </c>
      <c r="F217" s="29">
        <f>'SSD_eMMC_non volatile'!E37</f>
        <v>0</v>
      </c>
      <c r="G217" s="29" t="str">
        <f>'SSD_eMMC_non volatile'!F37</f>
        <v>X515JF</v>
      </c>
      <c r="H217" s="29" t="str">
        <f>'SSD_eMMC_non volatile'!G37</f>
        <v>Core i5-1035G1</v>
      </c>
      <c r="I217" s="29" t="str">
        <f>'SSD_eMMC_non volatile'!H37</f>
        <v>Local</v>
      </c>
      <c r="J217" s="29" t="str">
        <f>'SSD_eMMC_non volatile'!I37</f>
        <v>ADATA</v>
      </c>
      <c r="K217" s="29" t="str">
        <f>'SSD_eMMC_non volatile'!J37</f>
        <v>SSD</v>
      </c>
      <c r="L217" s="29" t="str">
        <f>'SSD_eMMC_non volatile'!K37</f>
        <v>256G</v>
      </c>
      <c r="M217" s="29">
        <f>'SSD_eMMC_non volatile'!L37</f>
        <v>2</v>
      </c>
      <c r="N217" s="29" t="str">
        <f>'SSD_eMMC_non volatile'!M37</f>
        <v>03B03-00420500</v>
      </c>
      <c r="O217" s="29">
        <f>'SSD_eMMC_non volatile'!N37</f>
        <v>0</v>
      </c>
      <c r="P217" s="29">
        <f>'SSD_eMMC_non volatile'!P37</f>
        <v>0</v>
      </c>
      <c r="Q217" s="29">
        <f>'SSD_eMMC_non volatile'!Q37</f>
        <v>0</v>
      </c>
      <c r="R217" s="29">
        <f>'SSD_eMMC_non volatile'!R37</f>
        <v>0</v>
      </c>
      <c r="S217" s="29">
        <f>'SSD_eMMC_non volatile'!S37</f>
        <v>0</v>
      </c>
      <c r="T217" s="29">
        <f>'SSD_eMMC_non volatile'!T37</f>
        <v>0</v>
      </c>
      <c r="U217" s="29">
        <f>'SSD_eMMC_non volatile'!U37</f>
        <v>0</v>
      </c>
      <c r="V217" s="29">
        <f>'SSD_eMMC_non volatile'!V37</f>
        <v>0</v>
      </c>
      <c r="W217" s="29">
        <f>'SSD_eMMC_non volatile'!W37</f>
        <v>0</v>
      </c>
      <c r="X217" s="29">
        <f>'SSD_eMMC_non volatile'!X37</f>
        <v>0</v>
      </c>
      <c r="Y217" s="29">
        <f>'SSD_eMMC_non volatile'!Y37</f>
        <v>0</v>
      </c>
      <c r="Z217" s="29" t="e">
        <f>'SSD_eMMC_non volatile'!#REF!</f>
        <v>#REF!</v>
      </c>
      <c r="AA217" s="29">
        <f>'SSD_eMMC_non volatile'!Z37</f>
        <v>0</v>
      </c>
      <c r="AB217" s="29">
        <f>'SSD_eMMC_non volatile'!AA37</f>
        <v>0</v>
      </c>
    </row>
    <row r="218" spans="3:28">
      <c r="C218" s="98" t="s">
        <v>115</v>
      </c>
      <c r="D218" s="29">
        <f>'SSD_eMMC_non volatile'!C38</f>
        <v>0</v>
      </c>
      <c r="E218" s="29">
        <f>'SSD_eMMC_non volatile'!D38</f>
        <v>0</v>
      </c>
      <c r="F218" s="29">
        <f>'SSD_eMMC_non volatile'!E38</f>
        <v>0</v>
      </c>
      <c r="G218" s="29" t="str">
        <f>'SSD_eMMC_non volatile'!F38</f>
        <v>X515JF</v>
      </c>
      <c r="H218" s="29" t="str">
        <f>'SSD_eMMC_non volatile'!G38</f>
        <v>Core i5-1035G1</v>
      </c>
      <c r="I218" s="29" t="str">
        <f>'SSD_eMMC_non volatile'!H38</f>
        <v>Local</v>
      </c>
      <c r="J218" s="29" t="str">
        <f>'SSD_eMMC_non volatile'!I38</f>
        <v>TBD</v>
      </c>
      <c r="K218" s="29" t="str">
        <f>'SSD_eMMC_non volatile'!J38</f>
        <v>SSD</v>
      </c>
      <c r="L218" s="29" t="str">
        <f>'SSD_eMMC_non volatile'!K38</f>
        <v>256G</v>
      </c>
      <c r="M218" s="29">
        <f>'SSD_eMMC_non volatile'!L38</f>
        <v>2</v>
      </c>
      <c r="N218" s="29">
        <f>'SSD_eMMC_non volatile'!M38</f>
        <v>0</v>
      </c>
      <c r="O218" s="29">
        <f>'SSD_eMMC_non volatile'!N38</f>
        <v>0</v>
      </c>
      <c r="P218" s="29">
        <f>'SSD_eMMC_non volatile'!P38</f>
        <v>0</v>
      </c>
      <c r="Q218" s="29">
        <f>'SSD_eMMC_non volatile'!Q38</f>
        <v>0</v>
      </c>
      <c r="R218" s="29">
        <f>'SSD_eMMC_non volatile'!R38</f>
        <v>0</v>
      </c>
      <c r="S218" s="29">
        <f>'SSD_eMMC_non volatile'!S38</f>
        <v>0</v>
      </c>
      <c r="T218" s="29">
        <f>'SSD_eMMC_non volatile'!T38</f>
        <v>0</v>
      </c>
      <c r="U218" s="29">
        <f>'SSD_eMMC_non volatile'!U38</f>
        <v>0</v>
      </c>
      <c r="V218" s="29">
        <f>'SSD_eMMC_non volatile'!V38</f>
        <v>0</v>
      </c>
      <c r="W218" s="29">
        <f>'SSD_eMMC_non volatile'!W38</f>
        <v>0</v>
      </c>
      <c r="X218" s="29">
        <f>'SSD_eMMC_non volatile'!X38</f>
        <v>0</v>
      </c>
      <c r="Y218" s="29">
        <f>'SSD_eMMC_non volatile'!Y38</f>
        <v>0</v>
      </c>
      <c r="Z218" s="29" t="e">
        <f>'SSD_eMMC_non volatile'!#REF!</f>
        <v>#REF!</v>
      </c>
      <c r="AA218" s="29">
        <f>'SSD_eMMC_non volatile'!Z38</f>
        <v>0</v>
      </c>
      <c r="AB218" s="29">
        <f>'SSD_eMMC_non volatile'!AA38</f>
        <v>0</v>
      </c>
    </row>
    <row r="219" spans="3:28">
      <c r="C219" s="98" t="s">
        <v>115</v>
      </c>
      <c r="D219" s="29">
        <f>'SSD_eMMC_non volatile'!C43</f>
        <v>0</v>
      </c>
      <c r="E219" s="29" t="str">
        <f>'SSD_eMMC_non volatile'!D43</f>
        <v>FCST</v>
      </c>
      <c r="F219" s="29">
        <f>'SSD_eMMC_non volatile'!E43</f>
        <v>0</v>
      </c>
      <c r="G219" s="29" t="str">
        <f>'SSD_eMMC_non volatile'!F43</f>
        <v>X515EA</v>
      </c>
      <c r="H219" s="29" t="str">
        <f>'SSD_eMMC_non volatile'!G43</f>
        <v>Core I3-1115G4</v>
      </c>
      <c r="I219" s="29">
        <f>'SSD_eMMC_non volatile'!H43</f>
        <v>0</v>
      </c>
      <c r="J219" s="29">
        <f>'SSD_eMMC_non volatile'!I43</f>
        <v>0</v>
      </c>
      <c r="K219" s="29">
        <f>'SSD_eMMC_non volatile'!J43</f>
        <v>0</v>
      </c>
      <c r="L219" s="29" t="str">
        <f>'SSD_eMMC_non volatile'!K43</f>
        <v>256GB SSD</v>
      </c>
      <c r="M219" s="29">
        <f>'SSD_eMMC_non volatile'!L43</f>
        <v>0</v>
      </c>
      <c r="N219" s="29">
        <f>'SSD_eMMC_non volatile'!M43</f>
        <v>0</v>
      </c>
      <c r="O219" s="29">
        <f>'SSD_eMMC_non volatile'!N43</f>
        <v>0</v>
      </c>
      <c r="P219" s="29">
        <f>'SSD_eMMC_non volatile'!P43</f>
        <v>0</v>
      </c>
      <c r="Q219" s="29">
        <f>'SSD_eMMC_non volatile'!Q43</f>
        <v>0</v>
      </c>
      <c r="R219" s="29">
        <f>'SSD_eMMC_non volatile'!R43</f>
        <v>0</v>
      </c>
      <c r="S219" s="29">
        <f>'SSD_eMMC_non volatile'!S43</f>
        <v>0</v>
      </c>
      <c r="T219" s="29">
        <f>'SSD_eMMC_non volatile'!T43</f>
        <v>0</v>
      </c>
      <c r="U219" s="29">
        <f>'SSD_eMMC_non volatile'!U43</f>
        <v>0</v>
      </c>
      <c r="V219" s="29">
        <f>'SSD_eMMC_non volatile'!V43</f>
        <v>0</v>
      </c>
      <c r="W219" s="29">
        <f>'SSD_eMMC_non volatile'!W43</f>
        <v>0</v>
      </c>
      <c r="X219" s="29">
        <f>'SSD_eMMC_non volatile'!X43</f>
        <v>0</v>
      </c>
      <c r="Y219" s="29">
        <f>'SSD_eMMC_non volatile'!Y43</f>
        <v>0</v>
      </c>
      <c r="Z219" s="29" t="e">
        <f>'SSD_eMMC_non volatile'!#REF!</f>
        <v>#REF!</v>
      </c>
      <c r="AA219" s="29">
        <f>'SSD_eMMC_non volatile'!Z43</f>
        <v>0</v>
      </c>
      <c r="AB219" s="29">
        <f>'SSD_eMMC_non volatile'!AA43</f>
        <v>0</v>
      </c>
    </row>
    <row r="220" spans="3:28">
      <c r="C220" s="98" t="s">
        <v>115</v>
      </c>
      <c r="D220" s="29">
        <f>'SSD_eMMC_non volatile'!C44</f>
        <v>0</v>
      </c>
      <c r="E220" s="29">
        <f>'SSD_eMMC_non volatile'!D44</f>
        <v>0</v>
      </c>
      <c r="F220" s="29">
        <f>'SSD_eMMC_non volatile'!E44</f>
        <v>0</v>
      </c>
      <c r="G220" s="29" t="str">
        <f>'SSD_eMMC_non volatile'!F44</f>
        <v>X515EA</v>
      </c>
      <c r="H220" s="29" t="str">
        <f>'SSD_eMMC_non volatile'!G44</f>
        <v>Core I3-1115G4</v>
      </c>
      <c r="I220" s="29" t="str">
        <f>'SSD_eMMC_non volatile'!H44</f>
        <v>Imported</v>
      </c>
      <c r="J220" s="29" t="str">
        <f>'SSD_eMMC_non volatile'!I44</f>
        <v>Asus</v>
      </c>
      <c r="K220" s="29" t="str">
        <f>'SSD_eMMC_non volatile'!J44</f>
        <v>SSD</v>
      </c>
      <c r="L220" s="29" t="str">
        <f>'SSD_eMMC_non volatile'!K44</f>
        <v>256G</v>
      </c>
      <c r="M220" s="29">
        <f>'SSD_eMMC_non volatile'!L44</f>
        <v>1</v>
      </c>
      <c r="N220" s="29" t="str">
        <f>'SSD_eMMC_non volatile'!M44</f>
        <v>03B03-00226300</v>
      </c>
      <c r="O220" s="29">
        <f>'SSD_eMMC_non volatile'!N44</f>
        <v>0</v>
      </c>
      <c r="P220" s="29">
        <f>'SSD_eMMC_non volatile'!P44</f>
        <v>0</v>
      </c>
      <c r="Q220" s="29">
        <f>'SSD_eMMC_non volatile'!Q44</f>
        <v>0</v>
      </c>
      <c r="R220" s="29">
        <f>'SSD_eMMC_non volatile'!R44</f>
        <v>0</v>
      </c>
      <c r="S220" s="29">
        <f>'SSD_eMMC_non volatile'!S44</f>
        <v>0</v>
      </c>
      <c r="T220" s="29">
        <f>'SSD_eMMC_non volatile'!T44</f>
        <v>0</v>
      </c>
      <c r="U220" s="29">
        <f>'SSD_eMMC_non volatile'!U44</f>
        <v>0</v>
      </c>
      <c r="V220" s="29">
        <f>'SSD_eMMC_non volatile'!V44</f>
        <v>0</v>
      </c>
      <c r="W220" s="29">
        <f>'SSD_eMMC_non volatile'!W44</f>
        <v>0</v>
      </c>
      <c r="X220" s="29">
        <f>'SSD_eMMC_non volatile'!X44</f>
        <v>0</v>
      </c>
      <c r="Y220" s="29">
        <f>'SSD_eMMC_non volatile'!Y44</f>
        <v>0</v>
      </c>
      <c r="Z220" s="29" t="e">
        <f>'SSD_eMMC_non volatile'!#REF!</f>
        <v>#REF!</v>
      </c>
      <c r="AA220" s="29">
        <f>'SSD_eMMC_non volatile'!Z44</f>
        <v>0</v>
      </c>
      <c r="AB220" s="29">
        <f>'SSD_eMMC_non volatile'!AA44</f>
        <v>0</v>
      </c>
    </row>
    <row r="221" spans="3:28">
      <c r="C221" s="98" t="s">
        <v>115</v>
      </c>
      <c r="D221" s="29">
        <f>'SSD_eMMC_non volatile'!C45</f>
        <v>0</v>
      </c>
      <c r="E221" s="29">
        <f>'SSD_eMMC_non volatile'!D45</f>
        <v>0</v>
      </c>
      <c r="F221" s="29">
        <f>'SSD_eMMC_non volatile'!E45</f>
        <v>0</v>
      </c>
      <c r="G221" s="29" t="str">
        <f>'SSD_eMMC_non volatile'!F45</f>
        <v>X515EA</v>
      </c>
      <c r="H221" s="29" t="str">
        <f>'SSD_eMMC_non volatile'!G45</f>
        <v>Core I3-1115G4</v>
      </c>
      <c r="I221" s="29" t="str">
        <f>'SSD_eMMC_non volatile'!H45</f>
        <v>Local</v>
      </c>
      <c r="J221" s="29" t="str">
        <f>'SSD_eMMC_non volatile'!I45</f>
        <v>DIGITRON</v>
      </c>
      <c r="K221" s="29" t="str">
        <f>'SSD_eMMC_non volatile'!J45</f>
        <v>SSD</v>
      </c>
      <c r="L221" s="29" t="str">
        <f>'SSD_eMMC_non volatile'!K45</f>
        <v>256G</v>
      </c>
      <c r="M221" s="29">
        <f>'SSD_eMMC_non volatile'!L45</f>
        <v>2</v>
      </c>
      <c r="N221" s="29" t="str">
        <f>'SSD_eMMC_non volatile'!M45</f>
        <v>03B03-00228500</v>
      </c>
      <c r="O221" s="29">
        <f>'SSD_eMMC_non volatile'!N45</f>
        <v>0</v>
      </c>
      <c r="P221" s="29">
        <f>'SSD_eMMC_non volatile'!P45</f>
        <v>0</v>
      </c>
      <c r="Q221" s="29">
        <f>'SSD_eMMC_non volatile'!Q45</f>
        <v>0</v>
      </c>
      <c r="R221" s="29">
        <f>'SSD_eMMC_non volatile'!R45</f>
        <v>0</v>
      </c>
      <c r="S221" s="29">
        <f>'SSD_eMMC_non volatile'!S45</f>
        <v>0</v>
      </c>
      <c r="T221" s="29">
        <f>'SSD_eMMC_non volatile'!T45</f>
        <v>0</v>
      </c>
      <c r="U221" s="29">
        <f>'SSD_eMMC_non volatile'!U45</f>
        <v>0</v>
      </c>
      <c r="V221" s="29">
        <f>'SSD_eMMC_non volatile'!V45</f>
        <v>0</v>
      </c>
      <c r="W221" s="29">
        <f>'SSD_eMMC_non volatile'!W45</f>
        <v>0</v>
      </c>
      <c r="X221" s="29">
        <f>'SSD_eMMC_non volatile'!X45</f>
        <v>0</v>
      </c>
      <c r="Y221" s="29">
        <f>'SSD_eMMC_non volatile'!Y45</f>
        <v>0</v>
      </c>
      <c r="Z221" s="29" t="e">
        <f>'SSD_eMMC_non volatile'!#REF!</f>
        <v>#REF!</v>
      </c>
      <c r="AA221" s="29">
        <f>'SSD_eMMC_non volatile'!Z45</f>
        <v>0</v>
      </c>
      <c r="AB221" s="29">
        <f>'SSD_eMMC_non volatile'!AA45</f>
        <v>0</v>
      </c>
    </row>
    <row r="222" spans="3:28">
      <c r="C222" s="98" t="s">
        <v>115</v>
      </c>
      <c r="D222" s="29">
        <f>'SSD_eMMC_non volatile'!C46</f>
        <v>0</v>
      </c>
      <c r="E222" s="29">
        <f>'SSD_eMMC_non volatile'!D46</f>
        <v>0</v>
      </c>
      <c r="F222" s="29">
        <f>'SSD_eMMC_non volatile'!E46</f>
        <v>0</v>
      </c>
      <c r="G222" s="29" t="str">
        <f>'SSD_eMMC_non volatile'!F46</f>
        <v>X515EA</v>
      </c>
      <c r="H222" s="29" t="str">
        <f>'SSD_eMMC_non volatile'!G46</f>
        <v>Core I3-1115G4</v>
      </c>
      <c r="I222" s="29" t="str">
        <f>'SSD_eMMC_non volatile'!H46</f>
        <v>Local</v>
      </c>
      <c r="J222" s="29" t="str">
        <f>'SSD_eMMC_non volatile'!I46</f>
        <v>ADATA</v>
      </c>
      <c r="K222" s="29" t="str">
        <f>'SSD_eMMC_non volatile'!J46</f>
        <v>SSD</v>
      </c>
      <c r="L222" s="29" t="str">
        <f>'SSD_eMMC_non volatile'!K46</f>
        <v>256G</v>
      </c>
      <c r="M222" s="29">
        <f>'SSD_eMMC_non volatile'!L46</f>
        <v>2</v>
      </c>
      <c r="N222" s="29" t="str">
        <f>'SSD_eMMC_non volatile'!M46</f>
        <v>03B03-00420500</v>
      </c>
      <c r="O222" s="29">
        <f>'SSD_eMMC_non volatile'!N46</f>
        <v>0</v>
      </c>
      <c r="P222" s="29">
        <f>'SSD_eMMC_non volatile'!P46</f>
        <v>0</v>
      </c>
      <c r="Q222" s="29">
        <f>'SSD_eMMC_non volatile'!Q46</f>
        <v>0</v>
      </c>
      <c r="R222" s="29">
        <f>'SSD_eMMC_non volatile'!R46</f>
        <v>0</v>
      </c>
      <c r="S222" s="29">
        <f>'SSD_eMMC_non volatile'!S46</f>
        <v>0</v>
      </c>
      <c r="T222" s="29">
        <f>'SSD_eMMC_non volatile'!T46</f>
        <v>0</v>
      </c>
      <c r="U222" s="29">
        <f>'SSD_eMMC_non volatile'!U46</f>
        <v>0</v>
      </c>
      <c r="V222" s="29">
        <f>'SSD_eMMC_non volatile'!V46</f>
        <v>0</v>
      </c>
      <c r="W222" s="29">
        <f>'SSD_eMMC_non volatile'!W46</f>
        <v>0</v>
      </c>
      <c r="X222" s="29">
        <f>'SSD_eMMC_non volatile'!X46</f>
        <v>0</v>
      </c>
      <c r="Y222" s="29">
        <f>'SSD_eMMC_non volatile'!Y46</f>
        <v>0</v>
      </c>
      <c r="Z222" s="29" t="e">
        <f>'SSD_eMMC_non volatile'!#REF!</f>
        <v>#REF!</v>
      </c>
      <c r="AA222" s="29">
        <f>'SSD_eMMC_non volatile'!Z46</f>
        <v>0</v>
      </c>
      <c r="AB222" s="29">
        <f>'SSD_eMMC_non volatile'!AA46</f>
        <v>0</v>
      </c>
    </row>
    <row r="223" spans="3:28">
      <c r="C223" s="98" t="s">
        <v>115</v>
      </c>
      <c r="D223" s="29">
        <f>'SSD_eMMC_non volatile'!C47</f>
        <v>0</v>
      </c>
      <c r="E223" s="29">
        <f>'SSD_eMMC_non volatile'!D47</f>
        <v>0</v>
      </c>
      <c r="F223" s="29">
        <f>'SSD_eMMC_non volatile'!E47</f>
        <v>0</v>
      </c>
      <c r="G223" s="29" t="str">
        <f>'SSD_eMMC_non volatile'!F47</f>
        <v>X515EA</v>
      </c>
      <c r="H223" s="29" t="str">
        <f>'SSD_eMMC_non volatile'!G47</f>
        <v>Core I3-1115G4</v>
      </c>
      <c r="I223" s="29" t="str">
        <f>'SSD_eMMC_non volatile'!H47</f>
        <v>Local</v>
      </c>
      <c r="J223" s="29" t="str">
        <f>'SSD_eMMC_non volatile'!I47</f>
        <v>TBD</v>
      </c>
      <c r="K223" s="29" t="str">
        <f>'SSD_eMMC_non volatile'!J47</f>
        <v>SSD</v>
      </c>
      <c r="L223" s="29" t="str">
        <f>'SSD_eMMC_non volatile'!K47</f>
        <v>256G</v>
      </c>
      <c r="M223" s="29">
        <f>'SSD_eMMC_non volatile'!L47</f>
        <v>2</v>
      </c>
      <c r="N223" s="29">
        <f>'SSD_eMMC_non volatile'!M47</f>
        <v>0</v>
      </c>
      <c r="O223" s="29">
        <f>'SSD_eMMC_non volatile'!N47</f>
        <v>0</v>
      </c>
      <c r="P223" s="29">
        <f>'SSD_eMMC_non volatile'!P47</f>
        <v>0</v>
      </c>
      <c r="Q223" s="29">
        <f>'SSD_eMMC_non volatile'!Q47</f>
        <v>0</v>
      </c>
      <c r="R223" s="29">
        <f>'SSD_eMMC_non volatile'!R47</f>
        <v>0</v>
      </c>
      <c r="S223" s="29">
        <f>'SSD_eMMC_non volatile'!S47</f>
        <v>0</v>
      </c>
      <c r="T223" s="29">
        <f>'SSD_eMMC_non volatile'!T47</f>
        <v>0</v>
      </c>
      <c r="U223" s="29">
        <f>'SSD_eMMC_non volatile'!U47</f>
        <v>0</v>
      </c>
      <c r="V223" s="29">
        <f>'SSD_eMMC_non volatile'!V47</f>
        <v>0</v>
      </c>
      <c r="W223" s="29">
        <f>'SSD_eMMC_non volatile'!W47</f>
        <v>0</v>
      </c>
      <c r="X223" s="29">
        <f>'SSD_eMMC_non volatile'!X47</f>
        <v>0</v>
      </c>
      <c r="Y223" s="29">
        <f>'SSD_eMMC_non volatile'!Y47</f>
        <v>0</v>
      </c>
      <c r="Z223" s="29" t="e">
        <f>'SSD_eMMC_non volatile'!#REF!</f>
        <v>#REF!</v>
      </c>
      <c r="AA223" s="29">
        <f>'SSD_eMMC_non volatile'!Z47</f>
        <v>0</v>
      </c>
      <c r="AB223" s="29">
        <f>'SSD_eMMC_non volatile'!AA47</f>
        <v>0</v>
      </c>
    </row>
    <row r="224" spans="3:28">
      <c r="C224" s="98" t="s">
        <v>115</v>
      </c>
      <c r="D224" s="29">
        <f>'SSD_eMMC_non volatile'!C48</f>
        <v>0</v>
      </c>
      <c r="E224" s="29" t="str">
        <f>'SSD_eMMC_non volatile'!D48</f>
        <v>FCST</v>
      </c>
      <c r="F224" s="29">
        <f>'SSD_eMMC_non volatile'!E48</f>
        <v>14000</v>
      </c>
      <c r="G224" s="29" t="str">
        <f>'SSD_eMMC_non volatile'!F48</f>
        <v>X515MA</v>
      </c>
      <c r="H224" s="29" t="str">
        <f>'SSD_eMMC_non volatile'!G48</f>
        <v>Celeron N4020</v>
      </c>
      <c r="I224" s="29">
        <f>'SSD_eMMC_non volatile'!H48</f>
        <v>0</v>
      </c>
      <c r="J224" s="29">
        <f>'SSD_eMMC_non volatile'!I48</f>
        <v>0</v>
      </c>
      <c r="K224" s="29">
        <f>'SSD_eMMC_non volatile'!J48</f>
        <v>0</v>
      </c>
      <c r="L224" s="29" t="str">
        <f>'SSD_eMMC_non volatile'!K48</f>
        <v>128GB SSD</v>
      </c>
      <c r="M224" s="29">
        <f>'SSD_eMMC_non volatile'!L48</f>
        <v>0</v>
      </c>
      <c r="N224" s="29">
        <f>'SSD_eMMC_non volatile'!M48</f>
        <v>0</v>
      </c>
      <c r="O224" s="29">
        <f>'SSD_eMMC_non volatile'!N48</f>
        <v>4000</v>
      </c>
      <c r="P224" s="29">
        <f>'SSD_eMMC_non volatile'!P48</f>
        <v>0</v>
      </c>
      <c r="Q224" s="29">
        <f>'SSD_eMMC_non volatile'!Q48</f>
        <v>0</v>
      </c>
      <c r="R224" s="29">
        <f>'SSD_eMMC_non volatile'!R48</f>
        <v>0</v>
      </c>
      <c r="S224" s="29">
        <f>'SSD_eMMC_non volatile'!S48</f>
        <v>0</v>
      </c>
      <c r="T224" s="29">
        <f>'SSD_eMMC_non volatile'!T48</f>
        <v>2000</v>
      </c>
      <c r="U224" s="29">
        <f>'SSD_eMMC_non volatile'!U48</f>
        <v>2000</v>
      </c>
      <c r="V224" s="29">
        <f>'SSD_eMMC_non volatile'!V48</f>
        <v>1000</v>
      </c>
      <c r="W224" s="29">
        <f>'SSD_eMMC_non volatile'!W48</f>
        <v>0</v>
      </c>
      <c r="X224" s="29">
        <f>'SSD_eMMC_non volatile'!X48</f>
        <v>0</v>
      </c>
      <c r="Y224" s="29">
        <f>'SSD_eMMC_non volatile'!Y48</f>
        <v>0</v>
      </c>
      <c r="Z224" s="29" t="e">
        <f>'SSD_eMMC_non volatile'!#REF!</f>
        <v>#REF!</v>
      </c>
      <c r="AA224" s="29">
        <f>'SSD_eMMC_non volatile'!Z48</f>
        <v>0</v>
      </c>
      <c r="AB224" s="29">
        <f>'SSD_eMMC_non volatile'!AA48</f>
        <v>0</v>
      </c>
    </row>
    <row r="225" spans="3:28">
      <c r="C225" s="98" t="s">
        <v>115</v>
      </c>
      <c r="D225" s="29">
        <f>'SSD_eMMC_non volatile'!C49</f>
        <v>0</v>
      </c>
      <c r="E225" s="29">
        <f>'SSD_eMMC_non volatile'!D49</f>
        <v>0</v>
      </c>
      <c r="F225" s="29">
        <f>'SSD_eMMC_non volatile'!E49</f>
        <v>0</v>
      </c>
      <c r="G225" s="29" t="str">
        <f>'SSD_eMMC_non volatile'!F49</f>
        <v>X515MA</v>
      </c>
      <c r="H225" s="29" t="str">
        <f>'SSD_eMMC_non volatile'!G49</f>
        <v>Celeron N4020</v>
      </c>
      <c r="I225" s="29" t="str">
        <f>'SSD_eMMC_non volatile'!H49</f>
        <v>Imported</v>
      </c>
      <c r="J225" s="29" t="str">
        <f>'SSD_eMMC_non volatile'!I49</f>
        <v>Asus</v>
      </c>
      <c r="K225" s="29" t="str">
        <f>'SSD_eMMC_non volatile'!J49</f>
        <v>SSD</v>
      </c>
      <c r="L225" s="29" t="str">
        <f>'SSD_eMMC_non volatile'!K49</f>
        <v>128G</v>
      </c>
      <c r="M225" s="29">
        <f>'SSD_eMMC_non volatile'!L49</f>
        <v>2</v>
      </c>
      <c r="N225" s="29" t="str">
        <f>'SSD_eMMC_non volatile'!M49</f>
        <v>03B03-00232000</v>
      </c>
      <c r="O225" s="29">
        <f>'SSD_eMMC_non volatile'!N49</f>
        <v>4000</v>
      </c>
      <c r="P225" s="29">
        <f>'SSD_eMMC_non volatile'!P49</f>
        <v>0</v>
      </c>
      <c r="Q225" s="29">
        <f>'SSD_eMMC_non volatile'!Q49</f>
        <v>0</v>
      </c>
      <c r="R225" s="29">
        <f>'SSD_eMMC_non volatile'!R49</f>
        <v>0</v>
      </c>
      <c r="S225" s="29">
        <f>'SSD_eMMC_non volatile'!S49</f>
        <v>0</v>
      </c>
      <c r="T225" s="29">
        <f>'SSD_eMMC_non volatile'!T49</f>
        <v>2000</v>
      </c>
      <c r="U225" s="29">
        <f>'SSD_eMMC_non volatile'!U49</f>
        <v>2000</v>
      </c>
      <c r="V225" s="29">
        <f>'SSD_eMMC_non volatile'!V49</f>
        <v>1000</v>
      </c>
      <c r="W225" s="29">
        <f>'SSD_eMMC_non volatile'!W49</f>
        <v>0</v>
      </c>
      <c r="X225" s="29">
        <f>'SSD_eMMC_non volatile'!X49</f>
        <v>0</v>
      </c>
      <c r="Y225" s="29">
        <f>'SSD_eMMC_non volatile'!Y49</f>
        <v>0</v>
      </c>
      <c r="Z225" s="29" t="e">
        <f>'SSD_eMMC_non volatile'!#REF!</f>
        <v>#REF!</v>
      </c>
      <c r="AA225" s="29">
        <f>'SSD_eMMC_non volatile'!Z49</f>
        <v>28000</v>
      </c>
      <c r="AB225" s="29">
        <f>'SSD_eMMC_non volatile'!AA49</f>
        <v>14000</v>
      </c>
    </row>
    <row r="226" spans="3:28">
      <c r="C226" s="98" t="s">
        <v>115</v>
      </c>
      <c r="D226" s="29">
        <f>'SSD_eMMC_non volatile'!C50</f>
        <v>0</v>
      </c>
      <c r="E226" s="29">
        <f>'SSD_eMMC_non volatile'!D50</f>
        <v>0</v>
      </c>
      <c r="F226" s="29">
        <f>'SSD_eMMC_non volatile'!E50</f>
        <v>0</v>
      </c>
      <c r="G226" s="29" t="str">
        <f>'SSD_eMMC_non volatile'!F50</f>
        <v>X515MA</v>
      </c>
      <c r="H226" s="29" t="str">
        <f>'SSD_eMMC_non volatile'!G50</f>
        <v>Celeron N4020</v>
      </c>
      <c r="I226" s="29" t="str">
        <f>'SSD_eMMC_non volatile'!H50</f>
        <v>Local</v>
      </c>
      <c r="J226" s="29" t="str">
        <f>'SSD_eMMC_non volatile'!I50</f>
        <v>TBD</v>
      </c>
      <c r="K226" s="29" t="str">
        <f>'SSD_eMMC_non volatile'!J50</f>
        <v>SSD</v>
      </c>
      <c r="L226" s="29" t="str">
        <f>'SSD_eMMC_non volatile'!K50</f>
        <v>128G</v>
      </c>
      <c r="M226" s="29">
        <f>'SSD_eMMC_non volatile'!L50</f>
        <v>1</v>
      </c>
      <c r="N226" s="29">
        <f>'SSD_eMMC_non volatile'!M50</f>
        <v>0</v>
      </c>
      <c r="O226" s="29">
        <f>'SSD_eMMC_non volatile'!N50</f>
        <v>0</v>
      </c>
      <c r="P226" s="29">
        <f>'SSD_eMMC_non volatile'!P50</f>
        <v>0</v>
      </c>
      <c r="Q226" s="29">
        <f>'SSD_eMMC_non volatile'!Q50</f>
        <v>0</v>
      </c>
      <c r="R226" s="29">
        <f>'SSD_eMMC_non volatile'!R50</f>
        <v>0</v>
      </c>
      <c r="S226" s="29">
        <f>'SSD_eMMC_non volatile'!S50</f>
        <v>0</v>
      </c>
      <c r="T226" s="29">
        <f>'SSD_eMMC_non volatile'!T50</f>
        <v>0</v>
      </c>
      <c r="U226" s="29">
        <f>'SSD_eMMC_non volatile'!U50</f>
        <v>0</v>
      </c>
      <c r="V226" s="29">
        <f>'SSD_eMMC_non volatile'!V50</f>
        <v>0</v>
      </c>
      <c r="W226" s="29">
        <f>'SSD_eMMC_non volatile'!W50</f>
        <v>0</v>
      </c>
      <c r="X226" s="29">
        <f>'SSD_eMMC_non volatile'!X50</f>
        <v>0</v>
      </c>
      <c r="Y226" s="29">
        <f>'SSD_eMMC_non volatile'!Y50</f>
        <v>0</v>
      </c>
      <c r="Z226" s="29" t="e">
        <f>'SSD_eMMC_non volatile'!#REF!</f>
        <v>#REF!</v>
      </c>
      <c r="AA226" s="29">
        <f>'SSD_eMMC_non volatile'!Z50</f>
        <v>0</v>
      </c>
      <c r="AB226" s="29">
        <f>'SSD_eMMC_non volatile'!AA50</f>
        <v>0</v>
      </c>
    </row>
    <row r="227" spans="3:28">
      <c r="C227" s="98" t="s">
        <v>115</v>
      </c>
      <c r="D227" s="29">
        <f>'SSD_eMMC_non volatile'!C51</f>
        <v>0</v>
      </c>
      <c r="E227" s="29" t="str">
        <f>'SSD_eMMC_non volatile'!D51</f>
        <v>FCST</v>
      </c>
      <c r="F227" s="29">
        <f>'SSD_eMMC_non volatile'!E51</f>
        <v>100</v>
      </c>
      <c r="G227" s="29" t="str">
        <f>'SSD_eMMC_non volatile'!F51</f>
        <v>X515MA</v>
      </c>
      <c r="H227" s="29" t="str">
        <f>'SSD_eMMC_non volatile'!G51</f>
        <v>Celeron N4020</v>
      </c>
      <c r="I227" s="29">
        <f>'SSD_eMMC_non volatile'!H51</f>
        <v>0</v>
      </c>
      <c r="J227" s="29">
        <f>'SSD_eMMC_non volatile'!I51</f>
        <v>0</v>
      </c>
      <c r="K227" s="29">
        <f>'SSD_eMMC_non volatile'!J51</f>
        <v>0</v>
      </c>
      <c r="L227" s="29" t="str">
        <f>'SSD_eMMC_non volatile'!K51</f>
        <v>256GB SSD</v>
      </c>
      <c r="M227" s="29">
        <f>'SSD_eMMC_non volatile'!L51</f>
        <v>0</v>
      </c>
      <c r="N227" s="29">
        <f>'SSD_eMMC_non volatile'!M51</f>
        <v>0</v>
      </c>
      <c r="O227" s="29">
        <f>'SSD_eMMC_non volatile'!N51</f>
        <v>0</v>
      </c>
      <c r="P227" s="29">
        <f>'SSD_eMMC_non volatile'!P51</f>
        <v>0</v>
      </c>
      <c r="Q227" s="29">
        <f>'SSD_eMMC_non volatile'!Q51</f>
        <v>0</v>
      </c>
      <c r="R227" s="29">
        <f>'SSD_eMMC_non volatile'!R51</f>
        <v>0</v>
      </c>
      <c r="S227" s="29">
        <f>'SSD_eMMC_non volatile'!S51</f>
        <v>0</v>
      </c>
      <c r="T227" s="29">
        <f>'SSD_eMMC_non volatile'!T51</f>
        <v>0</v>
      </c>
      <c r="U227" s="29">
        <f>'SSD_eMMC_non volatile'!U51</f>
        <v>0</v>
      </c>
      <c r="V227" s="29">
        <f>'SSD_eMMC_non volatile'!V51</f>
        <v>0</v>
      </c>
      <c r="W227" s="29">
        <f>'SSD_eMMC_non volatile'!W51</f>
        <v>0</v>
      </c>
      <c r="X227" s="29">
        <f>'SSD_eMMC_non volatile'!X51</f>
        <v>0</v>
      </c>
      <c r="Y227" s="29">
        <f>'SSD_eMMC_non volatile'!Y51</f>
        <v>0</v>
      </c>
      <c r="Z227" s="29" t="e">
        <f>'SSD_eMMC_non volatile'!#REF!</f>
        <v>#REF!</v>
      </c>
      <c r="AA227" s="29">
        <f>'SSD_eMMC_non volatile'!Z51</f>
        <v>0</v>
      </c>
      <c r="AB227" s="29">
        <f>'SSD_eMMC_non volatile'!AA51</f>
        <v>0</v>
      </c>
    </row>
    <row r="228" spans="3:28">
      <c r="C228" s="98" t="s">
        <v>115</v>
      </c>
      <c r="D228" s="29">
        <f>'SSD_eMMC_non volatile'!C52</f>
        <v>0</v>
      </c>
      <c r="E228" s="29">
        <f>'SSD_eMMC_non volatile'!D52</f>
        <v>0</v>
      </c>
      <c r="F228" s="29">
        <f>'SSD_eMMC_non volatile'!E52</f>
        <v>0</v>
      </c>
      <c r="G228" s="29" t="str">
        <f>'SSD_eMMC_non volatile'!F52</f>
        <v>X515MA</v>
      </c>
      <c r="H228" s="29" t="str">
        <f>'SSD_eMMC_non volatile'!G52</f>
        <v>Celeron N4020</v>
      </c>
      <c r="I228" s="29" t="str">
        <f>'SSD_eMMC_non volatile'!H52</f>
        <v>Imported</v>
      </c>
      <c r="J228" s="29" t="str">
        <f>'SSD_eMMC_non volatile'!I52</f>
        <v>Asus</v>
      </c>
      <c r="K228" s="29" t="str">
        <f>'SSD_eMMC_non volatile'!J52</f>
        <v>SSD</v>
      </c>
      <c r="L228" s="29" t="str">
        <f>'SSD_eMMC_non volatile'!K52</f>
        <v>256G</v>
      </c>
      <c r="M228" s="29">
        <f>'SSD_eMMC_non volatile'!L52</f>
        <v>1</v>
      </c>
      <c r="N228" s="29" t="str">
        <f>'SSD_eMMC_non volatile'!M52</f>
        <v>03B03-00223600</v>
      </c>
      <c r="O228" s="29">
        <f>'SSD_eMMC_non volatile'!N52</f>
        <v>0</v>
      </c>
      <c r="P228" s="29">
        <f>'SSD_eMMC_non volatile'!P52</f>
        <v>0</v>
      </c>
      <c r="Q228" s="29">
        <f>'SSD_eMMC_non volatile'!Q52</f>
        <v>0</v>
      </c>
      <c r="R228" s="29">
        <f>'SSD_eMMC_non volatile'!R52</f>
        <v>0</v>
      </c>
      <c r="S228" s="29">
        <f>'SSD_eMMC_non volatile'!S52</f>
        <v>0</v>
      </c>
      <c r="T228" s="29">
        <f>'SSD_eMMC_non volatile'!T52</f>
        <v>0</v>
      </c>
      <c r="U228" s="29">
        <f>'SSD_eMMC_non volatile'!U52</f>
        <v>0</v>
      </c>
      <c r="V228" s="29">
        <f>'SSD_eMMC_non volatile'!V52</f>
        <v>0</v>
      </c>
      <c r="W228" s="29">
        <f>'SSD_eMMC_non volatile'!W52</f>
        <v>0</v>
      </c>
      <c r="X228" s="29">
        <f>'SSD_eMMC_non volatile'!X52</f>
        <v>0</v>
      </c>
      <c r="Y228" s="29">
        <f>'SSD_eMMC_non volatile'!Y52</f>
        <v>0</v>
      </c>
      <c r="Z228" s="29" t="e">
        <f>'SSD_eMMC_non volatile'!#REF!</f>
        <v>#REF!</v>
      </c>
      <c r="AA228" s="29">
        <f>'SSD_eMMC_non volatile'!Z52</f>
        <v>100</v>
      </c>
      <c r="AB228" s="29">
        <f>'SSD_eMMC_non volatile'!AA52</f>
        <v>100</v>
      </c>
    </row>
    <row r="229" spans="3:28">
      <c r="C229" s="98" t="s">
        <v>115</v>
      </c>
      <c r="D229" s="29">
        <f>'SSD_eMMC_non volatile'!C53</f>
        <v>0</v>
      </c>
      <c r="E229" s="29">
        <f>'SSD_eMMC_non volatile'!D53</f>
        <v>0</v>
      </c>
      <c r="F229" s="29">
        <f>'SSD_eMMC_non volatile'!E53</f>
        <v>0</v>
      </c>
      <c r="G229" s="29" t="str">
        <f>'SSD_eMMC_non volatile'!F53</f>
        <v>X515MA</v>
      </c>
      <c r="H229" s="29" t="str">
        <f>'SSD_eMMC_non volatile'!G53</f>
        <v>Celeron N4020</v>
      </c>
      <c r="I229" s="29" t="str">
        <f>'SSD_eMMC_non volatile'!H53</f>
        <v>Local</v>
      </c>
      <c r="J229" s="29" t="str">
        <f>'SSD_eMMC_non volatile'!I53</f>
        <v>TBD</v>
      </c>
      <c r="K229" s="29" t="str">
        <f>'SSD_eMMC_non volatile'!J53</f>
        <v>SSD</v>
      </c>
      <c r="L229" s="29" t="str">
        <f>'SSD_eMMC_non volatile'!K53</f>
        <v>256G</v>
      </c>
      <c r="M229" s="29">
        <f>'SSD_eMMC_non volatile'!L53</f>
        <v>2</v>
      </c>
      <c r="N229" s="29">
        <f>'SSD_eMMC_non volatile'!M53</f>
        <v>0</v>
      </c>
      <c r="O229" s="29">
        <f>'SSD_eMMC_non volatile'!N53</f>
        <v>0</v>
      </c>
      <c r="P229" s="29">
        <f>'SSD_eMMC_non volatile'!P53</f>
        <v>0</v>
      </c>
      <c r="Q229" s="29">
        <f>'SSD_eMMC_non volatile'!Q53</f>
        <v>0</v>
      </c>
      <c r="R229" s="29">
        <f>'SSD_eMMC_non volatile'!R53</f>
        <v>0</v>
      </c>
      <c r="S229" s="29">
        <f>'SSD_eMMC_non volatile'!S53</f>
        <v>0</v>
      </c>
      <c r="T229" s="29">
        <f>'SSD_eMMC_non volatile'!T53</f>
        <v>0</v>
      </c>
      <c r="U229" s="29">
        <f>'SSD_eMMC_non volatile'!U53</f>
        <v>0</v>
      </c>
      <c r="V229" s="29">
        <f>'SSD_eMMC_non volatile'!V53</f>
        <v>0</v>
      </c>
      <c r="W229" s="29">
        <f>'SSD_eMMC_non volatile'!W53</f>
        <v>0</v>
      </c>
      <c r="X229" s="29">
        <f>'SSD_eMMC_non volatile'!X53</f>
        <v>0</v>
      </c>
      <c r="Y229" s="29">
        <f>'SSD_eMMC_non volatile'!Y53</f>
        <v>0</v>
      </c>
      <c r="Z229" s="29" t="e">
        <f>'SSD_eMMC_non volatile'!#REF!</f>
        <v>#REF!</v>
      </c>
      <c r="AA229" s="29">
        <f>'SSD_eMMC_non volatile'!Z53</f>
        <v>0</v>
      </c>
      <c r="AB229" s="29">
        <f>'SSD_eMMC_non volatile'!AA53</f>
        <v>0</v>
      </c>
    </row>
    <row r="230" spans="3:28">
      <c r="C230" s="98" t="s">
        <v>115</v>
      </c>
      <c r="D230" s="29">
        <f>'SSD_eMMC_non volatile'!C54</f>
        <v>0</v>
      </c>
      <c r="E230" s="29" t="str">
        <f>'SSD_eMMC_non volatile'!D54</f>
        <v>FCST</v>
      </c>
      <c r="F230" s="29">
        <f>'SSD_eMMC_non volatile'!E54</f>
        <v>17000</v>
      </c>
      <c r="G230" s="29" t="str">
        <f>'SSD_eMMC_non volatile'!F54</f>
        <v>M515DA</v>
      </c>
      <c r="H230" s="29" t="str">
        <f>'SSD_eMMC_non volatile'!G54</f>
        <v>Ryzen 5 3500U</v>
      </c>
      <c r="I230" s="29">
        <f>'SSD_eMMC_non volatile'!H54</f>
        <v>0</v>
      </c>
      <c r="J230" s="29">
        <f>'SSD_eMMC_non volatile'!I54</f>
        <v>0</v>
      </c>
      <c r="K230" s="29">
        <f>'SSD_eMMC_non volatile'!J54</f>
        <v>0</v>
      </c>
      <c r="L230" s="29" t="str">
        <f>'SSD_eMMC_non volatile'!K54</f>
        <v>256GB SSD</v>
      </c>
      <c r="M230" s="29">
        <f>'SSD_eMMC_non volatile'!L54</f>
        <v>0</v>
      </c>
      <c r="N230" s="29">
        <f>'SSD_eMMC_non volatile'!M54</f>
        <v>0</v>
      </c>
      <c r="O230" s="29">
        <f>'SSD_eMMC_non volatile'!N54</f>
        <v>1500</v>
      </c>
      <c r="P230" s="29">
        <f>'SSD_eMMC_non volatile'!P54</f>
        <v>4000</v>
      </c>
      <c r="Q230" s="29">
        <f>'SSD_eMMC_non volatile'!Q54</f>
        <v>4000</v>
      </c>
      <c r="R230" s="29">
        <f>'SSD_eMMC_non volatile'!R54</f>
        <v>3800</v>
      </c>
      <c r="S230" s="29">
        <f>'SSD_eMMC_non volatile'!S54</f>
        <v>0</v>
      </c>
      <c r="T230" s="29">
        <f>'SSD_eMMC_non volatile'!T54</f>
        <v>0</v>
      </c>
      <c r="U230" s="29">
        <f>'SSD_eMMC_non volatile'!U54</f>
        <v>0</v>
      </c>
      <c r="V230" s="29">
        <f>'SSD_eMMC_non volatile'!V54</f>
        <v>0</v>
      </c>
      <c r="W230" s="29">
        <f>'SSD_eMMC_non volatile'!W54</f>
        <v>0</v>
      </c>
      <c r="X230" s="29">
        <f>'SSD_eMMC_non volatile'!X54</f>
        <v>0</v>
      </c>
      <c r="Y230" s="29">
        <f>'SSD_eMMC_non volatile'!Y54</f>
        <v>0</v>
      </c>
      <c r="Z230" s="29" t="e">
        <f>'SSD_eMMC_non volatile'!#REF!</f>
        <v>#REF!</v>
      </c>
      <c r="AA230" s="29">
        <f>'SSD_eMMC_non volatile'!Z54</f>
        <v>0</v>
      </c>
      <c r="AB230" s="29">
        <f>'SSD_eMMC_non volatile'!AA54</f>
        <v>0</v>
      </c>
    </row>
    <row r="231" spans="3:28">
      <c r="C231" s="98" t="s">
        <v>115</v>
      </c>
      <c r="D231" s="29">
        <f>'SSD_eMMC_non volatile'!C55</f>
        <v>0</v>
      </c>
      <c r="E231" s="29">
        <f>'SSD_eMMC_non volatile'!D55</f>
        <v>0</v>
      </c>
      <c r="F231" s="29">
        <f>'SSD_eMMC_non volatile'!E55</f>
        <v>0</v>
      </c>
      <c r="G231" s="29" t="str">
        <f>'SSD_eMMC_non volatile'!F55</f>
        <v>M515DA</v>
      </c>
      <c r="H231" s="29" t="str">
        <f>'SSD_eMMC_non volatile'!G55</f>
        <v>Ryzen 5 3500U</v>
      </c>
      <c r="I231" s="29" t="str">
        <f>'SSD_eMMC_non volatile'!H55</f>
        <v>Imported</v>
      </c>
      <c r="J231" s="29" t="str">
        <f>'SSD_eMMC_non volatile'!I55</f>
        <v>Asus</v>
      </c>
      <c r="K231" s="29" t="str">
        <f>'SSD_eMMC_non volatile'!J55</f>
        <v>SSD</v>
      </c>
      <c r="L231" s="29" t="str">
        <f>'SSD_eMMC_non volatile'!K55</f>
        <v>256G</v>
      </c>
      <c r="M231" s="29">
        <f>'SSD_eMMC_non volatile'!L55</f>
        <v>1</v>
      </c>
      <c r="N231" s="29" t="str">
        <f>'SSD_eMMC_non volatile'!M55</f>
        <v>03B03-00223600</v>
      </c>
      <c r="O231" s="29">
        <f>'SSD_eMMC_non volatile'!N55</f>
        <v>0</v>
      </c>
      <c r="P231" s="29">
        <f>'SSD_eMMC_non volatile'!P55</f>
        <v>0</v>
      </c>
      <c r="Q231" s="29">
        <f>'SSD_eMMC_non volatile'!Q55</f>
        <v>0</v>
      </c>
      <c r="R231" s="29">
        <f>'SSD_eMMC_non volatile'!R55</f>
        <v>0</v>
      </c>
      <c r="S231" s="29">
        <f>'SSD_eMMC_non volatile'!S55</f>
        <v>0</v>
      </c>
      <c r="T231" s="29">
        <f>'SSD_eMMC_non volatile'!T55</f>
        <v>0</v>
      </c>
      <c r="U231" s="29">
        <f>'SSD_eMMC_non volatile'!U55</f>
        <v>0</v>
      </c>
      <c r="V231" s="29">
        <f>'SSD_eMMC_non volatile'!V55</f>
        <v>0</v>
      </c>
      <c r="W231" s="29">
        <f>'SSD_eMMC_non volatile'!W55</f>
        <v>0</v>
      </c>
      <c r="X231" s="29">
        <f>'SSD_eMMC_non volatile'!X55</f>
        <v>0</v>
      </c>
      <c r="Y231" s="29">
        <f>'SSD_eMMC_non volatile'!Y55</f>
        <v>0</v>
      </c>
      <c r="Z231" s="29" t="e">
        <f>'SSD_eMMC_non volatile'!#REF!</f>
        <v>#REF!</v>
      </c>
      <c r="AA231" s="29">
        <f>'SSD_eMMC_non volatile'!Z55</f>
        <v>0</v>
      </c>
      <c r="AB231" s="29">
        <f>'SSD_eMMC_non volatile'!AA55</f>
        <v>0</v>
      </c>
    </row>
    <row r="232" spans="3:28">
      <c r="C232" s="98" t="s">
        <v>115</v>
      </c>
      <c r="D232" s="29">
        <f>'SSD_eMMC_non volatile'!C58</f>
        <v>0</v>
      </c>
      <c r="E232" s="29">
        <f>'SSD_eMMC_non volatile'!D58</f>
        <v>0</v>
      </c>
      <c r="F232" s="29">
        <f>'SSD_eMMC_non volatile'!E58</f>
        <v>0</v>
      </c>
      <c r="G232" s="29" t="str">
        <f>'SSD_eMMC_non volatile'!F58</f>
        <v>M515DA</v>
      </c>
      <c r="H232" s="29" t="str">
        <f>'SSD_eMMC_non volatile'!G58</f>
        <v>Ryzen 5 3500U</v>
      </c>
      <c r="I232" s="29" t="str">
        <f>'SSD_eMMC_non volatile'!H58</f>
        <v>Local</v>
      </c>
      <c r="J232" s="29" t="str">
        <f>'SSD_eMMC_non volatile'!I58</f>
        <v>MULTILASER</v>
      </c>
      <c r="K232" s="29" t="str">
        <f>'SSD_eMMC_non volatile'!J58</f>
        <v>SSD</v>
      </c>
      <c r="L232" s="29" t="str">
        <f>'SSD_eMMC_non volatile'!K58</f>
        <v>256G</v>
      </c>
      <c r="M232" s="29">
        <f>'SSD_eMMC_non volatile'!L58</f>
        <v>2</v>
      </c>
      <c r="N232" s="29" t="str">
        <f>'SSD_eMMC_non volatile'!M58</f>
        <v>03B03-00227200</v>
      </c>
      <c r="O232" s="29">
        <f>'SSD_eMMC_non volatile'!N58</f>
        <v>0</v>
      </c>
      <c r="P232" s="29">
        <f>'SSD_eMMC_non volatile'!P58</f>
        <v>0</v>
      </c>
      <c r="Q232" s="29">
        <f>'SSD_eMMC_non volatile'!Q58</f>
        <v>0</v>
      </c>
      <c r="R232" s="29">
        <f>'SSD_eMMC_non volatile'!R58</f>
        <v>0</v>
      </c>
      <c r="S232" s="29">
        <f>'SSD_eMMC_non volatile'!S58</f>
        <v>0</v>
      </c>
      <c r="T232" s="29">
        <f>'SSD_eMMC_non volatile'!T58</f>
        <v>0</v>
      </c>
      <c r="U232" s="29">
        <f>'SSD_eMMC_non volatile'!U58</f>
        <v>0</v>
      </c>
      <c r="V232" s="29">
        <f>'SSD_eMMC_non volatile'!V58</f>
        <v>0</v>
      </c>
      <c r="W232" s="29">
        <f>'SSD_eMMC_non volatile'!W58</f>
        <v>0</v>
      </c>
      <c r="X232" s="29">
        <f>'SSD_eMMC_non volatile'!X58</f>
        <v>0</v>
      </c>
      <c r="Y232" s="29">
        <f>'SSD_eMMC_non volatile'!Y58</f>
        <v>0</v>
      </c>
      <c r="Z232" s="29" t="e">
        <f>'SSD_eMMC_non volatile'!#REF!</f>
        <v>#REF!</v>
      </c>
      <c r="AA232" s="29">
        <f>'SSD_eMMC_non volatile'!Z58</f>
        <v>0</v>
      </c>
      <c r="AB232" s="29">
        <f>'SSD_eMMC_non volatile'!AA58</f>
        <v>0</v>
      </c>
    </row>
    <row r="233" spans="3:28">
      <c r="C233" s="98" t="s">
        <v>115</v>
      </c>
      <c r="D233" s="29">
        <f>'SSD_eMMC_non volatile'!C64</f>
        <v>0</v>
      </c>
      <c r="E233" s="29" t="str">
        <f>'SSD_eMMC_non volatile'!D64</f>
        <v>FCST</v>
      </c>
      <c r="F233" s="29">
        <f>'SSD_eMMC_non volatile'!E64</f>
        <v>2600</v>
      </c>
      <c r="G233" s="29" t="str">
        <f>'SSD_eMMC_non volatile'!F64</f>
        <v>E510MA</v>
      </c>
      <c r="H233" s="29" t="str">
        <f>'SSD_eMMC_non volatile'!G64</f>
        <v>Celeron N4020</v>
      </c>
      <c r="I233" s="29">
        <f>'SSD_eMMC_non volatile'!H64</f>
        <v>0</v>
      </c>
      <c r="J233" s="29">
        <f>'SSD_eMMC_non volatile'!I64</f>
        <v>0</v>
      </c>
      <c r="K233" s="29">
        <f>'SSD_eMMC_non volatile'!J64</f>
        <v>0</v>
      </c>
      <c r="L233" s="29" t="str">
        <f>'SSD_eMMC_non volatile'!K64</f>
        <v>128GB eMMC</v>
      </c>
      <c r="M233" s="29">
        <f>'SSD_eMMC_non volatile'!L64</f>
        <v>0</v>
      </c>
      <c r="N233" s="29">
        <f>'SSD_eMMC_non volatile'!M64</f>
        <v>0</v>
      </c>
      <c r="O233" s="29">
        <f>'SSD_eMMC_non volatile'!N64</f>
        <v>200</v>
      </c>
      <c r="P233" s="29">
        <f>'SSD_eMMC_non volatile'!P64</f>
        <v>0</v>
      </c>
      <c r="Q233" s="29">
        <f>'SSD_eMMC_non volatile'!Q64</f>
        <v>0</v>
      </c>
      <c r="R233" s="29">
        <f>'SSD_eMMC_non volatile'!R64</f>
        <v>600</v>
      </c>
      <c r="S233" s="29">
        <f>'SSD_eMMC_non volatile'!S64</f>
        <v>600</v>
      </c>
      <c r="T233" s="29">
        <f>'SSD_eMMC_non volatile'!T64</f>
        <v>0</v>
      </c>
      <c r="U233" s="29">
        <f>'SSD_eMMC_non volatile'!U64</f>
        <v>0</v>
      </c>
      <c r="V233" s="29">
        <f>'SSD_eMMC_non volatile'!V64</f>
        <v>0</v>
      </c>
      <c r="W233" s="29">
        <f>'SSD_eMMC_non volatile'!W64</f>
        <v>0</v>
      </c>
      <c r="X233" s="29">
        <f>'SSD_eMMC_non volatile'!X64</f>
        <v>0</v>
      </c>
      <c r="Y233" s="29">
        <f>'SSD_eMMC_non volatile'!Y64</f>
        <v>0</v>
      </c>
      <c r="Z233" s="29" t="e">
        <f>'SSD_eMMC_non volatile'!#REF!</f>
        <v>#REF!</v>
      </c>
      <c r="AA233" s="29">
        <f>'SSD_eMMC_non volatile'!Z64</f>
        <v>0</v>
      </c>
      <c r="AB233" s="29">
        <f>'SSD_eMMC_non volatile'!AA64</f>
        <v>0</v>
      </c>
    </row>
    <row r="234" spans="3:28">
      <c r="C234" s="98" t="s">
        <v>115</v>
      </c>
      <c r="D234" s="29">
        <f>'SSD_eMMC_non volatile'!C65</f>
        <v>0</v>
      </c>
      <c r="E234" s="29">
        <f>'SSD_eMMC_non volatile'!D65</f>
        <v>0</v>
      </c>
      <c r="F234" s="29">
        <f>'SSD_eMMC_non volatile'!E65</f>
        <v>0</v>
      </c>
      <c r="G234" s="29" t="str">
        <f>'SSD_eMMC_non volatile'!F65</f>
        <v>E510MA</v>
      </c>
      <c r="H234" s="29" t="str">
        <f>'SSD_eMMC_non volatile'!G65</f>
        <v>Celeron N4020</v>
      </c>
      <c r="I234" s="29" t="str">
        <f>'SSD_eMMC_non volatile'!H65</f>
        <v>Imported</v>
      </c>
      <c r="J234" s="29" t="str">
        <f>'SSD_eMMC_non volatile'!I65</f>
        <v>Asus</v>
      </c>
      <c r="K234" s="29" t="str">
        <f>'SSD_eMMC_non volatile'!J65</f>
        <v>eMMC</v>
      </c>
      <c r="L234" s="29" t="str">
        <f>'SSD_eMMC_non volatile'!K65</f>
        <v>128G</v>
      </c>
      <c r="M234" s="29">
        <f>'SSD_eMMC_non volatile'!L65</f>
        <v>1</v>
      </c>
      <c r="N234" s="29" t="str">
        <f>'SSD_eMMC_non volatile'!M65</f>
        <v>03100-00153600
03100-00155700</v>
      </c>
      <c r="O234" s="29">
        <f>'SSD_eMMC_non volatile'!N65</f>
        <v>200</v>
      </c>
      <c r="P234" s="29">
        <f>'SSD_eMMC_non volatile'!P65</f>
        <v>0</v>
      </c>
      <c r="Q234" s="29">
        <f>'SSD_eMMC_non volatile'!Q65</f>
        <v>0</v>
      </c>
      <c r="R234" s="29">
        <f>'SSD_eMMC_non volatile'!R65</f>
        <v>600</v>
      </c>
      <c r="S234" s="29">
        <f>'SSD_eMMC_non volatile'!S65</f>
        <v>600</v>
      </c>
      <c r="T234" s="29">
        <f>'SSD_eMMC_non volatile'!T65</f>
        <v>0</v>
      </c>
      <c r="U234" s="29">
        <f>'SSD_eMMC_non volatile'!U65</f>
        <v>0</v>
      </c>
      <c r="V234" s="29">
        <f>'SSD_eMMC_non volatile'!V65</f>
        <v>0</v>
      </c>
      <c r="W234" s="29">
        <f>'SSD_eMMC_non volatile'!W65</f>
        <v>0</v>
      </c>
      <c r="X234" s="29">
        <f>'SSD_eMMC_non volatile'!X65</f>
        <v>0</v>
      </c>
      <c r="Y234" s="29">
        <f>'SSD_eMMC_non volatile'!Y65</f>
        <v>0</v>
      </c>
      <c r="Z234" s="29" t="e">
        <f>'SSD_eMMC_non volatile'!#REF!</f>
        <v>#REF!</v>
      </c>
      <c r="AA234" s="29">
        <f>'SSD_eMMC_non volatile'!Z65</f>
        <v>2600</v>
      </c>
      <c r="AB234" s="29">
        <f>'SSD_eMMC_non volatile'!AA65</f>
        <v>2600</v>
      </c>
    </row>
    <row r="235" spans="3:28">
      <c r="C235" s="98" t="s">
        <v>115</v>
      </c>
      <c r="D235" s="29">
        <f>'SSD_eMMC_non volatile'!C66</f>
        <v>0</v>
      </c>
      <c r="E235" s="29">
        <f>'SSD_eMMC_non volatile'!D66</f>
        <v>0</v>
      </c>
      <c r="F235" s="29">
        <f>'SSD_eMMC_non volatile'!E66</f>
        <v>0</v>
      </c>
      <c r="G235" s="29" t="str">
        <f>'SSD_eMMC_non volatile'!F66</f>
        <v>E510MA</v>
      </c>
      <c r="H235" s="29" t="str">
        <f>'SSD_eMMC_non volatile'!G66</f>
        <v>Celeron N4020</v>
      </c>
      <c r="I235" s="29" t="str">
        <f>'SSD_eMMC_non volatile'!H66</f>
        <v>Local</v>
      </c>
      <c r="J235" s="29" t="str">
        <f>'SSD_eMMC_non volatile'!I66</f>
        <v>TBD</v>
      </c>
      <c r="K235" s="29" t="str">
        <f>'SSD_eMMC_non volatile'!J66</f>
        <v>eMMC</v>
      </c>
      <c r="L235" s="29" t="str">
        <f>'SSD_eMMC_non volatile'!K66</f>
        <v>128G</v>
      </c>
      <c r="M235" s="29">
        <f>'SSD_eMMC_non volatile'!L66</f>
        <v>1</v>
      </c>
      <c r="N235" s="29">
        <f>'SSD_eMMC_non volatile'!M66</f>
        <v>0</v>
      </c>
      <c r="O235" s="29">
        <f>'SSD_eMMC_non volatile'!N66</f>
        <v>0</v>
      </c>
      <c r="P235" s="29">
        <f>'SSD_eMMC_non volatile'!P66</f>
        <v>0</v>
      </c>
      <c r="Q235" s="29">
        <f>'SSD_eMMC_non volatile'!Q66</f>
        <v>0</v>
      </c>
      <c r="R235" s="29">
        <f>'SSD_eMMC_non volatile'!R66</f>
        <v>0</v>
      </c>
      <c r="S235" s="29">
        <f>'SSD_eMMC_non volatile'!S66</f>
        <v>0</v>
      </c>
      <c r="T235" s="29">
        <f>'SSD_eMMC_non volatile'!T66</f>
        <v>0</v>
      </c>
      <c r="U235" s="29">
        <f>'SSD_eMMC_non volatile'!U66</f>
        <v>0</v>
      </c>
      <c r="V235" s="29">
        <f>'SSD_eMMC_non volatile'!V66</f>
        <v>0</v>
      </c>
      <c r="W235" s="29">
        <f>'SSD_eMMC_non volatile'!W66</f>
        <v>0</v>
      </c>
      <c r="X235" s="29">
        <f>'SSD_eMMC_non volatile'!X66</f>
        <v>0</v>
      </c>
      <c r="Y235" s="29">
        <f>'SSD_eMMC_non volatile'!Y66</f>
        <v>0</v>
      </c>
      <c r="Z235" s="29" t="e">
        <f>'SSD_eMMC_non volatile'!#REF!</f>
        <v>#REF!</v>
      </c>
      <c r="AA235" s="29">
        <f>'SSD_eMMC_non volatile'!Z66</f>
        <v>0</v>
      </c>
      <c r="AB235" s="29">
        <f>'SSD_eMMC_non volatile'!AA66</f>
        <v>0</v>
      </c>
    </row>
    <row r="236" spans="3:28">
      <c r="C236" s="98" t="s">
        <v>115</v>
      </c>
      <c r="D236" s="29">
        <f>'SSD_eMMC_non volatile'!C67</f>
        <v>0</v>
      </c>
      <c r="E236" s="29" t="str">
        <f>'SSD_eMMC_non volatile'!D67</f>
        <v>FCST</v>
      </c>
      <c r="F236" s="29">
        <f>'SSD_eMMC_non volatile'!E67</f>
        <v>0</v>
      </c>
      <c r="G236" s="29" t="str">
        <f>'SSD_eMMC_non volatile'!F67</f>
        <v>E410MA</v>
      </c>
      <c r="H236" s="29" t="str">
        <f>'SSD_eMMC_non volatile'!G67</f>
        <v>Celeron N4020</v>
      </c>
      <c r="I236" s="29">
        <f>'SSD_eMMC_non volatile'!H67</f>
        <v>0</v>
      </c>
      <c r="J236" s="29">
        <f>'SSD_eMMC_non volatile'!I67</f>
        <v>0</v>
      </c>
      <c r="K236" s="29">
        <f>'SSD_eMMC_non volatile'!J67</f>
        <v>0</v>
      </c>
      <c r="L236" s="29" t="str">
        <f>'SSD_eMMC_non volatile'!K67</f>
        <v>128GB SSD</v>
      </c>
      <c r="M236" s="29">
        <f>'SSD_eMMC_non volatile'!L67</f>
        <v>0</v>
      </c>
      <c r="N236" s="29">
        <f>'SSD_eMMC_non volatile'!M67</f>
        <v>0</v>
      </c>
      <c r="O236" s="29">
        <f>'SSD_eMMC_non volatile'!N67</f>
        <v>0</v>
      </c>
      <c r="P236" s="29">
        <f>'SSD_eMMC_non volatile'!P67</f>
        <v>0</v>
      </c>
      <c r="Q236" s="29">
        <f>'SSD_eMMC_non volatile'!Q67</f>
        <v>0</v>
      </c>
      <c r="R236" s="29">
        <f>'SSD_eMMC_non volatile'!R67</f>
        <v>0</v>
      </c>
      <c r="S236" s="29">
        <f>'SSD_eMMC_non volatile'!S67</f>
        <v>0</v>
      </c>
      <c r="T236" s="29">
        <f>'SSD_eMMC_non volatile'!T67</f>
        <v>0</v>
      </c>
      <c r="U236" s="29">
        <f>'SSD_eMMC_non volatile'!U67</f>
        <v>0</v>
      </c>
      <c r="V236" s="29">
        <f>'SSD_eMMC_non volatile'!V67</f>
        <v>0</v>
      </c>
      <c r="W236" s="29">
        <f>'SSD_eMMC_non volatile'!W67</f>
        <v>0</v>
      </c>
      <c r="X236" s="29">
        <f>'SSD_eMMC_non volatile'!X67</f>
        <v>0</v>
      </c>
      <c r="Y236" s="29">
        <f>'SSD_eMMC_non volatile'!Y67</f>
        <v>0</v>
      </c>
      <c r="Z236" s="29" t="e">
        <f>'SSD_eMMC_non volatile'!#REF!</f>
        <v>#REF!</v>
      </c>
      <c r="AA236" s="29">
        <f>'SSD_eMMC_non volatile'!Z67</f>
        <v>0</v>
      </c>
      <c r="AB236" s="29">
        <f>'SSD_eMMC_non volatile'!AA67</f>
        <v>0</v>
      </c>
    </row>
    <row r="237" spans="3:28">
      <c r="C237" s="98" t="s">
        <v>115</v>
      </c>
      <c r="D237" s="29">
        <f>'SSD_eMMC_non volatile'!C68</f>
        <v>0</v>
      </c>
      <c r="E237" s="29">
        <f>'SSD_eMMC_non volatile'!D68</f>
        <v>0</v>
      </c>
      <c r="F237" s="29">
        <f>'SSD_eMMC_non volatile'!E68</f>
        <v>0</v>
      </c>
      <c r="G237" s="29" t="str">
        <f>'SSD_eMMC_non volatile'!F68</f>
        <v>E410MA</v>
      </c>
      <c r="H237" s="29" t="str">
        <f>'SSD_eMMC_non volatile'!G68</f>
        <v>Celeron N4020</v>
      </c>
      <c r="I237" s="29" t="str">
        <f>'SSD_eMMC_non volatile'!H68</f>
        <v>Imported</v>
      </c>
      <c r="J237" s="29" t="str">
        <f>'SSD_eMMC_non volatile'!I68</f>
        <v>Asus</v>
      </c>
      <c r="K237" s="29" t="str">
        <f>'SSD_eMMC_non volatile'!J68</f>
        <v>SSD</v>
      </c>
      <c r="L237" s="29" t="str">
        <f>'SSD_eMMC_non volatile'!K68</f>
        <v>128G</v>
      </c>
      <c r="M237" s="29">
        <f>'SSD_eMMC_non volatile'!L68</f>
        <v>2</v>
      </c>
      <c r="N237" s="29" t="str">
        <f>'SSD_eMMC_non volatile'!M68</f>
        <v>03B03-00232000</v>
      </c>
      <c r="O237" s="29">
        <f>'SSD_eMMC_non volatile'!N68</f>
        <v>0</v>
      </c>
      <c r="P237" s="29">
        <f>'SSD_eMMC_non volatile'!P68</f>
        <v>0</v>
      </c>
      <c r="Q237" s="29">
        <f>'SSD_eMMC_non volatile'!Q68</f>
        <v>0</v>
      </c>
      <c r="R237" s="29">
        <f>'SSD_eMMC_non volatile'!R68</f>
        <v>0</v>
      </c>
      <c r="S237" s="29">
        <f>'SSD_eMMC_non volatile'!S68</f>
        <v>0</v>
      </c>
      <c r="T237" s="29">
        <f>'SSD_eMMC_non volatile'!T68</f>
        <v>0</v>
      </c>
      <c r="U237" s="29">
        <f>'SSD_eMMC_non volatile'!U68</f>
        <v>0</v>
      </c>
      <c r="V237" s="29">
        <f>'SSD_eMMC_non volatile'!V68</f>
        <v>0</v>
      </c>
      <c r="W237" s="29">
        <f>'SSD_eMMC_non volatile'!W68</f>
        <v>0</v>
      </c>
      <c r="X237" s="29">
        <f>'SSD_eMMC_non volatile'!X68</f>
        <v>0</v>
      </c>
      <c r="Y237" s="29">
        <f>'SSD_eMMC_non volatile'!Y68</f>
        <v>0</v>
      </c>
      <c r="Z237" s="29" t="e">
        <f>'SSD_eMMC_non volatile'!#REF!</f>
        <v>#REF!</v>
      </c>
      <c r="AA237" s="29">
        <f>'SSD_eMMC_non volatile'!Z68</f>
        <v>0</v>
      </c>
      <c r="AB237" s="29">
        <f>'SSD_eMMC_non volatile'!AA68</f>
        <v>0</v>
      </c>
    </row>
    <row r="238" spans="3:28">
      <c r="C238" s="98" t="s">
        <v>115</v>
      </c>
      <c r="D238" s="29">
        <f>'SSD_eMMC_non volatile'!C69</f>
        <v>0</v>
      </c>
      <c r="E238" s="29">
        <f>'SSD_eMMC_non volatile'!D69</f>
        <v>0</v>
      </c>
      <c r="F238" s="29">
        <f>'SSD_eMMC_non volatile'!E69</f>
        <v>0</v>
      </c>
      <c r="G238" s="29" t="str">
        <f>'SSD_eMMC_non volatile'!F69</f>
        <v>E410MA</v>
      </c>
      <c r="H238" s="29" t="str">
        <f>'SSD_eMMC_non volatile'!G69</f>
        <v>Celeron N4020</v>
      </c>
      <c r="I238" s="29" t="str">
        <f>'SSD_eMMC_non volatile'!H69</f>
        <v>Local</v>
      </c>
      <c r="J238" s="29" t="str">
        <f>'SSD_eMMC_non volatile'!I69</f>
        <v>TBD</v>
      </c>
      <c r="K238" s="29" t="str">
        <f>'SSD_eMMC_non volatile'!J69</f>
        <v>SSD</v>
      </c>
      <c r="L238" s="29" t="str">
        <f>'SSD_eMMC_non volatile'!K69</f>
        <v>128G</v>
      </c>
      <c r="M238" s="29">
        <f>'SSD_eMMC_non volatile'!L69</f>
        <v>1</v>
      </c>
      <c r="N238" s="29">
        <f>'SSD_eMMC_non volatile'!M69</f>
        <v>0</v>
      </c>
      <c r="O238" s="29">
        <f>'SSD_eMMC_non volatile'!N69</f>
        <v>0</v>
      </c>
      <c r="P238" s="29">
        <f>'SSD_eMMC_non volatile'!P69</f>
        <v>0</v>
      </c>
      <c r="Q238" s="29">
        <f>'SSD_eMMC_non volatile'!Q69</f>
        <v>0</v>
      </c>
      <c r="R238" s="29">
        <f>'SSD_eMMC_non volatile'!R69</f>
        <v>0</v>
      </c>
      <c r="S238" s="29">
        <f>'SSD_eMMC_non volatile'!S69</f>
        <v>0</v>
      </c>
      <c r="T238" s="29">
        <f>'SSD_eMMC_non volatile'!T69</f>
        <v>0</v>
      </c>
      <c r="U238" s="29">
        <f>'SSD_eMMC_non volatile'!U69</f>
        <v>0</v>
      </c>
      <c r="V238" s="29">
        <f>'SSD_eMMC_non volatile'!V69</f>
        <v>0</v>
      </c>
      <c r="W238" s="29">
        <f>'SSD_eMMC_non volatile'!W69</f>
        <v>0</v>
      </c>
      <c r="X238" s="29">
        <f>'SSD_eMMC_non volatile'!X69</f>
        <v>0</v>
      </c>
      <c r="Y238" s="29">
        <f>'SSD_eMMC_non volatile'!Y69</f>
        <v>0</v>
      </c>
      <c r="Z238" s="29" t="e">
        <f>'SSD_eMMC_non volatile'!#REF!</f>
        <v>#REF!</v>
      </c>
      <c r="AA238" s="29">
        <f>'SSD_eMMC_non volatile'!Z69</f>
        <v>0</v>
      </c>
      <c r="AB238" s="29">
        <f>'SSD_eMMC_non volatile'!AA69</f>
        <v>0</v>
      </c>
    </row>
    <row r="239" spans="3:28">
      <c r="C239" s="98" t="s">
        <v>115</v>
      </c>
      <c r="D239" s="29">
        <f>'SSD_eMMC_non volatile'!C70</f>
        <v>0</v>
      </c>
      <c r="E239" s="29" t="str">
        <f>'SSD_eMMC_non volatile'!D70</f>
        <v>FCST</v>
      </c>
      <c r="F239" s="29">
        <f>'SSD_eMMC_non volatile'!E70</f>
        <v>870</v>
      </c>
      <c r="G239" s="29" t="str">
        <f>'SSD_eMMC_non volatile'!F70</f>
        <v>X513EA</v>
      </c>
      <c r="H239" s="29" t="str">
        <f>'SSD_eMMC_non volatile'!G70</f>
        <v>Core i5-1135G7</v>
      </c>
      <c r="I239" s="29">
        <f>'SSD_eMMC_non volatile'!H70</f>
        <v>0</v>
      </c>
      <c r="J239" s="29">
        <f>'SSD_eMMC_non volatile'!I70</f>
        <v>0</v>
      </c>
      <c r="K239" s="29">
        <f>'SSD_eMMC_non volatile'!J70</f>
        <v>0</v>
      </c>
      <c r="L239" s="29" t="str">
        <f>'SSD_eMMC_non volatile'!K70</f>
        <v>256GB SSD</v>
      </c>
      <c r="M239" s="29">
        <f>'SSD_eMMC_non volatile'!L70</f>
        <v>0</v>
      </c>
      <c r="N239" s="29">
        <f>'SSD_eMMC_non volatile'!M70</f>
        <v>0</v>
      </c>
      <c r="O239" s="29">
        <f>'SSD_eMMC_non volatile'!N70</f>
        <v>120</v>
      </c>
      <c r="P239" s="29">
        <f>'SSD_eMMC_non volatile'!P70</f>
        <v>0</v>
      </c>
      <c r="Q239" s="29">
        <f>'SSD_eMMC_non volatile'!Q70</f>
        <v>0</v>
      </c>
      <c r="R239" s="29">
        <f>'SSD_eMMC_non volatile'!R70</f>
        <v>0</v>
      </c>
      <c r="S239" s="29">
        <f>'SSD_eMMC_non volatile'!S70</f>
        <v>0</v>
      </c>
      <c r="T239" s="29">
        <f>'SSD_eMMC_non volatile'!T70</f>
        <v>0</v>
      </c>
      <c r="U239" s="29">
        <f>'SSD_eMMC_non volatile'!U70</f>
        <v>0</v>
      </c>
      <c r="V239" s="29">
        <f>'SSD_eMMC_non volatile'!V70</f>
        <v>0</v>
      </c>
      <c r="W239" s="29">
        <f>'SSD_eMMC_non volatile'!W70</f>
        <v>0</v>
      </c>
      <c r="X239" s="29">
        <f>'SSD_eMMC_non volatile'!X70</f>
        <v>0</v>
      </c>
      <c r="Y239" s="29">
        <f>'SSD_eMMC_non volatile'!Y70</f>
        <v>0</v>
      </c>
      <c r="Z239" s="29" t="e">
        <f>'SSD_eMMC_non volatile'!#REF!</f>
        <v>#REF!</v>
      </c>
      <c r="AA239" s="29">
        <f>'SSD_eMMC_non volatile'!Z70</f>
        <v>0</v>
      </c>
      <c r="AB239" s="29">
        <f>'SSD_eMMC_non volatile'!AA70</f>
        <v>0</v>
      </c>
    </row>
    <row r="240" spans="3:28">
      <c r="C240" s="98" t="s">
        <v>115</v>
      </c>
      <c r="D240" s="29">
        <f>'SSD_eMMC_non volatile'!C71</f>
        <v>0</v>
      </c>
      <c r="E240" s="29">
        <f>'SSD_eMMC_non volatile'!D71</f>
        <v>0</v>
      </c>
      <c r="F240" s="29">
        <f>'SSD_eMMC_non volatile'!E71</f>
        <v>0</v>
      </c>
      <c r="G240" s="29" t="str">
        <f>'SSD_eMMC_non volatile'!F71</f>
        <v>X513EA</v>
      </c>
      <c r="H240" s="29" t="str">
        <f>'SSD_eMMC_non volatile'!G71</f>
        <v>Core i5-1135G7</v>
      </c>
      <c r="I240" s="29" t="str">
        <f>'SSD_eMMC_non volatile'!H71</f>
        <v>Imported</v>
      </c>
      <c r="J240" s="29" t="str">
        <f>'SSD_eMMC_non volatile'!I71</f>
        <v>Asus</v>
      </c>
      <c r="K240" s="29" t="str">
        <f>'SSD_eMMC_non volatile'!J71</f>
        <v>SSD</v>
      </c>
      <c r="L240" s="29" t="str">
        <f>'SSD_eMMC_non volatile'!K71</f>
        <v>256G</v>
      </c>
      <c r="M240" s="29">
        <f>'SSD_eMMC_non volatile'!L71</f>
        <v>1</v>
      </c>
      <c r="N240" s="29" t="str">
        <f>'SSD_eMMC_non volatile'!M71</f>
        <v>03B03-00226300</v>
      </c>
      <c r="O240" s="29">
        <f>'SSD_eMMC_non volatile'!N71</f>
        <v>0</v>
      </c>
      <c r="P240" s="29">
        <f>'SSD_eMMC_non volatile'!P71</f>
        <v>0</v>
      </c>
      <c r="Q240" s="29">
        <f>'SSD_eMMC_non volatile'!Q71</f>
        <v>0</v>
      </c>
      <c r="R240" s="29">
        <f>'SSD_eMMC_non volatile'!R71</f>
        <v>0</v>
      </c>
      <c r="S240" s="29">
        <f>'SSD_eMMC_non volatile'!S71</f>
        <v>0</v>
      </c>
      <c r="T240" s="29">
        <f>'SSD_eMMC_non volatile'!T71</f>
        <v>0</v>
      </c>
      <c r="U240" s="29">
        <f>'SSD_eMMC_non volatile'!U71</f>
        <v>0</v>
      </c>
      <c r="V240" s="29">
        <f>'SSD_eMMC_non volatile'!V71</f>
        <v>0</v>
      </c>
      <c r="W240" s="29">
        <f>'SSD_eMMC_non volatile'!W71</f>
        <v>0</v>
      </c>
      <c r="X240" s="29">
        <f>'SSD_eMMC_non volatile'!X71</f>
        <v>0</v>
      </c>
      <c r="Y240" s="29">
        <f>'SSD_eMMC_non volatile'!Y71</f>
        <v>0</v>
      </c>
      <c r="Z240" s="29" t="e">
        <f>'SSD_eMMC_non volatile'!#REF!</f>
        <v>#REF!</v>
      </c>
      <c r="AA240" s="29">
        <f>'SSD_eMMC_non volatile'!Z71</f>
        <v>0</v>
      </c>
      <c r="AB240" s="29">
        <f>'SSD_eMMC_non volatile'!AA71</f>
        <v>0</v>
      </c>
    </row>
    <row r="241" spans="3:28">
      <c r="C241" s="98" t="s">
        <v>115</v>
      </c>
      <c r="D241" s="29">
        <f>'SSD_eMMC_non volatile'!C72</f>
        <v>0</v>
      </c>
      <c r="E241" s="29">
        <f>'SSD_eMMC_non volatile'!D72</f>
        <v>0</v>
      </c>
      <c r="F241" s="29">
        <f>'SSD_eMMC_non volatile'!E72</f>
        <v>0</v>
      </c>
      <c r="G241" s="29" t="str">
        <f>'SSD_eMMC_non volatile'!F72</f>
        <v>X513EA</v>
      </c>
      <c r="H241" s="29" t="str">
        <f>'SSD_eMMC_non volatile'!G72</f>
        <v>Core i5-1135G7</v>
      </c>
      <c r="I241" s="29" t="str">
        <f>'SSD_eMMC_non volatile'!H72</f>
        <v>Local</v>
      </c>
      <c r="J241" s="29" t="str">
        <f>'SSD_eMMC_non volatile'!I72</f>
        <v>DIGITRON</v>
      </c>
      <c r="K241" s="29" t="str">
        <f>'SSD_eMMC_non volatile'!J72</f>
        <v>SSD</v>
      </c>
      <c r="L241" s="29" t="str">
        <f>'SSD_eMMC_non volatile'!K72</f>
        <v>256G</v>
      </c>
      <c r="M241" s="29">
        <f>'SSD_eMMC_non volatile'!L72</f>
        <v>2</v>
      </c>
      <c r="N241" s="29" t="str">
        <f>'SSD_eMMC_non volatile'!M72</f>
        <v>03B03-00228500</v>
      </c>
      <c r="O241" s="29">
        <f>'SSD_eMMC_non volatile'!N72</f>
        <v>0</v>
      </c>
      <c r="P241" s="29">
        <f>'SSD_eMMC_non volatile'!P72</f>
        <v>0</v>
      </c>
      <c r="Q241" s="29">
        <f>'SSD_eMMC_non volatile'!Q72</f>
        <v>0</v>
      </c>
      <c r="R241" s="29">
        <f>'SSD_eMMC_non volatile'!R72</f>
        <v>0</v>
      </c>
      <c r="S241" s="29">
        <f>'SSD_eMMC_non volatile'!S72</f>
        <v>0</v>
      </c>
      <c r="T241" s="29">
        <f>'SSD_eMMC_non volatile'!T72</f>
        <v>0</v>
      </c>
      <c r="U241" s="29">
        <f>'SSD_eMMC_non volatile'!U72</f>
        <v>0</v>
      </c>
      <c r="V241" s="29">
        <f>'SSD_eMMC_non volatile'!V72</f>
        <v>0</v>
      </c>
      <c r="W241" s="29">
        <f>'SSD_eMMC_non volatile'!W72</f>
        <v>0</v>
      </c>
      <c r="X241" s="29">
        <f>'SSD_eMMC_non volatile'!X72</f>
        <v>0</v>
      </c>
      <c r="Y241" s="29">
        <f>'SSD_eMMC_non volatile'!Y72</f>
        <v>0</v>
      </c>
      <c r="Z241" s="29" t="e">
        <f>'SSD_eMMC_non volatile'!#REF!</f>
        <v>#REF!</v>
      </c>
      <c r="AA241" s="29">
        <f>'SSD_eMMC_non volatile'!Z72</f>
        <v>0</v>
      </c>
      <c r="AB241" s="29">
        <f>'SSD_eMMC_non volatile'!AA72</f>
        <v>0</v>
      </c>
    </row>
    <row r="242" spans="3:28">
      <c r="C242" s="98" t="s">
        <v>115</v>
      </c>
      <c r="D242" s="29">
        <f>'SSD_eMMC_non volatile'!C73</f>
        <v>0</v>
      </c>
      <c r="E242" s="29">
        <f>'SSD_eMMC_non volatile'!D73</f>
        <v>0</v>
      </c>
      <c r="F242" s="29">
        <f>'SSD_eMMC_non volatile'!E73</f>
        <v>0</v>
      </c>
      <c r="G242" s="29" t="str">
        <f>'SSD_eMMC_non volatile'!F73</f>
        <v>X513EA</v>
      </c>
      <c r="H242" s="29" t="str">
        <f>'SSD_eMMC_non volatile'!G73</f>
        <v>Core i5-1135G7</v>
      </c>
      <c r="I242" s="29" t="str">
        <f>'SSD_eMMC_non volatile'!H73</f>
        <v>Local</v>
      </c>
      <c r="J242" s="29" t="str">
        <f>'SSD_eMMC_non volatile'!I73</f>
        <v>ADATA</v>
      </c>
      <c r="K242" s="29" t="str">
        <f>'SSD_eMMC_non volatile'!J73</f>
        <v>SSD</v>
      </c>
      <c r="L242" s="29" t="str">
        <f>'SSD_eMMC_non volatile'!K73</f>
        <v>256G</v>
      </c>
      <c r="M242" s="29">
        <f>'SSD_eMMC_non volatile'!L73</f>
        <v>2</v>
      </c>
      <c r="N242" s="29" t="str">
        <f>'SSD_eMMC_non volatile'!M73</f>
        <v>03B03-00420500</v>
      </c>
      <c r="O242" s="29">
        <f>'SSD_eMMC_non volatile'!N73</f>
        <v>120</v>
      </c>
      <c r="P242" s="29">
        <f>'SSD_eMMC_non volatile'!P73</f>
        <v>0</v>
      </c>
      <c r="Q242" s="29">
        <f>'SSD_eMMC_non volatile'!Q73</f>
        <v>0</v>
      </c>
      <c r="R242" s="29">
        <f>'SSD_eMMC_non volatile'!R73</f>
        <v>0</v>
      </c>
      <c r="S242" s="29">
        <f>'SSD_eMMC_non volatile'!S73</f>
        <v>0</v>
      </c>
      <c r="T242" s="29">
        <f>'SSD_eMMC_non volatile'!T73</f>
        <v>0</v>
      </c>
      <c r="U242" s="29">
        <f>'SSD_eMMC_non volatile'!U73</f>
        <v>0</v>
      </c>
      <c r="V242" s="29">
        <f>'SSD_eMMC_non volatile'!V73</f>
        <v>0</v>
      </c>
      <c r="W242" s="29">
        <f>'SSD_eMMC_non volatile'!W73</f>
        <v>0</v>
      </c>
      <c r="X242" s="29">
        <f>'SSD_eMMC_non volatile'!X73</f>
        <v>0</v>
      </c>
      <c r="Y242" s="29">
        <f>'SSD_eMMC_non volatile'!Y73</f>
        <v>0</v>
      </c>
      <c r="Z242" s="29" t="e">
        <f>'SSD_eMMC_non volatile'!#REF!</f>
        <v>#REF!</v>
      </c>
      <c r="AA242" s="29">
        <f>'SSD_eMMC_non volatile'!Z73</f>
        <v>1740</v>
      </c>
      <c r="AB242" s="29">
        <f>'SSD_eMMC_non volatile'!AA73</f>
        <v>870</v>
      </c>
    </row>
    <row r="243" spans="3:28">
      <c r="C243" s="98" t="s">
        <v>115</v>
      </c>
      <c r="D243" s="29">
        <f>'SSD_eMMC_non volatile'!C75</f>
        <v>0</v>
      </c>
      <c r="E243" s="29">
        <f>'SSD_eMMC_non volatile'!D75</f>
        <v>0</v>
      </c>
      <c r="F243" s="29">
        <f>'SSD_eMMC_non volatile'!E75</f>
        <v>0</v>
      </c>
      <c r="G243" s="29" t="str">
        <f>'SSD_eMMC_non volatile'!F75</f>
        <v>X513EA</v>
      </c>
      <c r="H243" s="29" t="str">
        <f>'SSD_eMMC_non volatile'!G75</f>
        <v>Core i5-1135G7</v>
      </c>
      <c r="I243" s="29" t="str">
        <f>'SSD_eMMC_non volatile'!H75</f>
        <v>Local</v>
      </c>
      <c r="J243" s="29" t="str">
        <f>'SSD_eMMC_non volatile'!I75</f>
        <v>TBD</v>
      </c>
      <c r="K243" s="29" t="str">
        <f>'SSD_eMMC_non volatile'!J75</f>
        <v>SSD</v>
      </c>
      <c r="L243" s="29" t="str">
        <f>'SSD_eMMC_non volatile'!K75</f>
        <v>256G</v>
      </c>
      <c r="M243" s="29">
        <f>'SSD_eMMC_non volatile'!L75</f>
        <v>2</v>
      </c>
      <c r="N243" s="29">
        <f>'SSD_eMMC_non volatile'!M75</f>
        <v>0</v>
      </c>
      <c r="O243" s="29">
        <f>'SSD_eMMC_non volatile'!N75</f>
        <v>0</v>
      </c>
      <c r="P243" s="29">
        <f>'SSD_eMMC_non volatile'!P75</f>
        <v>0</v>
      </c>
      <c r="Q243" s="29">
        <f>'SSD_eMMC_non volatile'!Q75</f>
        <v>0</v>
      </c>
      <c r="R243" s="29">
        <f>'SSD_eMMC_non volatile'!R75</f>
        <v>0</v>
      </c>
      <c r="S243" s="29">
        <f>'SSD_eMMC_non volatile'!S75</f>
        <v>0</v>
      </c>
      <c r="T243" s="29">
        <f>'SSD_eMMC_non volatile'!T75</f>
        <v>0</v>
      </c>
      <c r="U243" s="29">
        <f>'SSD_eMMC_non volatile'!U75</f>
        <v>0</v>
      </c>
      <c r="V243" s="29">
        <f>'SSD_eMMC_non volatile'!V75</f>
        <v>0</v>
      </c>
      <c r="W243" s="29">
        <f>'SSD_eMMC_non volatile'!W75</f>
        <v>0</v>
      </c>
      <c r="X243" s="29">
        <f>'SSD_eMMC_non volatile'!X75</f>
        <v>0</v>
      </c>
      <c r="Y243" s="29">
        <f>'SSD_eMMC_non volatile'!Y75</f>
        <v>0</v>
      </c>
      <c r="Z243" s="29" t="e">
        <f>'SSD_eMMC_non volatile'!#REF!</f>
        <v>#REF!</v>
      </c>
      <c r="AA243" s="29">
        <f>'SSD_eMMC_non volatile'!Z75</f>
        <v>0</v>
      </c>
      <c r="AB243" s="29">
        <f>'SSD_eMMC_non volatile'!AA75</f>
        <v>0</v>
      </c>
    </row>
    <row r="244" spans="3:28">
      <c r="C244" s="98" t="s">
        <v>115</v>
      </c>
      <c r="D244" s="29">
        <f>'SSD_eMMC_non volatile'!C76</f>
        <v>0</v>
      </c>
      <c r="E244" s="29" t="str">
        <f>'SSD_eMMC_non volatile'!D76</f>
        <v>FCST</v>
      </c>
      <c r="F244" s="29">
        <f>'SSD_eMMC_non volatile'!E76</f>
        <v>80</v>
      </c>
      <c r="G244" s="29" t="str">
        <f>'SSD_eMMC_non volatile'!F76</f>
        <v>X513EA</v>
      </c>
      <c r="H244" s="29" t="str">
        <f>'SSD_eMMC_non volatile'!G76</f>
        <v>Core i5-1135G7</v>
      </c>
      <c r="I244" s="29">
        <f>'SSD_eMMC_non volatile'!H76</f>
        <v>0</v>
      </c>
      <c r="J244" s="29">
        <f>'SSD_eMMC_non volatile'!I76</f>
        <v>0</v>
      </c>
      <c r="K244" s="29">
        <f>'SSD_eMMC_non volatile'!J76</f>
        <v>0</v>
      </c>
      <c r="L244" s="29" t="str">
        <f>'SSD_eMMC_non volatile'!K76</f>
        <v>512GB SSD</v>
      </c>
      <c r="M244" s="29">
        <f>'SSD_eMMC_non volatile'!L76</f>
        <v>0</v>
      </c>
      <c r="N244" s="29">
        <f>'SSD_eMMC_non volatile'!M76</f>
        <v>0</v>
      </c>
      <c r="O244" s="29">
        <f>'SSD_eMMC_non volatile'!N76</f>
        <v>30</v>
      </c>
      <c r="P244" s="29">
        <f>'SSD_eMMC_non volatile'!P76</f>
        <v>0</v>
      </c>
      <c r="Q244" s="29">
        <f>'SSD_eMMC_non volatile'!Q76</f>
        <v>0</v>
      </c>
      <c r="R244" s="29">
        <f>'SSD_eMMC_non volatile'!R76</f>
        <v>0</v>
      </c>
      <c r="S244" s="29">
        <f>'SSD_eMMC_non volatile'!S76</f>
        <v>0</v>
      </c>
      <c r="T244" s="29">
        <f>'SSD_eMMC_non volatile'!T76</f>
        <v>0</v>
      </c>
      <c r="U244" s="29">
        <f>'SSD_eMMC_non volatile'!U76</f>
        <v>0</v>
      </c>
      <c r="V244" s="29">
        <f>'SSD_eMMC_non volatile'!V76</f>
        <v>0</v>
      </c>
      <c r="W244" s="29">
        <f>'SSD_eMMC_non volatile'!W76</f>
        <v>0</v>
      </c>
      <c r="X244" s="29">
        <f>'SSD_eMMC_non volatile'!X76</f>
        <v>0</v>
      </c>
      <c r="Y244" s="29">
        <f>'SSD_eMMC_non volatile'!Y76</f>
        <v>0</v>
      </c>
      <c r="Z244" s="29" t="e">
        <f>'SSD_eMMC_non volatile'!#REF!</f>
        <v>#REF!</v>
      </c>
      <c r="AA244" s="29">
        <f>'SSD_eMMC_non volatile'!Z76</f>
        <v>0</v>
      </c>
      <c r="AB244" s="29">
        <f>'SSD_eMMC_non volatile'!AA76</f>
        <v>0</v>
      </c>
    </row>
    <row r="245" spans="3:28">
      <c r="C245" s="98" t="s">
        <v>115</v>
      </c>
      <c r="D245" s="29">
        <f>'SSD_eMMC_non volatile'!C77</f>
        <v>0</v>
      </c>
      <c r="E245" s="29">
        <f>'SSD_eMMC_non volatile'!D77</f>
        <v>0</v>
      </c>
      <c r="F245" s="29">
        <f>'SSD_eMMC_non volatile'!E77</f>
        <v>0</v>
      </c>
      <c r="G245" s="29" t="str">
        <f>'SSD_eMMC_non volatile'!F77</f>
        <v>X513EA</v>
      </c>
      <c r="H245" s="29" t="str">
        <f>'SSD_eMMC_non volatile'!G77</f>
        <v>Core i5-1135G7</v>
      </c>
      <c r="I245" s="29" t="str">
        <f>'SSD_eMMC_non volatile'!H77</f>
        <v>Imported</v>
      </c>
      <c r="J245" s="29" t="str">
        <f>'SSD_eMMC_non volatile'!I77</f>
        <v>Asus</v>
      </c>
      <c r="K245" s="29" t="str">
        <f>'SSD_eMMC_non volatile'!J77</f>
        <v>SSD</v>
      </c>
      <c r="L245" s="29" t="str">
        <f>'SSD_eMMC_non volatile'!K77</f>
        <v>512G</v>
      </c>
      <c r="M245" s="29">
        <f>'SSD_eMMC_non volatile'!L77</f>
        <v>2</v>
      </c>
      <c r="N245" s="29" t="str">
        <f>'SSD_eMMC_non volatile'!M77</f>
        <v>03B03-00370200</v>
      </c>
      <c r="O245" s="29">
        <f>'SSD_eMMC_non volatile'!N77</f>
        <v>30</v>
      </c>
      <c r="P245" s="29">
        <f>'SSD_eMMC_non volatile'!P77</f>
        <v>0</v>
      </c>
      <c r="Q245" s="29">
        <f>'SSD_eMMC_non volatile'!Q77</f>
        <v>0</v>
      </c>
      <c r="R245" s="29">
        <f>'SSD_eMMC_non volatile'!R77</f>
        <v>0</v>
      </c>
      <c r="S245" s="29">
        <f>'SSD_eMMC_non volatile'!S77</f>
        <v>0</v>
      </c>
      <c r="T245" s="29">
        <f>'SSD_eMMC_non volatile'!T77</f>
        <v>0</v>
      </c>
      <c r="U245" s="29">
        <f>'SSD_eMMC_non volatile'!U77</f>
        <v>0</v>
      </c>
      <c r="V245" s="29">
        <f>'SSD_eMMC_non volatile'!V77</f>
        <v>0</v>
      </c>
      <c r="W245" s="29">
        <f>'SSD_eMMC_non volatile'!W77</f>
        <v>0</v>
      </c>
      <c r="X245" s="29">
        <f>'SSD_eMMC_non volatile'!X77</f>
        <v>0</v>
      </c>
      <c r="Y245" s="29">
        <f>'SSD_eMMC_non volatile'!Y77</f>
        <v>0</v>
      </c>
      <c r="Z245" s="29" t="e">
        <f>'SSD_eMMC_non volatile'!#REF!</f>
        <v>#REF!</v>
      </c>
      <c r="AA245" s="29">
        <f>'SSD_eMMC_non volatile'!Z77</f>
        <v>160</v>
      </c>
      <c r="AB245" s="29">
        <f>'SSD_eMMC_non volatile'!AA77</f>
        <v>80</v>
      </c>
    </row>
    <row r="246" spans="3:28">
      <c r="C246" s="98" t="s">
        <v>115</v>
      </c>
      <c r="D246" s="29">
        <f>'SSD_eMMC_non volatile'!C78</f>
        <v>0</v>
      </c>
      <c r="E246" s="29">
        <f>'SSD_eMMC_non volatile'!D78</f>
        <v>0</v>
      </c>
      <c r="F246" s="29">
        <f>'SSD_eMMC_non volatile'!E78</f>
        <v>0</v>
      </c>
      <c r="G246" s="29" t="str">
        <f>'SSD_eMMC_non volatile'!F78</f>
        <v>X513EA</v>
      </c>
      <c r="H246" s="29" t="str">
        <f>'SSD_eMMC_non volatile'!G78</f>
        <v>Core i5-1135G7</v>
      </c>
      <c r="I246" s="29" t="str">
        <f>'SSD_eMMC_non volatile'!H78</f>
        <v>Local</v>
      </c>
      <c r="J246" s="29" t="str">
        <f>'SSD_eMMC_non volatile'!I78</f>
        <v>DIGITRON</v>
      </c>
      <c r="K246" s="29" t="str">
        <f>'SSD_eMMC_non volatile'!J78</f>
        <v>SSD</v>
      </c>
      <c r="L246" s="29" t="str">
        <f>'SSD_eMMC_non volatile'!K78</f>
        <v>512G</v>
      </c>
      <c r="M246" s="29">
        <f>'SSD_eMMC_non volatile'!L78</f>
        <v>2</v>
      </c>
      <c r="N246" s="29" t="str">
        <f>'SSD_eMMC_non volatile'!M78</f>
        <v>03B03-00373200</v>
      </c>
      <c r="O246" s="29">
        <f>'SSD_eMMC_non volatile'!N78</f>
        <v>0</v>
      </c>
      <c r="P246" s="29">
        <f>'SSD_eMMC_non volatile'!P78</f>
        <v>0</v>
      </c>
      <c r="Q246" s="29">
        <f>'SSD_eMMC_non volatile'!Q78</f>
        <v>0</v>
      </c>
      <c r="R246" s="29">
        <f>'SSD_eMMC_non volatile'!R78</f>
        <v>0</v>
      </c>
      <c r="S246" s="29">
        <f>'SSD_eMMC_non volatile'!S78</f>
        <v>0</v>
      </c>
      <c r="T246" s="29">
        <f>'SSD_eMMC_non volatile'!T78</f>
        <v>0</v>
      </c>
      <c r="U246" s="29">
        <f>'SSD_eMMC_non volatile'!U78</f>
        <v>0</v>
      </c>
      <c r="V246" s="29">
        <f>'SSD_eMMC_non volatile'!V78</f>
        <v>0</v>
      </c>
      <c r="W246" s="29">
        <f>'SSD_eMMC_non volatile'!W78</f>
        <v>0</v>
      </c>
      <c r="X246" s="29">
        <f>'SSD_eMMC_non volatile'!X78</f>
        <v>0</v>
      </c>
      <c r="Y246" s="29">
        <f>'SSD_eMMC_non volatile'!Y78</f>
        <v>0</v>
      </c>
      <c r="Z246" s="29" t="e">
        <f>'SSD_eMMC_non volatile'!#REF!</f>
        <v>#REF!</v>
      </c>
      <c r="AA246" s="29">
        <f>'SSD_eMMC_non volatile'!Z78</f>
        <v>0</v>
      </c>
      <c r="AB246" s="29">
        <f>'SSD_eMMC_non volatile'!AA78</f>
        <v>0</v>
      </c>
    </row>
    <row r="247" spans="3:28" s="11" customFormat="1">
      <c r="C247" s="98" t="s">
        <v>115</v>
      </c>
      <c r="D247" s="29">
        <f>'SSD_eMMC_non volatile'!C79</f>
        <v>0</v>
      </c>
      <c r="E247" s="29" t="str">
        <f>'SSD_eMMC_non volatile'!D79</f>
        <v>FCST</v>
      </c>
      <c r="F247" s="29">
        <f>'SSD_eMMC_non volatile'!E79</f>
        <v>700</v>
      </c>
      <c r="G247" s="29" t="str">
        <f>'SSD_eMMC_non volatile'!F79</f>
        <v>X513EA</v>
      </c>
      <c r="H247" s="29" t="str">
        <f>'SSD_eMMC_non volatile'!G79</f>
        <v>Core i7-1165G7</v>
      </c>
      <c r="I247" s="29">
        <f>'SSD_eMMC_non volatile'!H79</f>
        <v>0</v>
      </c>
      <c r="J247" s="29">
        <f>'SSD_eMMC_non volatile'!I79</f>
        <v>0</v>
      </c>
      <c r="K247" s="29">
        <f>'SSD_eMMC_non volatile'!J79</f>
        <v>0</v>
      </c>
      <c r="L247" s="29" t="str">
        <f>'SSD_eMMC_non volatile'!K79</f>
        <v>256GB SSD</v>
      </c>
      <c r="M247" s="29">
        <f>'SSD_eMMC_non volatile'!L79</f>
        <v>0</v>
      </c>
      <c r="N247" s="29">
        <f>'SSD_eMMC_non volatile'!M79</f>
        <v>0</v>
      </c>
      <c r="O247" s="29">
        <f>'SSD_eMMC_non volatile'!N79</f>
        <v>150</v>
      </c>
      <c r="P247" s="29">
        <f>'SSD_eMMC_non volatile'!P79</f>
        <v>0</v>
      </c>
      <c r="Q247" s="29">
        <f>'SSD_eMMC_non volatile'!Q79</f>
        <v>0</v>
      </c>
      <c r="R247" s="29">
        <f>'SSD_eMMC_non volatile'!R79</f>
        <v>0</v>
      </c>
      <c r="S247" s="29">
        <f>'SSD_eMMC_non volatile'!S79</f>
        <v>0</v>
      </c>
      <c r="T247" s="29">
        <f>'SSD_eMMC_non volatile'!T79</f>
        <v>0</v>
      </c>
      <c r="U247" s="29">
        <f>'SSD_eMMC_non volatile'!U79</f>
        <v>0</v>
      </c>
      <c r="V247" s="29">
        <f>'SSD_eMMC_non volatile'!V79</f>
        <v>0</v>
      </c>
      <c r="W247" s="29">
        <f>'SSD_eMMC_non volatile'!W79</f>
        <v>0</v>
      </c>
      <c r="X247" s="29">
        <f>'SSD_eMMC_non volatile'!X79</f>
        <v>0</v>
      </c>
      <c r="Y247" s="29">
        <f>'SSD_eMMC_non volatile'!Y79</f>
        <v>0</v>
      </c>
      <c r="Z247" s="29" t="e">
        <f>'SSD_eMMC_non volatile'!#REF!</f>
        <v>#REF!</v>
      </c>
      <c r="AA247" s="29">
        <f>'SSD_eMMC_non volatile'!Z79</f>
        <v>0</v>
      </c>
      <c r="AB247" s="29">
        <f>'SSD_eMMC_non volatile'!AA79</f>
        <v>0</v>
      </c>
    </row>
    <row r="248" spans="3:28" s="11" customFormat="1">
      <c r="C248" s="98" t="s">
        <v>115</v>
      </c>
      <c r="D248" s="29">
        <f>'SSD_eMMC_non volatile'!C80</f>
        <v>0</v>
      </c>
      <c r="E248" s="29">
        <f>'SSD_eMMC_non volatile'!D80</f>
        <v>0</v>
      </c>
      <c r="F248" s="29">
        <f>'SSD_eMMC_non volatile'!E80</f>
        <v>0</v>
      </c>
      <c r="G248" s="29" t="str">
        <f>'SSD_eMMC_non volatile'!F80</f>
        <v>X513EA</v>
      </c>
      <c r="H248" s="29" t="str">
        <f>'SSD_eMMC_non volatile'!G80</f>
        <v>Core i7-1165G7</v>
      </c>
      <c r="I248" s="29" t="str">
        <f>'SSD_eMMC_non volatile'!H80</f>
        <v>Imported</v>
      </c>
      <c r="J248" s="29" t="str">
        <f>'SSD_eMMC_non volatile'!I80</f>
        <v>Asus</v>
      </c>
      <c r="K248" s="29" t="str">
        <f>'SSD_eMMC_non volatile'!J80</f>
        <v>SSD</v>
      </c>
      <c r="L248" s="29" t="str">
        <f>'SSD_eMMC_non volatile'!K80</f>
        <v>256G</v>
      </c>
      <c r="M248" s="29">
        <f>'SSD_eMMC_non volatile'!L80</f>
        <v>1</v>
      </c>
      <c r="N248" s="29" t="str">
        <f>'SSD_eMMC_non volatile'!M80</f>
        <v>03B03-00226300</v>
      </c>
      <c r="O248" s="29">
        <f>'SSD_eMMC_non volatile'!N80</f>
        <v>0</v>
      </c>
      <c r="P248" s="29">
        <f>'SSD_eMMC_non volatile'!P80</f>
        <v>0</v>
      </c>
      <c r="Q248" s="29">
        <f>'SSD_eMMC_non volatile'!Q80</f>
        <v>0</v>
      </c>
      <c r="R248" s="29">
        <f>'SSD_eMMC_non volatile'!R80</f>
        <v>0</v>
      </c>
      <c r="S248" s="29">
        <f>'SSD_eMMC_non volatile'!S80</f>
        <v>0</v>
      </c>
      <c r="T248" s="29">
        <f>'SSD_eMMC_non volatile'!T80</f>
        <v>0</v>
      </c>
      <c r="U248" s="29">
        <f>'SSD_eMMC_non volatile'!U80</f>
        <v>0</v>
      </c>
      <c r="V248" s="29">
        <f>'SSD_eMMC_non volatile'!V80</f>
        <v>0</v>
      </c>
      <c r="W248" s="29">
        <f>'SSD_eMMC_non volatile'!W80</f>
        <v>0</v>
      </c>
      <c r="X248" s="29">
        <f>'SSD_eMMC_non volatile'!X80</f>
        <v>0</v>
      </c>
      <c r="Y248" s="29">
        <f>'SSD_eMMC_non volatile'!Y80</f>
        <v>0</v>
      </c>
      <c r="Z248" s="29" t="e">
        <f>'SSD_eMMC_non volatile'!#REF!</f>
        <v>#REF!</v>
      </c>
      <c r="AA248" s="29">
        <f>'SSD_eMMC_non volatile'!Z80</f>
        <v>0</v>
      </c>
      <c r="AB248" s="29">
        <f>'SSD_eMMC_non volatile'!AA80</f>
        <v>0</v>
      </c>
    </row>
    <row r="249" spans="3:28" s="11" customFormat="1">
      <c r="C249" s="98" t="s">
        <v>115</v>
      </c>
      <c r="D249" s="29">
        <f>'SSD_eMMC_non volatile'!C81</f>
        <v>0</v>
      </c>
      <c r="E249" s="29">
        <f>'SSD_eMMC_non volatile'!D81</f>
        <v>0</v>
      </c>
      <c r="F249" s="29">
        <f>'SSD_eMMC_non volatile'!E81</f>
        <v>0</v>
      </c>
      <c r="G249" s="29" t="str">
        <f>'SSD_eMMC_non volatile'!F81</f>
        <v>X513EA</v>
      </c>
      <c r="H249" s="29" t="str">
        <f>'SSD_eMMC_non volatile'!G81</f>
        <v>Core i7-1165G7</v>
      </c>
      <c r="I249" s="29" t="str">
        <f>'SSD_eMMC_non volatile'!H81</f>
        <v>Local</v>
      </c>
      <c r="J249" s="29" t="str">
        <f>'SSD_eMMC_non volatile'!I81</f>
        <v>DIGITRON</v>
      </c>
      <c r="K249" s="29" t="str">
        <f>'SSD_eMMC_non volatile'!J81</f>
        <v>SSD</v>
      </c>
      <c r="L249" s="29" t="str">
        <f>'SSD_eMMC_non volatile'!K81</f>
        <v>256G</v>
      </c>
      <c r="M249" s="29">
        <f>'SSD_eMMC_non volatile'!L81</f>
        <v>2</v>
      </c>
      <c r="N249" s="29" t="str">
        <f>'SSD_eMMC_non volatile'!M81</f>
        <v>03B03-00228500</v>
      </c>
      <c r="O249" s="29">
        <f>'SSD_eMMC_non volatile'!N81</f>
        <v>0</v>
      </c>
      <c r="P249" s="29">
        <f>'SSD_eMMC_non volatile'!P81</f>
        <v>0</v>
      </c>
      <c r="Q249" s="29">
        <f>'SSD_eMMC_non volatile'!Q81</f>
        <v>0</v>
      </c>
      <c r="R249" s="29">
        <f>'SSD_eMMC_non volatile'!R81</f>
        <v>0</v>
      </c>
      <c r="S249" s="29">
        <f>'SSD_eMMC_non volatile'!S81</f>
        <v>0</v>
      </c>
      <c r="T249" s="29">
        <f>'SSD_eMMC_non volatile'!T81</f>
        <v>0</v>
      </c>
      <c r="U249" s="29">
        <f>'SSD_eMMC_non volatile'!U81</f>
        <v>0</v>
      </c>
      <c r="V249" s="29">
        <f>'SSD_eMMC_non volatile'!V81</f>
        <v>0</v>
      </c>
      <c r="W249" s="29">
        <f>'SSD_eMMC_non volatile'!W81</f>
        <v>0</v>
      </c>
      <c r="X249" s="29">
        <f>'SSD_eMMC_non volatile'!X81</f>
        <v>0</v>
      </c>
      <c r="Y249" s="29">
        <f>'SSD_eMMC_non volatile'!Y81</f>
        <v>0</v>
      </c>
      <c r="Z249" s="29" t="e">
        <f>'SSD_eMMC_non volatile'!#REF!</f>
        <v>#REF!</v>
      </c>
      <c r="AA249" s="29">
        <f>'SSD_eMMC_non volatile'!Z81</f>
        <v>0</v>
      </c>
      <c r="AB249" s="29">
        <f>'SSD_eMMC_non volatile'!AA81</f>
        <v>0</v>
      </c>
    </row>
    <row r="250" spans="3:28" s="11" customFormat="1">
      <c r="C250" s="98" t="s">
        <v>115</v>
      </c>
      <c r="D250" s="29">
        <f>'SSD_eMMC_non volatile'!C83</f>
        <v>0</v>
      </c>
      <c r="E250" s="29">
        <f>'SSD_eMMC_non volatile'!D83</f>
        <v>0</v>
      </c>
      <c r="F250" s="29">
        <f>'SSD_eMMC_non volatile'!E83</f>
        <v>0</v>
      </c>
      <c r="G250" s="29" t="str">
        <f>'SSD_eMMC_non volatile'!F83</f>
        <v>X513EA</v>
      </c>
      <c r="H250" s="29" t="str">
        <f>'SSD_eMMC_non volatile'!G83</f>
        <v>Core i7-1165G7</v>
      </c>
      <c r="I250" s="29" t="str">
        <f>'SSD_eMMC_non volatile'!H83</f>
        <v>Local</v>
      </c>
      <c r="J250" s="29" t="str">
        <f>'SSD_eMMC_non volatile'!I83</f>
        <v>Multilaser</v>
      </c>
      <c r="K250" s="29" t="str">
        <f>'SSD_eMMC_non volatile'!J83</f>
        <v>SSD</v>
      </c>
      <c r="L250" s="29" t="str">
        <f>'SSD_eMMC_non volatile'!K83</f>
        <v>256G</v>
      </c>
      <c r="M250" s="29">
        <f>'SSD_eMMC_non volatile'!L83</f>
        <v>2</v>
      </c>
      <c r="N250" s="29" t="str">
        <f>'SSD_eMMC_non volatile'!M83</f>
        <v>03B03-00227200</v>
      </c>
      <c r="O250" s="29">
        <f>'SSD_eMMC_non volatile'!N83</f>
        <v>0</v>
      </c>
      <c r="P250" s="29">
        <f>'SSD_eMMC_non volatile'!P83</f>
        <v>0</v>
      </c>
      <c r="Q250" s="29">
        <f>'SSD_eMMC_non volatile'!Q83</f>
        <v>0</v>
      </c>
      <c r="R250" s="29">
        <f>'SSD_eMMC_non volatile'!R83</f>
        <v>0</v>
      </c>
      <c r="S250" s="29">
        <f>'SSD_eMMC_non volatile'!S83</f>
        <v>0</v>
      </c>
      <c r="T250" s="29">
        <f>'SSD_eMMC_non volatile'!T83</f>
        <v>0</v>
      </c>
      <c r="U250" s="29">
        <f>'SSD_eMMC_non volatile'!U83</f>
        <v>0</v>
      </c>
      <c r="V250" s="29">
        <f>'SSD_eMMC_non volatile'!V83</f>
        <v>0</v>
      </c>
      <c r="W250" s="29">
        <f>'SSD_eMMC_non volatile'!W83</f>
        <v>0</v>
      </c>
      <c r="X250" s="29">
        <f>'SSD_eMMC_non volatile'!X83</f>
        <v>0</v>
      </c>
      <c r="Y250" s="29">
        <f>'SSD_eMMC_non volatile'!Y83</f>
        <v>0</v>
      </c>
      <c r="Z250" s="29" t="e">
        <f>'SSD_eMMC_non volatile'!#REF!</f>
        <v>#REF!</v>
      </c>
      <c r="AA250" s="29">
        <f>'SSD_eMMC_non volatile'!Z83</f>
        <v>0</v>
      </c>
      <c r="AB250" s="29">
        <f>'SSD_eMMC_non volatile'!AA83</f>
        <v>0</v>
      </c>
    </row>
    <row r="251" spans="3:28" s="11" customFormat="1">
      <c r="C251" s="98" t="s">
        <v>115</v>
      </c>
      <c r="D251" s="29">
        <f>'SSD_eMMC_non volatile'!C84</f>
        <v>0</v>
      </c>
      <c r="E251" s="29">
        <f>'SSD_eMMC_non volatile'!D84</f>
        <v>0</v>
      </c>
      <c r="F251" s="29">
        <f>'SSD_eMMC_non volatile'!E84</f>
        <v>0</v>
      </c>
      <c r="G251" s="29" t="str">
        <f>'SSD_eMMC_non volatile'!F84</f>
        <v>X513EA</v>
      </c>
      <c r="H251" s="29" t="str">
        <f>'SSD_eMMC_non volatile'!G84</f>
        <v>Core i7-1165G7</v>
      </c>
      <c r="I251" s="29" t="str">
        <f>'SSD_eMMC_non volatile'!H84</f>
        <v>Local</v>
      </c>
      <c r="J251" s="29" t="str">
        <f>'SSD_eMMC_non volatile'!I84</f>
        <v>TBD</v>
      </c>
      <c r="K251" s="29" t="str">
        <f>'SSD_eMMC_non volatile'!J84</f>
        <v>SSD</v>
      </c>
      <c r="L251" s="29" t="str">
        <f>'SSD_eMMC_non volatile'!K84</f>
        <v>256G</v>
      </c>
      <c r="M251" s="29">
        <f>'SSD_eMMC_non volatile'!L84</f>
        <v>2</v>
      </c>
      <c r="N251" s="29">
        <f>'SSD_eMMC_non volatile'!M84</f>
        <v>0</v>
      </c>
      <c r="O251" s="29">
        <f>'SSD_eMMC_non volatile'!N84</f>
        <v>0</v>
      </c>
      <c r="P251" s="29">
        <f>'SSD_eMMC_non volatile'!P84</f>
        <v>0</v>
      </c>
      <c r="Q251" s="29">
        <f>'SSD_eMMC_non volatile'!Q84</f>
        <v>0</v>
      </c>
      <c r="R251" s="29">
        <f>'SSD_eMMC_non volatile'!R84</f>
        <v>0</v>
      </c>
      <c r="S251" s="29">
        <f>'SSD_eMMC_non volatile'!S84</f>
        <v>0</v>
      </c>
      <c r="T251" s="29">
        <f>'SSD_eMMC_non volatile'!T84</f>
        <v>0</v>
      </c>
      <c r="U251" s="29">
        <f>'SSD_eMMC_non volatile'!U84</f>
        <v>0</v>
      </c>
      <c r="V251" s="29">
        <f>'SSD_eMMC_non volatile'!V84</f>
        <v>0</v>
      </c>
      <c r="W251" s="29">
        <f>'SSD_eMMC_non volatile'!W84</f>
        <v>0</v>
      </c>
      <c r="X251" s="29">
        <f>'SSD_eMMC_non volatile'!X84</f>
        <v>0</v>
      </c>
      <c r="Y251" s="29">
        <f>'SSD_eMMC_non volatile'!Y84</f>
        <v>0</v>
      </c>
      <c r="Z251" s="29" t="e">
        <f>'SSD_eMMC_non volatile'!#REF!</f>
        <v>#REF!</v>
      </c>
      <c r="AA251" s="29">
        <f>'SSD_eMMC_non volatile'!Z84</f>
        <v>0</v>
      </c>
      <c r="AB251" s="29">
        <f>'SSD_eMMC_non volatile'!AA84</f>
        <v>0</v>
      </c>
    </row>
    <row r="252" spans="3:28" s="11" customFormat="1">
      <c r="C252" s="98" t="s">
        <v>115</v>
      </c>
      <c r="D252" s="29">
        <f>'SSD_eMMC_non volatile'!C85</f>
        <v>0</v>
      </c>
      <c r="E252" s="29" t="str">
        <f>'SSD_eMMC_non volatile'!D85</f>
        <v>FCST</v>
      </c>
      <c r="F252" s="29">
        <f>'SSD_eMMC_non volatile'!E85</f>
        <v>50</v>
      </c>
      <c r="G252" s="29" t="str">
        <f>'SSD_eMMC_non volatile'!F85</f>
        <v>X513EA</v>
      </c>
      <c r="H252" s="29" t="str">
        <f>'SSD_eMMC_non volatile'!G85</f>
        <v>Core i7-1165G7</v>
      </c>
      <c r="I252" s="29">
        <f>'SSD_eMMC_non volatile'!H85</f>
        <v>0</v>
      </c>
      <c r="J252" s="29">
        <f>'SSD_eMMC_non volatile'!I85</f>
        <v>0</v>
      </c>
      <c r="K252" s="29">
        <f>'SSD_eMMC_non volatile'!J85</f>
        <v>0</v>
      </c>
      <c r="L252" s="29" t="str">
        <f>'SSD_eMMC_non volatile'!K85</f>
        <v>512GB SSD</v>
      </c>
      <c r="M252" s="29">
        <f>'SSD_eMMC_non volatile'!L85</f>
        <v>0</v>
      </c>
      <c r="N252" s="29">
        <f>'SSD_eMMC_non volatile'!M85</f>
        <v>0</v>
      </c>
      <c r="O252" s="29">
        <f>'SSD_eMMC_non volatile'!N85</f>
        <v>0</v>
      </c>
      <c r="P252" s="29">
        <f>'SSD_eMMC_non volatile'!P85</f>
        <v>0</v>
      </c>
      <c r="Q252" s="29">
        <f>'SSD_eMMC_non volatile'!Q85</f>
        <v>0</v>
      </c>
      <c r="R252" s="29">
        <f>'SSD_eMMC_non volatile'!R85</f>
        <v>0</v>
      </c>
      <c r="S252" s="29">
        <f>'SSD_eMMC_non volatile'!S85</f>
        <v>0</v>
      </c>
      <c r="T252" s="29">
        <f>'SSD_eMMC_non volatile'!T85</f>
        <v>0</v>
      </c>
      <c r="U252" s="29">
        <f>'SSD_eMMC_non volatile'!U85</f>
        <v>0</v>
      </c>
      <c r="V252" s="29">
        <f>'SSD_eMMC_non volatile'!V85</f>
        <v>0</v>
      </c>
      <c r="W252" s="29">
        <f>'SSD_eMMC_non volatile'!W85</f>
        <v>0</v>
      </c>
      <c r="X252" s="29">
        <f>'SSD_eMMC_non volatile'!X85</f>
        <v>0</v>
      </c>
      <c r="Y252" s="29">
        <f>'SSD_eMMC_non volatile'!Y85</f>
        <v>0</v>
      </c>
      <c r="Z252" s="29" t="e">
        <f>'SSD_eMMC_non volatile'!#REF!</f>
        <v>#REF!</v>
      </c>
      <c r="AA252" s="29">
        <f>'SSD_eMMC_non volatile'!Z85</f>
        <v>0</v>
      </c>
      <c r="AB252" s="29">
        <f>'SSD_eMMC_non volatile'!AA85</f>
        <v>0</v>
      </c>
    </row>
    <row r="253" spans="3:28" s="11" customFormat="1">
      <c r="C253" s="98" t="s">
        <v>115</v>
      </c>
      <c r="D253" s="29">
        <f>'SSD_eMMC_non volatile'!C86</f>
        <v>0</v>
      </c>
      <c r="E253" s="29">
        <f>'SSD_eMMC_non volatile'!D86</f>
        <v>0</v>
      </c>
      <c r="F253" s="29">
        <f>'SSD_eMMC_non volatile'!E86</f>
        <v>0</v>
      </c>
      <c r="G253" s="29" t="str">
        <f>'SSD_eMMC_non volatile'!F86</f>
        <v>X513EA</v>
      </c>
      <c r="H253" s="29" t="str">
        <f>'SSD_eMMC_non volatile'!G86</f>
        <v>Core i7-1165G7</v>
      </c>
      <c r="I253" s="29" t="str">
        <f>'SSD_eMMC_non volatile'!H86</f>
        <v>Imported</v>
      </c>
      <c r="J253" s="29" t="str">
        <f>'SSD_eMMC_non volatile'!I86</f>
        <v>Asus</v>
      </c>
      <c r="K253" s="29" t="str">
        <f>'SSD_eMMC_non volatile'!J86</f>
        <v>SSD</v>
      </c>
      <c r="L253" s="29" t="str">
        <f>'SSD_eMMC_non volatile'!K86</f>
        <v>512G</v>
      </c>
      <c r="M253" s="29">
        <f>'SSD_eMMC_non volatile'!L86</f>
        <v>2</v>
      </c>
      <c r="N253" s="29" t="str">
        <f>'SSD_eMMC_non volatile'!M86</f>
        <v>03B03-00370200</v>
      </c>
      <c r="O253" s="29">
        <f>'SSD_eMMC_non volatile'!N86</f>
        <v>0</v>
      </c>
      <c r="P253" s="29">
        <f>'SSD_eMMC_non volatile'!P86</f>
        <v>0</v>
      </c>
      <c r="Q253" s="29">
        <f>'SSD_eMMC_non volatile'!Q86</f>
        <v>0</v>
      </c>
      <c r="R253" s="29">
        <f>'SSD_eMMC_non volatile'!R86</f>
        <v>0</v>
      </c>
      <c r="S253" s="29">
        <f>'SSD_eMMC_non volatile'!S86</f>
        <v>0</v>
      </c>
      <c r="T253" s="29">
        <f>'SSD_eMMC_non volatile'!T86</f>
        <v>0</v>
      </c>
      <c r="U253" s="29">
        <f>'SSD_eMMC_non volatile'!U86</f>
        <v>0</v>
      </c>
      <c r="V253" s="29">
        <f>'SSD_eMMC_non volatile'!V86</f>
        <v>0</v>
      </c>
      <c r="W253" s="29">
        <f>'SSD_eMMC_non volatile'!W86</f>
        <v>0</v>
      </c>
      <c r="X253" s="29">
        <f>'SSD_eMMC_non volatile'!X86</f>
        <v>0</v>
      </c>
      <c r="Y253" s="29">
        <f>'SSD_eMMC_non volatile'!Y86</f>
        <v>0</v>
      </c>
      <c r="Z253" s="29" t="e">
        <f>'SSD_eMMC_non volatile'!#REF!</f>
        <v>#REF!</v>
      </c>
      <c r="AA253" s="29">
        <f>'SSD_eMMC_non volatile'!Z86</f>
        <v>100</v>
      </c>
      <c r="AB253" s="29">
        <f>'SSD_eMMC_non volatile'!AA86</f>
        <v>50</v>
      </c>
    </row>
    <row r="254" spans="3:28" s="11" customFormat="1">
      <c r="C254" s="98" t="s">
        <v>115</v>
      </c>
      <c r="D254" s="29">
        <f>'SSD_eMMC_non volatile'!C87</f>
        <v>0</v>
      </c>
      <c r="E254" s="29">
        <f>'SSD_eMMC_non volatile'!D87</f>
        <v>0</v>
      </c>
      <c r="F254" s="29">
        <f>'SSD_eMMC_non volatile'!E87</f>
        <v>0</v>
      </c>
      <c r="G254" s="29" t="str">
        <f>'SSD_eMMC_non volatile'!F87</f>
        <v>X513EA</v>
      </c>
      <c r="H254" s="29" t="str">
        <f>'SSD_eMMC_non volatile'!G87</f>
        <v>Core i7-1165G7</v>
      </c>
      <c r="I254" s="29" t="str">
        <f>'SSD_eMMC_non volatile'!H87</f>
        <v>Local</v>
      </c>
      <c r="J254" s="29" t="str">
        <f>'SSD_eMMC_non volatile'!I87</f>
        <v>DIGITRON</v>
      </c>
      <c r="K254" s="29" t="str">
        <f>'SSD_eMMC_non volatile'!J87</f>
        <v>SSD</v>
      </c>
      <c r="L254" s="29" t="str">
        <f>'SSD_eMMC_non volatile'!K87</f>
        <v>512G</v>
      </c>
      <c r="M254" s="29">
        <f>'SSD_eMMC_non volatile'!L87</f>
        <v>2</v>
      </c>
      <c r="N254" s="29" t="str">
        <f>'SSD_eMMC_non volatile'!M87</f>
        <v>03B03-00373200</v>
      </c>
      <c r="O254" s="29">
        <f>'SSD_eMMC_non volatile'!N87</f>
        <v>0</v>
      </c>
      <c r="P254" s="29">
        <f>'SSD_eMMC_non volatile'!P87</f>
        <v>0</v>
      </c>
      <c r="Q254" s="29">
        <f>'SSD_eMMC_non volatile'!Q87</f>
        <v>0</v>
      </c>
      <c r="R254" s="29">
        <f>'SSD_eMMC_non volatile'!R87</f>
        <v>0</v>
      </c>
      <c r="S254" s="29">
        <f>'SSD_eMMC_non volatile'!S87</f>
        <v>0</v>
      </c>
      <c r="T254" s="29">
        <f>'SSD_eMMC_non volatile'!T87</f>
        <v>0</v>
      </c>
      <c r="U254" s="29">
        <f>'SSD_eMMC_non volatile'!U87</f>
        <v>0</v>
      </c>
      <c r="V254" s="29">
        <f>'SSD_eMMC_non volatile'!V87</f>
        <v>0</v>
      </c>
      <c r="W254" s="29">
        <f>'SSD_eMMC_non volatile'!W87</f>
        <v>0</v>
      </c>
      <c r="X254" s="29">
        <f>'SSD_eMMC_non volatile'!X87</f>
        <v>0</v>
      </c>
      <c r="Y254" s="29">
        <f>'SSD_eMMC_non volatile'!Y87</f>
        <v>0</v>
      </c>
      <c r="Z254" s="29" t="e">
        <f>'SSD_eMMC_non volatile'!#REF!</f>
        <v>#REF!</v>
      </c>
      <c r="AA254" s="29">
        <f>'SSD_eMMC_non volatile'!Z87</f>
        <v>0</v>
      </c>
      <c r="AB254" s="29">
        <f>'SSD_eMMC_non volatile'!AA87</f>
        <v>0</v>
      </c>
    </row>
    <row r="255" spans="3:28" s="11" customFormat="1">
      <c r="C255" s="98" t="s">
        <v>115</v>
      </c>
      <c r="D255" s="29">
        <f>'SSD_eMMC_non volatile'!C88</f>
        <v>0</v>
      </c>
      <c r="E255" s="29" t="str">
        <f>'SSD_eMMC_non volatile'!D88</f>
        <v>FCST</v>
      </c>
      <c r="F255" s="29">
        <f>'SSD_eMMC_non volatile'!E88</f>
        <v>0</v>
      </c>
      <c r="G255" s="29" t="str">
        <f>'SSD_eMMC_non volatile'!F88</f>
        <v>X513EA</v>
      </c>
      <c r="H255" s="29" t="str">
        <f>'SSD_eMMC_non volatile'!G88</f>
        <v>Core i7-1165G7</v>
      </c>
      <c r="I255" s="29">
        <f>'SSD_eMMC_non volatile'!H88</f>
        <v>0</v>
      </c>
      <c r="J255" s="29">
        <f>'SSD_eMMC_non volatile'!I88</f>
        <v>0</v>
      </c>
      <c r="K255" s="29">
        <f>'SSD_eMMC_non volatile'!J88</f>
        <v>0</v>
      </c>
      <c r="L255" s="29" t="str">
        <f>'SSD_eMMC_non volatile'!K88</f>
        <v>1TB SSD</v>
      </c>
      <c r="M255" s="29">
        <f>'SSD_eMMC_non volatile'!L88</f>
        <v>0</v>
      </c>
      <c r="N255" s="29">
        <f>'SSD_eMMC_non volatile'!M88</f>
        <v>0</v>
      </c>
      <c r="O255" s="29">
        <f>'SSD_eMMC_non volatile'!N88</f>
        <v>0</v>
      </c>
      <c r="P255" s="29">
        <f>'SSD_eMMC_non volatile'!P88</f>
        <v>0</v>
      </c>
      <c r="Q255" s="29">
        <f>'SSD_eMMC_non volatile'!Q88</f>
        <v>0</v>
      </c>
      <c r="R255" s="29">
        <f>'SSD_eMMC_non volatile'!R88</f>
        <v>0</v>
      </c>
      <c r="S255" s="29">
        <f>'SSD_eMMC_non volatile'!S88</f>
        <v>0</v>
      </c>
      <c r="T255" s="29">
        <f>'SSD_eMMC_non volatile'!T88</f>
        <v>0</v>
      </c>
      <c r="U255" s="29">
        <f>'SSD_eMMC_non volatile'!U88</f>
        <v>0</v>
      </c>
      <c r="V255" s="29">
        <f>'SSD_eMMC_non volatile'!V88</f>
        <v>0</v>
      </c>
      <c r="W255" s="29">
        <f>'SSD_eMMC_non volatile'!W88</f>
        <v>0</v>
      </c>
      <c r="X255" s="29">
        <f>'SSD_eMMC_non volatile'!X88</f>
        <v>0</v>
      </c>
      <c r="Y255" s="29">
        <f>'SSD_eMMC_non volatile'!Y88</f>
        <v>0</v>
      </c>
      <c r="Z255" s="29" t="e">
        <f>'SSD_eMMC_non volatile'!#REF!</f>
        <v>#REF!</v>
      </c>
      <c r="AA255" s="29">
        <f>'SSD_eMMC_non volatile'!Z88</f>
        <v>0</v>
      </c>
      <c r="AB255" s="29">
        <f>'SSD_eMMC_non volatile'!AA88</f>
        <v>0</v>
      </c>
    </row>
    <row r="256" spans="3:28" s="11" customFormat="1">
      <c r="C256" s="98" t="s">
        <v>115</v>
      </c>
      <c r="D256" s="29">
        <f>'SSD_eMMC_non volatile'!C89</f>
        <v>0</v>
      </c>
      <c r="E256" s="29">
        <f>'SSD_eMMC_non volatile'!D89</f>
        <v>0</v>
      </c>
      <c r="F256" s="29">
        <f>'SSD_eMMC_non volatile'!E89</f>
        <v>0</v>
      </c>
      <c r="G256" s="29" t="str">
        <f>'SSD_eMMC_non volatile'!F89</f>
        <v>X513EA</v>
      </c>
      <c r="H256" s="29" t="str">
        <f>'SSD_eMMC_non volatile'!G89</f>
        <v>Core i7-1165G7</v>
      </c>
      <c r="I256" s="29" t="str">
        <f>'SSD_eMMC_non volatile'!H89</f>
        <v>Imported</v>
      </c>
      <c r="J256" s="29" t="str">
        <f>'SSD_eMMC_non volatile'!I89</f>
        <v>Asus</v>
      </c>
      <c r="K256" s="29" t="str">
        <f>'SSD_eMMC_non volatile'!J89</f>
        <v>SSD</v>
      </c>
      <c r="L256" s="29" t="str">
        <f>'SSD_eMMC_non volatile'!K89</f>
        <v>1TB</v>
      </c>
      <c r="M256" s="29">
        <f>'SSD_eMMC_non volatile'!L89</f>
        <v>2</v>
      </c>
      <c r="N256" s="29" t="str">
        <f>'SSD_eMMC_non volatile'!M89</f>
        <v>03B03-00163600</v>
      </c>
      <c r="O256" s="29">
        <f>'SSD_eMMC_non volatile'!N89</f>
        <v>0</v>
      </c>
      <c r="P256" s="29">
        <f>'SSD_eMMC_non volatile'!P89</f>
        <v>0</v>
      </c>
      <c r="Q256" s="29">
        <f>'SSD_eMMC_non volatile'!Q89</f>
        <v>0</v>
      </c>
      <c r="R256" s="29">
        <f>'SSD_eMMC_non volatile'!R89</f>
        <v>0</v>
      </c>
      <c r="S256" s="29">
        <f>'SSD_eMMC_non volatile'!S89</f>
        <v>0</v>
      </c>
      <c r="T256" s="29">
        <f>'SSD_eMMC_non volatile'!T89</f>
        <v>0</v>
      </c>
      <c r="U256" s="29">
        <f>'SSD_eMMC_non volatile'!U89</f>
        <v>0</v>
      </c>
      <c r="V256" s="29">
        <f>'SSD_eMMC_non volatile'!V89</f>
        <v>0</v>
      </c>
      <c r="W256" s="29">
        <f>'SSD_eMMC_non volatile'!W89</f>
        <v>0</v>
      </c>
      <c r="X256" s="29">
        <f>'SSD_eMMC_non volatile'!X89</f>
        <v>0</v>
      </c>
      <c r="Y256" s="29">
        <f>'SSD_eMMC_non volatile'!Y89</f>
        <v>0</v>
      </c>
      <c r="Z256" s="29" t="e">
        <f>'SSD_eMMC_non volatile'!#REF!</f>
        <v>#REF!</v>
      </c>
      <c r="AA256" s="29">
        <f>'SSD_eMMC_non volatile'!Z89</f>
        <v>0</v>
      </c>
      <c r="AB256" s="29">
        <f>'SSD_eMMC_non volatile'!AA89</f>
        <v>0</v>
      </c>
    </row>
    <row r="257" spans="3:28" s="11" customFormat="1">
      <c r="C257" s="98" t="s">
        <v>115</v>
      </c>
      <c r="D257" s="29">
        <f>'SSD_eMMC_non volatile'!C90</f>
        <v>0</v>
      </c>
      <c r="E257" s="29">
        <f>'SSD_eMMC_non volatile'!D90</f>
        <v>0</v>
      </c>
      <c r="F257" s="29">
        <f>'SSD_eMMC_non volatile'!E90</f>
        <v>0</v>
      </c>
      <c r="G257" s="29" t="str">
        <f>'SSD_eMMC_non volatile'!F90</f>
        <v>X513EA</v>
      </c>
      <c r="H257" s="29" t="str">
        <f>'SSD_eMMC_non volatile'!G90</f>
        <v>Core i7-1165G7</v>
      </c>
      <c r="I257" s="29" t="str">
        <f>'SSD_eMMC_non volatile'!H90</f>
        <v>Local</v>
      </c>
      <c r="J257" s="29" t="str">
        <f>'SSD_eMMC_non volatile'!I90</f>
        <v>TBD</v>
      </c>
      <c r="K257" s="29" t="str">
        <f>'SSD_eMMC_non volatile'!J90</f>
        <v>SSD</v>
      </c>
      <c r="L257" s="29" t="str">
        <f>'SSD_eMMC_non volatile'!K90</f>
        <v>1TB</v>
      </c>
      <c r="M257" s="29">
        <f>'SSD_eMMC_non volatile'!L90</f>
        <v>2</v>
      </c>
      <c r="N257" s="29">
        <f>'SSD_eMMC_non volatile'!M90</f>
        <v>0</v>
      </c>
      <c r="O257" s="29">
        <f>'SSD_eMMC_non volatile'!N90</f>
        <v>0</v>
      </c>
      <c r="P257" s="29">
        <f>'SSD_eMMC_non volatile'!P90</f>
        <v>0</v>
      </c>
      <c r="Q257" s="29">
        <f>'SSD_eMMC_non volatile'!Q90</f>
        <v>0</v>
      </c>
      <c r="R257" s="29">
        <f>'SSD_eMMC_non volatile'!R90</f>
        <v>0</v>
      </c>
      <c r="S257" s="29">
        <f>'SSD_eMMC_non volatile'!S90</f>
        <v>0</v>
      </c>
      <c r="T257" s="29">
        <f>'SSD_eMMC_non volatile'!T90</f>
        <v>0</v>
      </c>
      <c r="U257" s="29">
        <f>'SSD_eMMC_non volatile'!U90</f>
        <v>0</v>
      </c>
      <c r="V257" s="29">
        <f>'SSD_eMMC_non volatile'!V90</f>
        <v>0</v>
      </c>
      <c r="W257" s="29">
        <f>'SSD_eMMC_non volatile'!W90</f>
        <v>0</v>
      </c>
      <c r="X257" s="29">
        <f>'SSD_eMMC_non volatile'!X90</f>
        <v>0</v>
      </c>
      <c r="Y257" s="29">
        <f>'SSD_eMMC_non volatile'!Y90</f>
        <v>0</v>
      </c>
      <c r="Z257" s="29" t="e">
        <f>'SSD_eMMC_non volatile'!#REF!</f>
        <v>#REF!</v>
      </c>
      <c r="AA257" s="29">
        <f>'SSD_eMMC_non volatile'!Z90</f>
        <v>0</v>
      </c>
      <c r="AB257" s="29">
        <f>'SSD_eMMC_non volatile'!AA90</f>
        <v>0</v>
      </c>
    </row>
    <row r="258" spans="3:28" s="11" customFormat="1">
      <c r="C258" s="98" t="s">
        <v>115</v>
      </c>
      <c r="D258" s="29">
        <f>'SSD_eMMC_non volatile'!C94</f>
        <v>0</v>
      </c>
      <c r="E258" s="29" t="str">
        <f>'SSD_eMMC_non volatile'!D94</f>
        <v>FCST</v>
      </c>
      <c r="F258" s="29">
        <f>'SSD_eMMC_non volatile'!E94</f>
        <v>0</v>
      </c>
      <c r="G258" s="29" t="str">
        <f>'SSD_eMMC_non volatile'!F94</f>
        <v>K513EQ</v>
      </c>
      <c r="H258" s="29" t="str">
        <f>'SSD_eMMC_non volatile'!G94</f>
        <v>Core i7-1165G7</v>
      </c>
      <c r="I258" s="29">
        <f>'SSD_eMMC_non volatile'!H94</f>
        <v>0</v>
      </c>
      <c r="J258" s="29">
        <f>'SSD_eMMC_non volatile'!I94</f>
        <v>0</v>
      </c>
      <c r="K258" s="29">
        <f>'SSD_eMMC_non volatile'!J94</f>
        <v>0</v>
      </c>
      <c r="L258" s="29" t="str">
        <f>'SSD_eMMC_non volatile'!K94</f>
        <v>512GB SSD</v>
      </c>
      <c r="M258" s="29">
        <f>'SSD_eMMC_non volatile'!L94</f>
        <v>0</v>
      </c>
      <c r="N258" s="29">
        <f>'SSD_eMMC_non volatile'!M94</f>
        <v>0</v>
      </c>
      <c r="O258" s="29">
        <f>'SSD_eMMC_non volatile'!N94</f>
        <v>0</v>
      </c>
      <c r="P258" s="29">
        <f>'SSD_eMMC_non volatile'!P94</f>
        <v>0</v>
      </c>
      <c r="Q258" s="29">
        <f>'SSD_eMMC_non volatile'!Q94</f>
        <v>0</v>
      </c>
      <c r="R258" s="29">
        <f>'SSD_eMMC_non volatile'!R94</f>
        <v>0</v>
      </c>
      <c r="S258" s="29">
        <f>'SSD_eMMC_non volatile'!S94</f>
        <v>0</v>
      </c>
      <c r="T258" s="29">
        <f>'SSD_eMMC_non volatile'!T94</f>
        <v>0</v>
      </c>
      <c r="U258" s="29">
        <f>'SSD_eMMC_non volatile'!U94</f>
        <v>0</v>
      </c>
      <c r="V258" s="29">
        <f>'SSD_eMMC_non volatile'!V94</f>
        <v>0</v>
      </c>
      <c r="W258" s="29">
        <f>'SSD_eMMC_non volatile'!W94</f>
        <v>0</v>
      </c>
      <c r="X258" s="29">
        <f>'SSD_eMMC_non volatile'!X94</f>
        <v>0</v>
      </c>
      <c r="Y258" s="29">
        <f>'SSD_eMMC_non volatile'!Y94</f>
        <v>0</v>
      </c>
      <c r="Z258" s="29" t="e">
        <f>'SSD_eMMC_non volatile'!#REF!</f>
        <v>#REF!</v>
      </c>
      <c r="AA258" s="29">
        <f>'SSD_eMMC_non volatile'!Z94</f>
        <v>0</v>
      </c>
      <c r="AB258" s="29">
        <f>'SSD_eMMC_non volatile'!AA94</f>
        <v>0</v>
      </c>
    </row>
    <row r="259" spans="3:28" s="11" customFormat="1">
      <c r="C259" s="98" t="s">
        <v>115</v>
      </c>
      <c r="D259" s="29">
        <f>'SSD_eMMC_non volatile'!C95</f>
        <v>0</v>
      </c>
      <c r="E259" s="29">
        <f>'SSD_eMMC_non volatile'!D95</f>
        <v>0</v>
      </c>
      <c r="F259" s="29">
        <f>'SSD_eMMC_non volatile'!E95</f>
        <v>0</v>
      </c>
      <c r="G259" s="29" t="str">
        <f>'SSD_eMMC_non volatile'!F95</f>
        <v>K513EQ</v>
      </c>
      <c r="H259" s="29" t="str">
        <f>'SSD_eMMC_non volatile'!G95</f>
        <v>Core i7-1165G7</v>
      </c>
      <c r="I259" s="29" t="str">
        <f>'SSD_eMMC_non volatile'!H95</f>
        <v>Imported</v>
      </c>
      <c r="J259" s="29" t="str">
        <f>'SSD_eMMC_non volatile'!I95</f>
        <v>Asus</v>
      </c>
      <c r="K259" s="29" t="str">
        <f>'SSD_eMMC_non volatile'!J95</f>
        <v>SSD</v>
      </c>
      <c r="L259" s="29" t="str">
        <f>'SSD_eMMC_non volatile'!K95</f>
        <v>512G</v>
      </c>
      <c r="M259" s="29">
        <f>'SSD_eMMC_non volatile'!L95</f>
        <v>2</v>
      </c>
      <c r="N259" s="29" t="str">
        <f>'SSD_eMMC_non volatile'!M95</f>
        <v>03B03-00371100</v>
      </c>
      <c r="O259" s="29">
        <f>'SSD_eMMC_non volatile'!N95</f>
        <v>0</v>
      </c>
      <c r="P259" s="29">
        <f>'SSD_eMMC_non volatile'!P95</f>
        <v>0</v>
      </c>
      <c r="Q259" s="29">
        <f>'SSD_eMMC_non volatile'!Q95</f>
        <v>0</v>
      </c>
      <c r="R259" s="29">
        <f>'SSD_eMMC_non volatile'!R95</f>
        <v>0</v>
      </c>
      <c r="S259" s="29">
        <f>'SSD_eMMC_non volatile'!S95</f>
        <v>0</v>
      </c>
      <c r="T259" s="29">
        <f>'SSD_eMMC_non volatile'!T95</f>
        <v>0</v>
      </c>
      <c r="U259" s="29">
        <f>'SSD_eMMC_non volatile'!U95</f>
        <v>0</v>
      </c>
      <c r="V259" s="29">
        <f>'SSD_eMMC_non volatile'!V95</f>
        <v>0</v>
      </c>
      <c r="W259" s="29">
        <f>'SSD_eMMC_non volatile'!W95</f>
        <v>0</v>
      </c>
      <c r="X259" s="29">
        <f>'SSD_eMMC_non volatile'!X95</f>
        <v>0</v>
      </c>
      <c r="Y259" s="29">
        <f>'SSD_eMMC_non volatile'!Y95</f>
        <v>0</v>
      </c>
      <c r="Z259" s="29" t="e">
        <f>'SSD_eMMC_non volatile'!#REF!</f>
        <v>#REF!</v>
      </c>
      <c r="AA259" s="29">
        <f>'SSD_eMMC_non volatile'!Z95</f>
        <v>0</v>
      </c>
      <c r="AB259" s="29">
        <f>'SSD_eMMC_non volatile'!AA95</f>
        <v>0</v>
      </c>
    </row>
    <row r="260" spans="3:28" s="11" customFormat="1">
      <c r="C260" s="98" t="s">
        <v>115</v>
      </c>
      <c r="D260" s="29">
        <f>'SSD_eMMC_non volatile'!C96</f>
        <v>0</v>
      </c>
      <c r="E260" s="29">
        <f>'SSD_eMMC_non volatile'!D96</f>
        <v>0</v>
      </c>
      <c r="F260" s="29">
        <f>'SSD_eMMC_non volatile'!E96</f>
        <v>0</v>
      </c>
      <c r="G260" s="29" t="str">
        <f>'SSD_eMMC_non volatile'!F96</f>
        <v>K513EQ</v>
      </c>
      <c r="H260" s="29" t="str">
        <f>'SSD_eMMC_non volatile'!G96</f>
        <v>Core i7-1165G7</v>
      </c>
      <c r="I260" s="29" t="str">
        <f>'SSD_eMMC_non volatile'!H96</f>
        <v>Local</v>
      </c>
      <c r="J260" s="29" t="str">
        <f>'SSD_eMMC_non volatile'!I96</f>
        <v>DIGITRON</v>
      </c>
      <c r="K260" s="29" t="str">
        <f>'SSD_eMMC_non volatile'!J96</f>
        <v>SSD</v>
      </c>
      <c r="L260" s="29" t="str">
        <f>'SSD_eMMC_non volatile'!K96</f>
        <v>512G</v>
      </c>
      <c r="M260" s="29">
        <f>'SSD_eMMC_non volatile'!L96</f>
        <v>2</v>
      </c>
      <c r="N260" s="29" t="str">
        <f>'SSD_eMMC_non volatile'!M96</f>
        <v>03B03-00373200</v>
      </c>
      <c r="O260" s="29">
        <f>'SSD_eMMC_non volatile'!N96</f>
        <v>0</v>
      </c>
      <c r="P260" s="29">
        <f>'SSD_eMMC_non volatile'!P96</f>
        <v>0</v>
      </c>
      <c r="Q260" s="29">
        <f>'SSD_eMMC_non volatile'!Q96</f>
        <v>0</v>
      </c>
      <c r="R260" s="29">
        <f>'SSD_eMMC_non volatile'!R96</f>
        <v>0</v>
      </c>
      <c r="S260" s="29">
        <f>'SSD_eMMC_non volatile'!S96</f>
        <v>0</v>
      </c>
      <c r="T260" s="29">
        <f>'SSD_eMMC_non volatile'!T96</f>
        <v>0</v>
      </c>
      <c r="U260" s="29">
        <f>'SSD_eMMC_non volatile'!U96</f>
        <v>0</v>
      </c>
      <c r="V260" s="29">
        <f>'SSD_eMMC_non volatile'!V96</f>
        <v>0</v>
      </c>
      <c r="W260" s="29">
        <f>'SSD_eMMC_non volatile'!W96</f>
        <v>0</v>
      </c>
      <c r="X260" s="29">
        <f>'SSD_eMMC_non volatile'!X96</f>
        <v>0</v>
      </c>
      <c r="Y260" s="29">
        <f>'SSD_eMMC_non volatile'!Y96</f>
        <v>0</v>
      </c>
      <c r="Z260" s="29" t="e">
        <f>'SSD_eMMC_non volatile'!#REF!</f>
        <v>#REF!</v>
      </c>
      <c r="AA260" s="29">
        <f>'SSD_eMMC_non volatile'!Z96</f>
        <v>0</v>
      </c>
      <c r="AB260" s="29">
        <f>'SSD_eMMC_non volatile'!AA96</f>
        <v>0</v>
      </c>
    </row>
    <row r="261" spans="3:28" s="11" customFormat="1">
      <c r="C261" s="98" t="s">
        <v>115</v>
      </c>
      <c r="D261" s="29">
        <f>'SSD_eMMC_non volatile'!C97</f>
        <v>0</v>
      </c>
      <c r="E261" s="29" t="str">
        <f>'SSD_eMMC_non volatile'!D97</f>
        <v>FCST</v>
      </c>
      <c r="F261" s="29">
        <f>'SSD_eMMC_non volatile'!E97</f>
        <v>0</v>
      </c>
      <c r="G261" s="29" t="str">
        <f>'SSD_eMMC_non volatile'!F97</f>
        <v>K513EQ</v>
      </c>
      <c r="H261" s="29" t="str">
        <f>'SSD_eMMC_non volatile'!G97</f>
        <v>Core i7-1165G7</v>
      </c>
      <c r="I261" s="29">
        <f>'SSD_eMMC_non volatile'!H97</f>
        <v>0</v>
      </c>
      <c r="J261" s="29">
        <f>'SSD_eMMC_non volatile'!I97</f>
        <v>0</v>
      </c>
      <c r="K261" s="29">
        <f>'SSD_eMMC_non volatile'!J97</f>
        <v>0</v>
      </c>
      <c r="L261" s="29" t="str">
        <f>'SSD_eMMC_non volatile'!K97</f>
        <v>1TB SSD</v>
      </c>
      <c r="M261" s="29">
        <f>'SSD_eMMC_non volatile'!L97</f>
        <v>0</v>
      </c>
      <c r="N261" s="29">
        <f>'SSD_eMMC_non volatile'!M97</f>
        <v>0</v>
      </c>
      <c r="O261" s="29">
        <f>'SSD_eMMC_non volatile'!N97</f>
        <v>0</v>
      </c>
      <c r="P261" s="29">
        <f>'SSD_eMMC_non volatile'!P97</f>
        <v>0</v>
      </c>
      <c r="Q261" s="29">
        <f>'SSD_eMMC_non volatile'!Q97</f>
        <v>0</v>
      </c>
      <c r="R261" s="29">
        <f>'SSD_eMMC_non volatile'!R97</f>
        <v>0</v>
      </c>
      <c r="S261" s="29">
        <f>'SSD_eMMC_non volatile'!S97</f>
        <v>0</v>
      </c>
      <c r="T261" s="29">
        <f>'SSD_eMMC_non volatile'!T97</f>
        <v>0</v>
      </c>
      <c r="U261" s="29">
        <f>'SSD_eMMC_non volatile'!U97</f>
        <v>0</v>
      </c>
      <c r="V261" s="29">
        <f>'SSD_eMMC_non volatile'!V97</f>
        <v>0</v>
      </c>
      <c r="W261" s="29">
        <f>'SSD_eMMC_non volatile'!W97</f>
        <v>0</v>
      </c>
      <c r="X261" s="29">
        <f>'SSD_eMMC_non volatile'!X97</f>
        <v>0</v>
      </c>
      <c r="Y261" s="29">
        <f>'SSD_eMMC_non volatile'!Y97</f>
        <v>0</v>
      </c>
      <c r="Z261" s="29" t="e">
        <f>'SSD_eMMC_non volatile'!#REF!</f>
        <v>#REF!</v>
      </c>
      <c r="AA261" s="29">
        <f>'SSD_eMMC_non volatile'!Z97</f>
        <v>0</v>
      </c>
      <c r="AB261" s="29">
        <f>'SSD_eMMC_non volatile'!AA97</f>
        <v>0</v>
      </c>
    </row>
    <row r="262" spans="3:28" s="11" customFormat="1">
      <c r="C262" s="98" t="s">
        <v>115</v>
      </c>
      <c r="D262" s="29">
        <f>'SSD_eMMC_non volatile'!C98</f>
        <v>0</v>
      </c>
      <c r="E262" s="29">
        <f>'SSD_eMMC_non volatile'!D98</f>
        <v>0</v>
      </c>
      <c r="F262" s="29">
        <f>'SSD_eMMC_non volatile'!E98</f>
        <v>0</v>
      </c>
      <c r="G262" s="29" t="str">
        <f>'SSD_eMMC_non volatile'!F98</f>
        <v>K513EQ</v>
      </c>
      <c r="H262" s="29" t="str">
        <f>'SSD_eMMC_non volatile'!G98</f>
        <v>Core i7-1165G7</v>
      </c>
      <c r="I262" s="29" t="str">
        <f>'SSD_eMMC_non volatile'!H98</f>
        <v>Imported</v>
      </c>
      <c r="J262" s="29" t="str">
        <f>'SSD_eMMC_non volatile'!I98</f>
        <v>Asus</v>
      </c>
      <c r="K262" s="29" t="str">
        <f>'SSD_eMMC_non volatile'!J98</f>
        <v>SSD</v>
      </c>
      <c r="L262" s="29" t="str">
        <f>'SSD_eMMC_non volatile'!K98</f>
        <v>1TB</v>
      </c>
      <c r="M262" s="29">
        <f>'SSD_eMMC_non volatile'!L98</f>
        <v>2</v>
      </c>
      <c r="N262" s="29" t="str">
        <f>'SSD_eMMC_non volatile'!M98</f>
        <v>03B03-00163600</v>
      </c>
      <c r="O262" s="29">
        <f>'SSD_eMMC_non volatile'!N98</f>
        <v>0</v>
      </c>
      <c r="P262" s="29">
        <f>'SSD_eMMC_non volatile'!P98</f>
        <v>0</v>
      </c>
      <c r="Q262" s="29">
        <f>'SSD_eMMC_non volatile'!Q98</f>
        <v>0</v>
      </c>
      <c r="R262" s="29">
        <f>'SSD_eMMC_non volatile'!R98</f>
        <v>0</v>
      </c>
      <c r="S262" s="29">
        <f>'SSD_eMMC_non volatile'!S98</f>
        <v>0</v>
      </c>
      <c r="T262" s="29">
        <f>'SSD_eMMC_non volatile'!T98</f>
        <v>0</v>
      </c>
      <c r="U262" s="29">
        <f>'SSD_eMMC_non volatile'!U98</f>
        <v>0</v>
      </c>
      <c r="V262" s="29">
        <f>'SSD_eMMC_non volatile'!V98</f>
        <v>0</v>
      </c>
      <c r="W262" s="29">
        <f>'SSD_eMMC_non volatile'!W98</f>
        <v>0</v>
      </c>
      <c r="X262" s="29">
        <f>'SSD_eMMC_non volatile'!X98</f>
        <v>0</v>
      </c>
      <c r="Y262" s="29">
        <f>'SSD_eMMC_non volatile'!Y98</f>
        <v>0</v>
      </c>
      <c r="Z262" s="29" t="e">
        <f>'SSD_eMMC_non volatile'!#REF!</f>
        <v>#REF!</v>
      </c>
      <c r="AA262" s="29">
        <f>'SSD_eMMC_non volatile'!Z98</f>
        <v>0</v>
      </c>
      <c r="AB262" s="29">
        <f>'SSD_eMMC_non volatile'!AA98</f>
        <v>0</v>
      </c>
    </row>
    <row r="263" spans="3:28" s="11" customFormat="1">
      <c r="C263" s="98" t="s">
        <v>115</v>
      </c>
      <c r="D263" s="29">
        <f>'SSD_eMMC_non volatile'!C99</f>
        <v>0</v>
      </c>
      <c r="E263" s="29">
        <f>'SSD_eMMC_non volatile'!D99</f>
        <v>0</v>
      </c>
      <c r="F263" s="29">
        <f>'SSD_eMMC_non volatile'!E99</f>
        <v>0</v>
      </c>
      <c r="G263" s="29" t="str">
        <f>'SSD_eMMC_non volatile'!F99</f>
        <v>K513EQ</v>
      </c>
      <c r="H263" s="29" t="str">
        <f>'SSD_eMMC_non volatile'!G99</f>
        <v>Core i7-1165G7</v>
      </c>
      <c r="I263" s="29" t="str">
        <f>'SSD_eMMC_non volatile'!H99</f>
        <v>Local</v>
      </c>
      <c r="J263" s="29" t="str">
        <f>'SSD_eMMC_non volatile'!I99</f>
        <v>TBD</v>
      </c>
      <c r="K263" s="29" t="str">
        <f>'SSD_eMMC_non volatile'!J99</f>
        <v>SSD</v>
      </c>
      <c r="L263" s="29" t="str">
        <f>'SSD_eMMC_non volatile'!K99</f>
        <v>1TB</v>
      </c>
      <c r="M263" s="29">
        <f>'SSD_eMMC_non volatile'!L99</f>
        <v>2</v>
      </c>
      <c r="N263" s="29">
        <f>'SSD_eMMC_non volatile'!M99</f>
        <v>0</v>
      </c>
      <c r="O263" s="29">
        <f>'SSD_eMMC_non volatile'!N99</f>
        <v>0</v>
      </c>
      <c r="P263" s="29">
        <f>'SSD_eMMC_non volatile'!P99</f>
        <v>0</v>
      </c>
      <c r="Q263" s="29">
        <f>'SSD_eMMC_non volatile'!Q99</f>
        <v>0</v>
      </c>
      <c r="R263" s="29">
        <f>'SSD_eMMC_non volatile'!R99</f>
        <v>0</v>
      </c>
      <c r="S263" s="29">
        <f>'SSD_eMMC_non volatile'!S99</f>
        <v>0</v>
      </c>
      <c r="T263" s="29">
        <f>'SSD_eMMC_non volatile'!T99</f>
        <v>0</v>
      </c>
      <c r="U263" s="29">
        <f>'SSD_eMMC_non volatile'!U99</f>
        <v>0</v>
      </c>
      <c r="V263" s="29">
        <f>'SSD_eMMC_non volatile'!V99</f>
        <v>0</v>
      </c>
      <c r="W263" s="29">
        <f>'SSD_eMMC_non volatile'!W99</f>
        <v>0</v>
      </c>
      <c r="X263" s="29">
        <f>'SSD_eMMC_non volatile'!X99</f>
        <v>0</v>
      </c>
      <c r="Y263" s="29">
        <f>'SSD_eMMC_non volatile'!Y99</f>
        <v>0</v>
      </c>
      <c r="Z263" s="29" t="e">
        <f>'SSD_eMMC_non volatile'!#REF!</f>
        <v>#REF!</v>
      </c>
      <c r="AA263" s="29">
        <f>'SSD_eMMC_non volatile'!Z99</f>
        <v>0</v>
      </c>
      <c r="AB263" s="29">
        <f>'SSD_eMMC_non volatile'!AA99</f>
        <v>0</v>
      </c>
    </row>
    <row r="264" spans="3:28" s="11" customFormat="1">
      <c r="C264" s="98" t="s">
        <v>115</v>
      </c>
      <c r="D264" s="29">
        <f>'SSD_eMMC_non volatile'!C100</f>
        <v>0</v>
      </c>
      <c r="E264" s="29" t="str">
        <f>'SSD_eMMC_non volatile'!D100</f>
        <v>FCST</v>
      </c>
      <c r="F264" s="29">
        <f>'SSD_eMMC_non volatile'!E100</f>
        <v>0</v>
      </c>
      <c r="G264" s="29" t="str">
        <f>'SSD_eMMC_non volatile'!F100</f>
        <v>K3500PC</v>
      </c>
      <c r="H264" s="29" t="str">
        <f>'SSD_eMMC_non volatile'!G100</f>
        <v>Core i5-11300H</v>
      </c>
      <c r="I264" s="29">
        <f>'SSD_eMMC_non volatile'!H100</f>
        <v>0</v>
      </c>
      <c r="J264" s="29">
        <f>'SSD_eMMC_non volatile'!I100</f>
        <v>0</v>
      </c>
      <c r="K264" s="29">
        <f>'SSD_eMMC_non volatile'!J100</f>
        <v>0</v>
      </c>
      <c r="L264" s="29" t="str">
        <f>'SSD_eMMC_non volatile'!K100</f>
        <v>512GB SSD</v>
      </c>
      <c r="M264" s="29">
        <f>'SSD_eMMC_non volatile'!L100</f>
        <v>0</v>
      </c>
      <c r="N264" s="29">
        <f>'SSD_eMMC_non volatile'!M100</f>
        <v>0</v>
      </c>
      <c r="O264" s="29">
        <f>'SSD_eMMC_non volatile'!N100</f>
        <v>0</v>
      </c>
      <c r="P264" s="29">
        <f>'SSD_eMMC_non volatile'!P100</f>
        <v>0</v>
      </c>
      <c r="Q264" s="29">
        <f>'SSD_eMMC_non volatile'!Q100</f>
        <v>0</v>
      </c>
      <c r="R264" s="29">
        <f>'SSD_eMMC_non volatile'!R100</f>
        <v>0</v>
      </c>
      <c r="S264" s="29">
        <f>'SSD_eMMC_non volatile'!S100</f>
        <v>0</v>
      </c>
      <c r="T264" s="29">
        <f>'SSD_eMMC_non volatile'!T100</f>
        <v>0</v>
      </c>
      <c r="U264" s="29">
        <f>'SSD_eMMC_non volatile'!U100</f>
        <v>0</v>
      </c>
      <c r="V264" s="29">
        <f>'SSD_eMMC_non volatile'!V100</f>
        <v>0</v>
      </c>
      <c r="W264" s="29">
        <f>'SSD_eMMC_non volatile'!W100</f>
        <v>0</v>
      </c>
      <c r="X264" s="29">
        <f>'SSD_eMMC_non volatile'!X100</f>
        <v>0</v>
      </c>
      <c r="Y264" s="29">
        <f>'SSD_eMMC_non volatile'!Y100</f>
        <v>0</v>
      </c>
      <c r="Z264" s="29" t="e">
        <f>'SSD_eMMC_non volatile'!#REF!</f>
        <v>#REF!</v>
      </c>
      <c r="AA264" s="29">
        <f>'SSD_eMMC_non volatile'!Z100</f>
        <v>0</v>
      </c>
      <c r="AB264" s="29">
        <f>'SSD_eMMC_non volatile'!AA100</f>
        <v>0</v>
      </c>
    </row>
    <row r="265" spans="3:28" s="11" customFormat="1">
      <c r="C265" s="98" t="s">
        <v>115</v>
      </c>
      <c r="D265" s="29">
        <f>'SSD_eMMC_non volatile'!C101</f>
        <v>0</v>
      </c>
      <c r="E265" s="29">
        <f>'SSD_eMMC_non volatile'!D101</f>
        <v>0</v>
      </c>
      <c r="F265" s="29">
        <f>'SSD_eMMC_non volatile'!E101</f>
        <v>0</v>
      </c>
      <c r="G265" s="29" t="str">
        <f>'SSD_eMMC_non volatile'!F101</f>
        <v>K3500PC</v>
      </c>
      <c r="H265" s="29" t="str">
        <f>'SSD_eMMC_non volatile'!G101</f>
        <v>Core i5-11300H</v>
      </c>
      <c r="I265" s="29" t="str">
        <f>'SSD_eMMC_non volatile'!H101</f>
        <v>Imported</v>
      </c>
      <c r="J265" s="29" t="str">
        <f>'SSD_eMMC_non volatile'!I101</f>
        <v>Asus</v>
      </c>
      <c r="K265" s="29" t="str">
        <f>'SSD_eMMC_non volatile'!J101</f>
        <v>SSD</v>
      </c>
      <c r="L265" s="29" t="str">
        <f>'SSD_eMMC_non volatile'!K101</f>
        <v>512G</v>
      </c>
      <c r="M265" s="29">
        <f>'SSD_eMMC_non volatile'!L101</f>
        <v>1</v>
      </c>
      <c r="N265" s="29" t="str">
        <f>'SSD_eMMC_non volatile'!M101</f>
        <v>03B03-00370500</v>
      </c>
      <c r="O265" s="29">
        <f>'SSD_eMMC_non volatile'!N101</f>
        <v>0</v>
      </c>
      <c r="P265" s="29">
        <f>'SSD_eMMC_non volatile'!P101</f>
        <v>0</v>
      </c>
      <c r="Q265" s="29">
        <f>'SSD_eMMC_non volatile'!Q101</f>
        <v>0</v>
      </c>
      <c r="R265" s="29">
        <f>'SSD_eMMC_non volatile'!R101</f>
        <v>0</v>
      </c>
      <c r="S265" s="29">
        <f>'SSD_eMMC_non volatile'!S101</f>
        <v>0</v>
      </c>
      <c r="T265" s="29">
        <f>'SSD_eMMC_non volatile'!T101</f>
        <v>0</v>
      </c>
      <c r="U265" s="29">
        <f>'SSD_eMMC_non volatile'!U101</f>
        <v>0</v>
      </c>
      <c r="V265" s="29">
        <f>'SSD_eMMC_non volatile'!V101</f>
        <v>0</v>
      </c>
      <c r="W265" s="29">
        <f>'SSD_eMMC_non volatile'!W101</f>
        <v>0</v>
      </c>
      <c r="X265" s="29">
        <f>'SSD_eMMC_non volatile'!X101</f>
        <v>0</v>
      </c>
      <c r="Y265" s="29">
        <f>'SSD_eMMC_non volatile'!Y101</f>
        <v>0</v>
      </c>
      <c r="Z265" s="29" t="e">
        <f>'SSD_eMMC_non volatile'!#REF!</f>
        <v>#REF!</v>
      </c>
      <c r="AA265" s="29">
        <f>'SSD_eMMC_non volatile'!Z101</f>
        <v>0</v>
      </c>
      <c r="AB265" s="29">
        <f>'SSD_eMMC_non volatile'!AA101</f>
        <v>0</v>
      </c>
    </row>
    <row r="266" spans="3:28" s="11" customFormat="1">
      <c r="C266" s="98" t="s">
        <v>115</v>
      </c>
      <c r="D266" s="29">
        <f>'SSD_eMMC_non volatile'!C102</f>
        <v>0</v>
      </c>
      <c r="E266" s="29">
        <f>'SSD_eMMC_non volatile'!D102</f>
        <v>0</v>
      </c>
      <c r="F266" s="29">
        <f>'SSD_eMMC_non volatile'!E102</f>
        <v>0</v>
      </c>
      <c r="G266" s="29" t="str">
        <f>'SSD_eMMC_non volatile'!F102</f>
        <v>K3500PC</v>
      </c>
      <c r="H266" s="29" t="str">
        <f>'SSD_eMMC_non volatile'!G102</f>
        <v>Core i5-11300H</v>
      </c>
      <c r="I266" s="29" t="str">
        <f>'SSD_eMMC_non volatile'!H102</f>
        <v>Local</v>
      </c>
      <c r="J266" s="29" t="str">
        <f>'SSD_eMMC_non volatile'!I102</f>
        <v>TBD</v>
      </c>
      <c r="K266" s="29" t="str">
        <f>'SSD_eMMC_non volatile'!J102</f>
        <v>SSD</v>
      </c>
      <c r="L266" s="29" t="str">
        <f>'SSD_eMMC_non volatile'!K102</f>
        <v>512G</v>
      </c>
      <c r="M266" s="29">
        <f>'SSD_eMMC_non volatile'!L102</f>
        <v>2</v>
      </c>
      <c r="N266" s="29">
        <f>'SSD_eMMC_non volatile'!M102</f>
        <v>0</v>
      </c>
      <c r="O266" s="29">
        <f>'SSD_eMMC_non volatile'!N102</f>
        <v>0</v>
      </c>
      <c r="P266" s="29">
        <f>'SSD_eMMC_non volatile'!P102</f>
        <v>0</v>
      </c>
      <c r="Q266" s="29">
        <f>'SSD_eMMC_non volatile'!Q102</f>
        <v>0</v>
      </c>
      <c r="R266" s="29">
        <f>'SSD_eMMC_non volatile'!R102</f>
        <v>0</v>
      </c>
      <c r="S266" s="29">
        <f>'SSD_eMMC_non volatile'!S102</f>
        <v>0</v>
      </c>
      <c r="T266" s="29">
        <f>'SSD_eMMC_non volatile'!T102</f>
        <v>0</v>
      </c>
      <c r="U266" s="29">
        <f>'SSD_eMMC_non volatile'!U102</f>
        <v>0</v>
      </c>
      <c r="V266" s="29">
        <f>'SSD_eMMC_non volatile'!V102</f>
        <v>0</v>
      </c>
      <c r="W266" s="29">
        <f>'SSD_eMMC_non volatile'!W102</f>
        <v>0</v>
      </c>
      <c r="X266" s="29">
        <f>'SSD_eMMC_non volatile'!X102</f>
        <v>0</v>
      </c>
      <c r="Y266" s="29">
        <f>'SSD_eMMC_non volatile'!Y102</f>
        <v>0</v>
      </c>
      <c r="Z266" s="29" t="e">
        <f>'SSD_eMMC_non volatile'!#REF!</f>
        <v>#REF!</v>
      </c>
      <c r="AA266" s="29">
        <f>'SSD_eMMC_non volatile'!Z102</f>
        <v>0</v>
      </c>
      <c r="AB266" s="29">
        <f>'SSD_eMMC_non volatile'!AA102</f>
        <v>0</v>
      </c>
    </row>
    <row r="267" spans="3:28" s="11" customFormat="1">
      <c r="C267" s="98" t="s">
        <v>115</v>
      </c>
      <c r="D267" s="29">
        <f>'SSD_eMMC_non volatile'!C103</f>
        <v>0</v>
      </c>
      <c r="E267" s="29" t="str">
        <f>'SSD_eMMC_non volatile'!D103</f>
        <v>FCST</v>
      </c>
      <c r="F267" s="29">
        <f>'SSD_eMMC_non volatile'!E103</f>
        <v>0</v>
      </c>
      <c r="G267" s="29" t="str">
        <f>'SSD_eMMC_non volatile'!F103</f>
        <v>K3500PC</v>
      </c>
      <c r="H267" s="29" t="str">
        <f>'SSD_eMMC_non volatile'!G103</f>
        <v>Core i7-11370H</v>
      </c>
      <c r="I267" s="29">
        <f>'SSD_eMMC_non volatile'!H103</f>
        <v>0</v>
      </c>
      <c r="J267" s="29">
        <f>'SSD_eMMC_non volatile'!I103</f>
        <v>0</v>
      </c>
      <c r="K267" s="29">
        <f>'SSD_eMMC_non volatile'!J103</f>
        <v>0</v>
      </c>
      <c r="L267" s="29" t="str">
        <f>'SSD_eMMC_non volatile'!K103</f>
        <v>512GB SSD</v>
      </c>
      <c r="M267" s="29">
        <f>'SSD_eMMC_non volatile'!L103</f>
        <v>0</v>
      </c>
      <c r="N267" s="29">
        <f>'SSD_eMMC_non volatile'!M103</f>
        <v>0</v>
      </c>
      <c r="O267" s="29">
        <f>'SSD_eMMC_non volatile'!N103</f>
        <v>0</v>
      </c>
      <c r="P267" s="29">
        <f>'SSD_eMMC_non volatile'!P103</f>
        <v>0</v>
      </c>
      <c r="Q267" s="29">
        <f>'SSD_eMMC_non volatile'!Q103</f>
        <v>0</v>
      </c>
      <c r="R267" s="29">
        <f>'SSD_eMMC_non volatile'!R103</f>
        <v>0</v>
      </c>
      <c r="S267" s="29">
        <f>'SSD_eMMC_non volatile'!S103</f>
        <v>0</v>
      </c>
      <c r="T267" s="29">
        <f>'SSD_eMMC_non volatile'!T103</f>
        <v>0</v>
      </c>
      <c r="U267" s="29">
        <f>'SSD_eMMC_non volatile'!U103</f>
        <v>0</v>
      </c>
      <c r="V267" s="29">
        <f>'SSD_eMMC_non volatile'!V103</f>
        <v>0</v>
      </c>
      <c r="W267" s="29">
        <f>'SSD_eMMC_non volatile'!W103</f>
        <v>0</v>
      </c>
      <c r="X267" s="29">
        <f>'SSD_eMMC_non volatile'!X103</f>
        <v>0</v>
      </c>
      <c r="Y267" s="29">
        <f>'SSD_eMMC_non volatile'!Y103</f>
        <v>0</v>
      </c>
      <c r="Z267" s="29" t="e">
        <f>'SSD_eMMC_non volatile'!#REF!</f>
        <v>#REF!</v>
      </c>
      <c r="AA267" s="29">
        <f>'SSD_eMMC_non volatile'!Z103</f>
        <v>0</v>
      </c>
      <c r="AB267" s="29">
        <f>'SSD_eMMC_non volatile'!AA103</f>
        <v>0</v>
      </c>
    </row>
    <row r="268" spans="3:28" s="11" customFormat="1">
      <c r="C268" s="98" t="s">
        <v>115</v>
      </c>
      <c r="D268" s="29">
        <f>'SSD_eMMC_non volatile'!C104</f>
        <v>0</v>
      </c>
      <c r="E268" s="29">
        <f>'SSD_eMMC_non volatile'!D104</f>
        <v>0</v>
      </c>
      <c r="F268" s="29">
        <f>'SSD_eMMC_non volatile'!E104</f>
        <v>0</v>
      </c>
      <c r="G268" s="29" t="str">
        <f>'SSD_eMMC_non volatile'!F104</f>
        <v>K3500PC</v>
      </c>
      <c r="H268" s="29" t="str">
        <f>'SSD_eMMC_non volatile'!G104</f>
        <v>Core i7-11370H</v>
      </c>
      <c r="I268" s="29" t="str">
        <f>'SSD_eMMC_non volatile'!H104</f>
        <v>Imported</v>
      </c>
      <c r="J268" s="29" t="str">
        <f>'SSD_eMMC_non volatile'!I104</f>
        <v>Asus</v>
      </c>
      <c r="K268" s="29" t="str">
        <f>'SSD_eMMC_non volatile'!J104</f>
        <v>SSD</v>
      </c>
      <c r="L268" s="29" t="str">
        <f>'SSD_eMMC_non volatile'!K104</f>
        <v>512G</v>
      </c>
      <c r="M268" s="29">
        <f>'SSD_eMMC_non volatile'!L104</f>
        <v>1</v>
      </c>
      <c r="N268" s="29" t="str">
        <f>'SSD_eMMC_non volatile'!M104</f>
        <v>03B03-00370500</v>
      </c>
      <c r="O268" s="29">
        <f>'SSD_eMMC_non volatile'!N104</f>
        <v>0</v>
      </c>
      <c r="P268" s="29">
        <f>'SSD_eMMC_non volatile'!P104</f>
        <v>0</v>
      </c>
      <c r="Q268" s="29">
        <f>'SSD_eMMC_non volatile'!Q104</f>
        <v>0</v>
      </c>
      <c r="R268" s="29">
        <f>'SSD_eMMC_non volatile'!R104</f>
        <v>0</v>
      </c>
      <c r="S268" s="29">
        <f>'SSD_eMMC_non volatile'!S104</f>
        <v>0</v>
      </c>
      <c r="T268" s="29">
        <f>'SSD_eMMC_non volatile'!T104</f>
        <v>0</v>
      </c>
      <c r="U268" s="29">
        <f>'SSD_eMMC_non volatile'!U104</f>
        <v>0</v>
      </c>
      <c r="V268" s="29">
        <f>'SSD_eMMC_non volatile'!V104</f>
        <v>0</v>
      </c>
      <c r="W268" s="29">
        <f>'SSD_eMMC_non volatile'!W104</f>
        <v>0</v>
      </c>
      <c r="X268" s="29">
        <f>'SSD_eMMC_non volatile'!X104</f>
        <v>0</v>
      </c>
      <c r="Y268" s="29">
        <f>'SSD_eMMC_non volatile'!Y104</f>
        <v>0</v>
      </c>
      <c r="Z268" s="29" t="e">
        <f>'SSD_eMMC_non volatile'!#REF!</f>
        <v>#REF!</v>
      </c>
      <c r="AA268" s="29">
        <f>'SSD_eMMC_non volatile'!Z104</f>
        <v>0</v>
      </c>
      <c r="AB268" s="29">
        <f>'SSD_eMMC_non volatile'!AA104</f>
        <v>0</v>
      </c>
    </row>
    <row r="269" spans="3:28" s="11" customFormat="1">
      <c r="C269" s="98" t="s">
        <v>115</v>
      </c>
      <c r="D269" s="29">
        <f>'SSD_eMMC_non volatile'!C105</f>
        <v>0</v>
      </c>
      <c r="E269" s="29">
        <f>'SSD_eMMC_non volatile'!D105</f>
        <v>0</v>
      </c>
      <c r="F269" s="29">
        <f>'SSD_eMMC_non volatile'!E105</f>
        <v>0</v>
      </c>
      <c r="G269" s="29" t="str">
        <f>'SSD_eMMC_non volatile'!F105</f>
        <v>K3500PC</v>
      </c>
      <c r="H269" s="29" t="str">
        <f>'SSD_eMMC_non volatile'!G105</f>
        <v>Core i7-11370H</v>
      </c>
      <c r="I269" s="29" t="str">
        <f>'SSD_eMMC_non volatile'!H105</f>
        <v>Local</v>
      </c>
      <c r="J269" s="29" t="str">
        <f>'SSD_eMMC_non volatile'!I105</f>
        <v>TBD</v>
      </c>
      <c r="K269" s="29" t="str">
        <f>'SSD_eMMC_non volatile'!J105</f>
        <v>SSD</v>
      </c>
      <c r="L269" s="29" t="str">
        <f>'SSD_eMMC_non volatile'!K105</f>
        <v>512G</v>
      </c>
      <c r="M269" s="29">
        <f>'SSD_eMMC_non volatile'!L105</f>
        <v>2</v>
      </c>
      <c r="N269" s="29">
        <f>'SSD_eMMC_non volatile'!M105</f>
        <v>0</v>
      </c>
      <c r="O269" s="29">
        <f>'SSD_eMMC_non volatile'!N105</f>
        <v>0</v>
      </c>
      <c r="P269" s="29">
        <f>'SSD_eMMC_non volatile'!P105</f>
        <v>0</v>
      </c>
      <c r="Q269" s="29">
        <f>'SSD_eMMC_non volatile'!Q105</f>
        <v>0</v>
      </c>
      <c r="R269" s="29">
        <f>'SSD_eMMC_non volatile'!R105</f>
        <v>0</v>
      </c>
      <c r="S269" s="29">
        <f>'SSD_eMMC_non volatile'!S105</f>
        <v>0</v>
      </c>
      <c r="T269" s="29">
        <f>'SSD_eMMC_non volatile'!T105</f>
        <v>0</v>
      </c>
      <c r="U269" s="29">
        <f>'SSD_eMMC_non volatile'!U105</f>
        <v>0</v>
      </c>
      <c r="V269" s="29">
        <f>'SSD_eMMC_non volatile'!V105</f>
        <v>0</v>
      </c>
      <c r="W269" s="29">
        <f>'SSD_eMMC_non volatile'!W105</f>
        <v>0</v>
      </c>
      <c r="X269" s="29">
        <f>'SSD_eMMC_non volatile'!X105</f>
        <v>0</v>
      </c>
      <c r="Y269" s="29">
        <f>'SSD_eMMC_non volatile'!Y105</f>
        <v>0</v>
      </c>
      <c r="Z269" s="29" t="e">
        <f>'SSD_eMMC_non volatile'!#REF!</f>
        <v>#REF!</v>
      </c>
      <c r="AA269" s="29">
        <f>'SSD_eMMC_non volatile'!Z105</f>
        <v>0</v>
      </c>
      <c r="AB269" s="29">
        <f>'SSD_eMMC_non volatile'!AA105</f>
        <v>0</v>
      </c>
    </row>
    <row r="270" spans="3:28" s="11" customFormat="1">
      <c r="C270" s="98" t="s">
        <v>115</v>
      </c>
      <c r="D270" s="29">
        <f>'SSD_eMMC_non volatile'!C106</f>
        <v>0</v>
      </c>
      <c r="E270" s="29" t="str">
        <f>'SSD_eMMC_non volatile'!D106</f>
        <v>FCST</v>
      </c>
      <c r="F270" s="29">
        <f>'SSD_eMMC_non volatile'!E106</f>
        <v>0</v>
      </c>
      <c r="G270" s="29" t="str">
        <f>'SSD_eMMC_non volatile'!F106</f>
        <v>K3500PH</v>
      </c>
      <c r="H270" s="29" t="str">
        <f>'SSD_eMMC_non volatile'!G106</f>
        <v>Core i5-11300H</v>
      </c>
      <c r="I270" s="29">
        <f>'SSD_eMMC_non volatile'!H106</f>
        <v>0</v>
      </c>
      <c r="J270" s="29">
        <f>'SSD_eMMC_non volatile'!I106</f>
        <v>0</v>
      </c>
      <c r="K270" s="29">
        <f>'SSD_eMMC_non volatile'!J106</f>
        <v>0</v>
      </c>
      <c r="L270" s="29" t="str">
        <f>'SSD_eMMC_non volatile'!K106</f>
        <v>512GB SSD</v>
      </c>
      <c r="M270" s="29">
        <f>'SSD_eMMC_non volatile'!L106</f>
        <v>0</v>
      </c>
      <c r="N270" s="29">
        <f>'SSD_eMMC_non volatile'!M106</f>
        <v>0</v>
      </c>
      <c r="O270" s="29">
        <f>'SSD_eMMC_non volatile'!N106</f>
        <v>0</v>
      </c>
      <c r="P270" s="29">
        <f>'SSD_eMMC_non volatile'!P106</f>
        <v>0</v>
      </c>
      <c r="Q270" s="29">
        <f>'SSD_eMMC_non volatile'!Q106</f>
        <v>0</v>
      </c>
      <c r="R270" s="29">
        <f>'SSD_eMMC_non volatile'!R106</f>
        <v>0</v>
      </c>
      <c r="S270" s="29">
        <f>'SSD_eMMC_non volatile'!S106</f>
        <v>0</v>
      </c>
      <c r="T270" s="29">
        <f>'SSD_eMMC_non volatile'!T106</f>
        <v>0</v>
      </c>
      <c r="U270" s="29">
        <f>'SSD_eMMC_non volatile'!U106</f>
        <v>0</v>
      </c>
      <c r="V270" s="29">
        <f>'SSD_eMMC_non volatile'!V106</f>
        <v>0</v>
      </c>
      <c r="W270" s="29">
        <f>'SSD_eMMC_non volatile'!W106</f>
        <v>0</v>
      </c>
      <c r="X270" s="29">
        <f>'SSD_eMMC_non volatile'!X106</f>
        <v>0</v>
      </c>
      <c r="Y270" s="29">
        <f>'SSD_eMMC_non volatile'!Y106</f>
        <v>0</v>
      </c>
      <c r="Z270" s="29" t="e">
        <f>'SSD_eMMC_non volatile'!#REF!</f>
        <v>#REF!</v>
      </c>
      <c r="AA270" s="29">
        <f>'SSD_eMMC_non volatile'!Z106</f>
        <v>0</v>
      </c>
      <c r="AB270" s="29">
        <f>'SSD_eMMC_non volatile'!AA106</f>
        <v>0</v>
      </c>
    </row>
    <row r="271" spans="3:28" s="11" customFormat="1">
      <c r="C271" s="98" t="s">
        <v>115</v>
      </c>
      <c r="D271" s="29">
        <f>'SSD_eMMC_non volatile'!C107</f>
        <v>0</v>
      </c>
      <c r="E271" s="29">
        <f>'SSD_eMMC_non volatile'!D107</f>
        <v>0</v>
      </c>
      <c r="F271" s="29">
        <f>'SSD_eMMC_non volatile'!E107</f>
        <v>0</v>
      </c>
      <c r="G271" s="29" t="str">
        <f>'SSD_eMMC_non volatile'!F107</f>
        <v>K3500PH</v>
      </c>
      <c r="H271" s="29" t="str">
        <f>'SSD_eMMC_non volatile'!G107</f>
        <v>Core i5-11300H</v>
      </c>
      <c r="I271" s="29" t="str">
        <f>'SSD_eMMC_non volatile'!H107</f>
        <v>Imported</v>
      </c>
      <c r="J271" s="29" t="str">
        <f>'SSD_eMMC_non volatile'!I107</f>
        <v>Asus</v>
      </c>
      <c r="K271" s="29" t="str">
        <f>'SSD_eMMC_non volatile'!J107</f>
        <v>SSD</v>
      </c>
      <c r="L271" s="29" t="str">
        <f>'SSD_eMMC_non volatile'!K107</f>
        <v>512G</v>
      </c>
      <c r="M271" s="29">
        <f>'SSD_eMMC_non volatile'!L107</f>
        <v>1</v>
      </c>
      <c r="N271" s="29" t="str">
        <f>'SSD_eMMC_non volatile'!M107</f>
        <v>03B03-00370500</v>
      </c>
      <c r="O271" s="29">
        <f>'SSD_eMMC_non volatile'!N107</f>
        <v>0</v>
      </c>
      <c r="P271" s="29">
        <f>'SSD_eMMC_non volatile'!P107</f>
        <v>0</v>
      </c>
      <c r="Q271" s="29">
        <f>'SSD_eMMC_non volatile'!Q107</f>
        <v>0</v>
      </c>
      <c r="R271" s="29">
        <f>'SSD_eMMC_non volatile'!R107</f>
        <v>0</v>
      </c>
      <c r="S271" s="29">
        <f>'SSD_eMMC_non volatile'!S107</f>
        <v>0</v>
      </c>
      <c r="T271" s="29">
        <f>'SSD_eMMC_non volatile'!T107</f>
        <v>0</v>
      </c>
      <c r="U271" s="29">
        <f>'SSD_eMMC_non volatile'!U107</f>
        <v>0</v>
      </c>
      <c r="V271" s="29">
        <f>'SSD_eMMC_non volatile'!V107</f>
        <v>0</v>
      </c>
      <c r="W271" s="29">
        <f>'SSD_eMMC_non volatile'!W107</f>
        <v>0</v>
      </c>
      <c r="X271" s="29">
        <f>'SSD_eMMC_non volatile'!X107</f>
        <v>0</v>
      </c>
      <c r="Y271" s="29">
        <f>'SSD_eMMC_non volatile'!Y107</f>
        <v>0</v>
      </c>
      <c r="Z271" s="29" t="e">
        <f>'SSD_eMMC_non volatile'!#REF!</f>
        <v>#REF!</v>
      </c>
      <c r="AA271" s="29">
        <f>'SSD_eMMC_non volatile'!Z107</f>
        <v>0</v>
      </c>
      <c r="AB271" s="29">
        <f>'SSD_eMMC_non volatile'!AA107</f>
        <v>0</v>
      </c>
    </row>
    <row r="272" spans="3:28" s="11" customFormat="1">
      <c r="C272" s="98" t="s">
        <v>115</v>
      </c>
      <c r="D272" s="29">
        <f>'SSD_eMMC_non volatile'!C108</f>
        <v>0</v>
      </c>
      <c r="E272" s="29">
        <f>'SSD_eMMC_non volatile'!D108</f>
        <v>0</v>
      </c>
      <c r="F272" s="29">
        <f>'SSD_eMMC_non volatile'!E108</f>
        <v>0</v>
      </c>
      <c r="G272" s="29" t="str">
        <f>'SSD_eMMC_non volatile'!F108</f>
        <v>K3500PH</v>
      </c>
      <c r="H272" s="29" t="str">
        <f>'SSD_eMMC_non volatile'!G108</f>
        <v>Core i5-11300H</v>
      </c>
      <c r="I272" s="29" t="str">
        <f>'SSD_eMMC_non volatile'!H108</f>
        <v>Local</v>
      </c>
      <c r="J272" s="29" t="str">
        <f>'SSD_eMMC_non volatile'!I108</f>
        <v>TBD</v>
      </c>
      <c r="K272" s="29" t="str">
        <f>'SSD_eMMC_non volatile'!J108</f>
        <v>SSD</v>
      </c>
      <c r="L272" s="29" t="str">
        <f>'SSD_eMMC_non volatile'!K108</f>
        <v>512G</v>
      </c>
      <c r="M272" s="29">
        <f>'SSD_eMMC_non volatile'!L108</f>
        <v>2</v>
      </c>
      <c r="N272" s="29">
        <f>'SSD_eMMC_non volatile'!M108</f>
        <v>0</v>
      </c>
      <c r="O272" s="29">
        <f>'SSD_eMMC_non volatile'!N108</f>
        <v>0</v>
      </c>
      <c r="P272" s="29">
        <f>'SSD_eMMC_non volatile'!P108</f>
        <v>0</v>
      </c>
      <c r="Q272" s="29">
        <f>'SSD_eMMC_non volatile'!Q108</f>
        <v>0</v>
      </c>
      <c r="R272" s="29">
        <f>'SSD_eMMC_non volatile'!R108</f>
        <v>0</v>
      </c>
      <c r="S272" s="29">
        <f>'SSD_eMMC_non volatile'!S108</f>
        <v>0</v>
      </c>
      <c r="T272" s="29">
        <f>'SSD_eMMC_non volatile'!T108</f>
        <v>0</v>
      </c>
      <c r="U272" s="29">
        <f>'SSD_eMMC_non volatile'!U108</f>
        <v>0</v>
      </c>
      <c r="V272" s="29">
        <f>'SSD_eMMC_non volatile'!V108</f>
        <v>0</v>
      </c>
      <c r="W272" s="29">
        <f>'SSD_eMMC_non volatile'!W108</f>
        <v>0</v>
      </c>
      <c r="X272" s="29">
        <f>'SSD_eMMC_non volatile'!X108</f>
        <v>0</v>
      </c>
      <c r="Y272" s="29">
        <f>'SSD_eMMC_non volatile'!Y108</f>
        <v>0</v>
      </c>
      <c r="Z272" s="29" t="e">
        <f>'SSD_eMMC_non volatile'!#REF!</f>
        <v>#REF!</v>
      </c>
      <c r="AA272" s="29">
        <f>'SSD_eMMC_non volatile'!Z108</f>
        <v>0</v>
      </c>
      <c r="AB272" s="29">
        <f>'SSD_eMMC_non volatile'!AA108</f>
        <v>0</v>
      </c>
    </row>
    <row r="273" spans="3:28" s="11" customFormat="1">
      <c r="C273" s="98" t="s">
        <v>115</v>
      </c>
      <c r="D273" s="29">
        <f>'SSD_eMMC_non volatile'!C109</f>
        <v>0</v>
      </c>
      <c r="E273" s="29" t="str">
        <f>'SSD_eMMC_non volatile'!D109</f>
        <v>FCST</v>
      </c>
      <c r="F273" s="29">
        <f>'SSD_eMMC_non volatile'!E109</f>
        <v>0</v>
      </c>
      <c r="G273" s="29" t="str">
        <f>'SSD_eMMC_non volatile'!F109</f>
        <v>M3500QC</v>
      </c>
      <c r="H273" s="29" t="str">
        <f>'SSD_eMMC_non volatile'!G109</f>
        <v>Ryzen 7-5800H</v>
      </c>
      <c r="I273" s="29">
        <f>'SSD_eMMC_non volatile'!H109</f>
        <v>0</v>
      </c>
      <c r="J273" s="29">
        <f>'SSD_eMMC_non volatile'!I109</f>
        <v>0</v>
      </c>
      <c r="K273" s="29">
        <f>'SSD_eMMC_non volatile'!J109</f>
        <v>0</v>
      </c>
      <c r="L273" s="29" t="str">
        <f>'SSD_eMMC_non volatile'!K109</f>
        <v>512GB SSD</v>
      </c>
      <c r="M273" s="29">
        <f>'SSD_eMMC_non volatile'!L109</f>
        <v>0</v>
      </c>
      <c r="N273" s="29">
        <f>'SSD_eMMC_non volatile'!M109</f>
        <v>0</v>
      </c>
      <c r="O273" s="29">
        <f>'SSD_eMMC_non volatile'!N109</f>
        <v>0</v>
      </c>
      <c r="P273" s="29">
        <f>'SSD_eMMC_non volatile'!P109</f>
        <v>0</v>
      </c>
      <c r="Q273" s="29">
        <f>'SSD_eMMC_non volatile'!Q109</f>
        <v>0</v>
      </c>
      <c r="R273" s="29">
        <f>'SSD_eMMC_non volatile'!R109</f>
        <v>0</v>
      </c>
      <c r="S273" s="29">
        <f>'SSD_eMMC_non volatile'!S109</f>
        <v>0</v>
      </c>
      <c r="T273" s="29">
        <f>'SSD_eMMC_non volatile'!T109</f>
        <v>0</v>
      </c>
      <c r="U273" s="29">
        <f>'SSD_eMMC_non volatile'!U109</f>
        <v>0</v>
      </c>
      <c r="V273" s="29">
        <f>'SSD_eMMC_non volatile'!V109</f>
        <v>0</v>
      </c>
      <c r="W273" s="29">
        <f>'SSD_eMMC_non volatile'!W109</f>
        <v>0</v>
      </c>
      <c r="X273" s="29">
        <f>'SSD_eMMC_non volatile'!X109</f>
        <v>0</v>
      </c>
      <c r="Y273" s="29">
        <f>'SSD_eMMC_non volatile'!Y109</f>
        <v>0</v>
      </c>
      <c r="Z273" s="29" t="e">
        <f>'SSD_eMMC_non volatile'!#REF!</f>
        <v>#REF!</v>
      </c>
      <c r="AA273" s="29">
        <f>'SSD_eMMC_non volatile'!Z109</f>
        <v>0</v>
      </c>
      <c r="AB273" s="29">
        <f>'SSD_eMMC_non volatile'!AA109</f>
        <v>0</v>
      </c>
    </row>
    <row r="274" spans="3:28" s="11" customFormat="1">
      <c r="C274" s="98" t="s">
        <v>115</v>
      </c>
      <c r="D274" s="29">
        <f>'SSD_eMMC_non volatile'!C110</f>
        <v>0</v>
      </c>
      <c r="E274" s="29">
        <f>'SSD_eMMC_non volatile'!D110</f>
        <v>0</v>
      </c>
      <c r="F274" s="29">
        <f>'SSD_eMMC_non volatile'!E110</f>
        <v>0</v>
      </c>
      <c r="G274" s="29" t="str">
        <f>'SSD_eMMC_non volatile'!F110</f>
        <v>M3500QC</v>
      </c>
      <c r="H274" s="29" t="str">
        <f>'SSD_eMMC_non volatile'!G110</f>
        <v>Ryzen 7-5800H</v>
      </c>
      <c r="I274" s="29" t="str">
        <f>'SSD_eMMC_non volatile'!H110</f>
        <v>Imported</v>
      </c>
      <c r="J274" s="29" t="str">
        <f>'SSD_eMMC_non volatile'!I110</f>
        <v>Asus</v>
      </c>
      <c r="K274" s="29" t="str">
        <f>'SSD_eMMC_non volatile'!J110</f>
        <v>SSD</v>
      </c>
      <c r="L274" s="29" t="str">
        <f>'SSD_eMMC_non volatile'!K110</f>
        <v>512G</v>
      </c>
      <c r="M274" s="29">
        <f>'SSD_eMMC_non volatile'!L110</f>
        <v>1</v>
      </c>
      <c r="N274" s="29" t="str">
        <f>'SSD_eMMC_non volatile'!M110</f>
        <v>03B03-00370500</v>
      </c>
      <c r="O274" s="29">
        <f>'SSD_eMMC_non volatile'!N110</f>
        <v>0</v>
      </c>
      <c r="P274" s="29">
        <f>'SSD_eMMC_non volatile'!P110</f>
        <v>0</v>
      </c>
      <c r="Q274" s="29">
        <f>'SSD_eMMC_non volatile'!Q110</f>
        <v>0</v>
      </c>
      <c r="R274" s="29">
        <f>'SSD_eMMC_non volatile'!R110</f>
        <v>0</v>
      </c>
      <c r="S274" s="29">
        <f>'SSD_eMMC_non volatile'!S110</f>
        <v>0</v>
      </c>
      <c r="T274" s="29">
        <f>'SSD_eMMC_non volatile'!T110</f>
        <v>0</v>
      </c>
      <c r="U274" s="29">
        <f>'SSD_eMMC_non volatile'!U110</f>
        <v>0</v>
      </c>
      <c r="V274" s="29">
        <f>'SSD_eMMC_non volatile'!V110</f>
        <v>0</v>
      </c>
      <c r="W274" s="29">
        <f>'SSD_eMMC_non volatile'!W110</f>
        <v>0</v>
      </c>
      <c r="X274" s="29">
        <f>'SSD_eMMC_non volatile'!X110</f>
        <v>0</v>
      </c>
      <c r="Y274" s="29">
        <f>'SSD_eMMC_non volatile'!Y110</f>
        <v>0</v>
      </c>
      <c r="Z274" s="29" t="e">
        <f>'SSD_eMMC_non volatile'!#REF!</f>
        <v>#REF!</v>
      </c>
      <c r="AA274" s="29">
        <f>'SSD_eMMC_non volatile'!Z110</f>
        <v>0</v>
      </c>
      <c r="AB274" s="29">
        <f>'SSD_eMMC_non volatile'!AA110</f>
        <v>0</v>
      </c>
    </row>
    <row r="275" spans="3:28" s="11" customFormat="1">
      <c r="C275" s="98" t="s">
        <v>115</v>
      </c>
      <c r="D275" s="29">
        <f>'SSD_eMMC_non volatile'!C111</f>
        <v>0</v>
      </c>
      <c r="E275" s="29">
        <f>'SSD_eMMC_non volatile'!D111</f>
        <v>0</v>
      </c>
      <c r="F275" s="29">
        <f>'SSD_eMMC_non volatile'!E111</f>
        <v>0</v>
      </c>
      <c r="G275" s="29" t="str">
        <f>'SSD_eMMC_non volatile'!F111</f>
        <v>M3500QC</v>
      </c>
      <c r="H275" s="29" t="str">
        <f>'SSD_eMMC_non volatile'!G111</f>
        <v>Ryzen 7-5800H</v>
      </c>
      <c r="I275" s="29" t="str">
        <f>'SSD_eMMC_non volatile'!H111</f>
        <v>Local</v>
      </c>
      <c r="J275" s="29" t="str">
        <f>'SSD_eMMC_non volatile'!I111</f>
        <v>TBD</v>
      </c>
      <c r="K275" s="29" t="str">
        <f>'SSD_eMMC_non volatile'!J111</f>
        <v>SSD</v>
      </c>
      <c r="L275" s="29" t="str">
        <f>'SSD_eMMC_non volatile'!K111</f>
        <v>512G</v>
      </c>
      <c r="M275" s="29">
        <f>'SSD_eMMC_non volatile'!L111</f>
        <v>2</v>
      </c>
      <c r="N275" s="29">
        <f>'SSD_eMMC_non volatile'!M111</f>
        <v>0</v>
      </c>
      <c r="O275" s="29">
        <f>'SSD_eMMC_non volatile'!N111</f>
        <v>0</v>
      </c>
      <c r="P275" s="29">
        <f>'SSD_eMMC_non volatile'!P111</f>
        <v>0</v>
      </c>
      <c r="Q275" s="29">
        <f>'SSD_eMMC_non volatile'!Q111</f>
        <v>0</v>
      </c>
      <c r="R275" s="29">
        <f>'SSD_eMMC_non volatile'!R111</f>
        <v>0</v>
      </c>
      <c r="S275" s="29">
        <f>'SSD_eMMC_non volatile'!S111</f>
        <v>0</v>
      </c>
      <c r="T275" s="29">
        <f>'SSD_eMMC_non volatile'!T111</f>
        <v>0</v>
      </c>
      <c r="U275" s="29">
        <f>'SSD_eMMC_non volatile'!U111</f>
        <v>0</v>
      </c>
      <c r="V275" s="29">
        <f>'SSD_eMMC_non volatile'!V111</f>
        <v>0</v>
      </c>
      <c r="W275" s="29">
        <f>'SSD_eMMC_non volatile'!W111</f>
        <v>0</v>
      </c>
      <c r="X275" s="29">
        <f>'SSD_eMMC_non volatile'!X111</f>
        <v>0</v>
      </c>
      <c r="Y275" s="29">
        <f>'SSD_eMMC_non volatile'!Y111</f>
        <v>0</v>
      </c>
      <c r="Z275" s="29" t="e">
        <f>'SSD_eMMC_non volatile'!#REF!</f>
        <v>#REF!</v>
      </c>
      <c r="AA275" s="29">
        <f>'SSD_eMMC_non volatile'!Z111</f>
        <v>0</v>
      </c>
      <c r="AB275" s="29">
        <f>'SSD_eMMC_non volatile'!AA111</f>
        <v>0</v>
      </c>
    </row>
    <row r="276" spans="3:28" s="11" customFormat="1">
      <c r="C276" s="98" t="s">
        <v>115</v>
      </c>
      <c r="D276" s="29">
        <f>'SSD_eMMC_non volatile'!C112</f>
        <v>0</v>
      </c>
      <c r="E276" s="29" t="str">
        <f>'SSD_eMMC_non volatile'!D112</f>
        <v>FCST</v>
      </c>
      <c r="F276" s="29">
        <f>'SSD_eMMC_non volatile'!E112</f>
        <v>22800</v>
      </c>
      <c r="G276" s="29" t="str">
        <f>'SSD_eMMC_non volatile'!F112</f>
        <v>M1502IA</v>
      </c>
      <c r="H276" s="29" t="str">
        <f>'SSD_eMMC_non volatile'!G112</f>
        <v>Ryzen 5-4600H</v>
      </c>
      <c r="I276" s="29">
        <f>'SSD_eMMC_non volatile'!H112</f>
        <v>0</v>
      </c>
      <c r="J276" s="29">
        <f>'SSD_eMMC_non volatile'!I112</f>
        <v>0</v>
      </c>
      <c r="K276" s="29">
        <f>'SSD_eMMC_non volatile'!J112</f>
        <v>0</v>
      </c>
      <c r="L276" s="29" t="str">
        <f>'SSD_eMMC_non volatile'!K112</f>
        <v>256GB SSD</v>
      </c>
      <c r="M276" s="29">
        <f>'SSD_eMMC_non volatile'!L112</f>
        <v>0</v>
      </c>
      <c r="N276" s="29">
        <f>'SSD_eMMC_non volatile'!M112</f>
        <v>0</v>
      </c>
      <c r="O276" s="29">
        <f>'SSD_eMMC_non volatile'!N112</f>
        <v>0</v>
      </c>
      <c r="P276" s="29">
        <f>'SSD_eMMC_non volatile'!P112</f>
        <v>0</v>
      </c>
      <c r="Q276" s="29">
        <f>'SSD_eMMC_non volatile'!Q112</f>
        <v>0</v>
      </c>
      <c r="R276" s="29">
        <f>'SSD_eMMC_non volatile'!R112</f>
        <v>600</v>
      </c>
      <c r="S276" s="29">
        <f>'SSD_eMMC_non volatile'!S112</f>
        <v>4200</v>
      </c>
      <c r="T276" s="29">
        <f>'SSD_eMMC_non volatile'!T112</f>
        <v>6000</v>
      </c>
      <c r="U276" s="29">
        <f>'SSD_eMMC_non volatile'!U112</f>
        <v>6000</v>
      </c>
      <c r="V276" s="29">
        <f>'SSD_eMMC_non volatile'!V112</f>
        <v>6000</v>
      </c>
      <c r="W276" s="29">
        <f>'SSD_eMMC_non volatile'!W112</f>
        <v>0</v>
      </c>
      <c r="X276" s="29">
        <f>'SSD_eMMC_non volatile'!X112</f>
        <v>0</v>
      </c>
      <c r="Y276" s="29">
        <f>'SSD_eMMC_non volatile'!Y112</f>
        <v>0</v>
      </c>
      <c r="Z276" s="29" t="e">
        <f>'SSD_eMMC_non volatile'!#REF!</f>
        <v>#REF!</v>
      </c>
      <c r="AA276" s="29">
        <f>'SSD_eMMC_non volatile'!Z112</f>
        <v>0</v>
      </c>
      <c r="AB276" s="29">
        <f>'SSD_eMMC_non volatile'!AA112</f>
        <v>0</v>
      </c>
    </row>
    <row r="277" spans="3:28" s="11" customFormat="1">
      <c r="C277" s="98" t="s">
        <v>115</v>
      </c>
      <c r="D277" s="29">
        <f>'SSD_eMMC_non volatile'!C113</f>
        <v>0</v>
      </c>
      <c r="E277" s="29">
        <f>'SSD_eMMC_non volatile'!D113</f>
        <v>0</v>
      </c>
      <c r="F277" s="29">
        <f>'SSD_eMMC_non volatile'!E113</f>
        <v>0</v>
      </c>
      <c r="G277" s="29" t="str">
        <f>'SSD_eMMC_non volatile'!F113</f>
        <v>M1502IA</v>
      </c>
      <c r="H277" s="29" t="str">
        <f>'SSD_eMMC_non volatile'!G113</f>
        <v>Ryzen 5-4600H</v>
      </c>
      <c r="I277" s="29" t="str">
        <f>'SSD_eMMC_non volatile'!H113</f>
        <v>Imported</v>
      </c>
      <c r="J277" s="29" t="str">
        <f>'SSD_eMMC_non volatile'!I113</f>
        <v>Asus</v>
      </c>
      <c r="K277" s="29" t="str">
        <f>'SSD_eMMC_non volatile'!J113</f>
        <v>SSD</v>
      </c>
      <c r="L277" s="29" t="str">
        <f>'SSD_eMMC_non volatile'!K113</f>
        <v>256G</v>
      </c>
      <c r="M277" s="29">
        <f>'SSD_eMMC_non volatile'!L113</f>
        <v>1</v>
      </c>
      <c r="N277" s="29" t="str">
        <f>'SSD_eMMC_non volatile'!M113</f>
        <v>03B03-00223600</v>
      </c>
      <c r="O277" s="29">
        <f>'SSD_eMMC_non volatile'!N113</f>
        <v>0</v>
      </c>
      <c r="P277" s="29">
        <f>'SSD_eMMC_non volatile'!P113</f>
        <v>0</v>
      </c>
      <c r="Q277" s="29">
        <f>'SSD_eMMC_non volatile'!Q113</f>
        <v>0</v>
      </c>
      <c r="R277" s="29">
        <f>'SSD_eMMC_non volatile'!R113</f>
        <v>550</v>
      </c>
      <c r="S277" s="29">
        <f>'SSD_eMMC_non volatile'!S113</f>
        <v>0</v>
      </c>
      <c r="T277" s="29">
        <f>'SSD_eMMC_non volatile'!T113</f>
        <v>0</v>
      </c>
      <c r="U277" s="29">
        <f>'SSD_eMMC_non volatile'!U113</f>
        <v>0</v>
      </c>
      <c r="V277" s="29">
        <f>'SSD_eMMC_non volatile'!V113</f>
        <v>0</v>
      </c>
      <c r="W277" s="29">
        <f>'SSD_eMMC_non volatile'!W113</f>
        <v>0</v>
      </c>
      <c r="X277" s="29">
        <f>'SSD_eMMC_non volatile'!X113</f>
        <v>0</v>
      </c>
      <c r="Y277" s="29">
        <f>'SSD_eMMC_non volatile'!Y113</f>
        <v>0</v>
      </c>
      <c r="Z277" s="29" t="e">
        <f>'SSD_eMMC_non volatile'!#REF!</f>
        <v>#REF!</v>
      </c>
      <c r="AA277" s="29">
        <f>'SSD_eMMC_non volatile'!Z113</f>
        <v>550</v>
      </c>
      <c r="AB277" s="29">
        <f>'SSD_eMMC_non volatile'!AA113</f>
        <v>550</v>
      </c>
    </row>
    <row r="278" spans="3:28" s="11" customFormat="1">
      <c r="C278" s="98" t="s">
        <v>115</v>
      </c>
      <c r="D278" s="29">
        <f>'SSD_eMMC_non volatile'!C114</f>
        <v>0</v>
      </c>
      <c r="E278" s="29">
        <f>'SSD_eMMC_non volatile'!D114</f>
        <v>0</v>
      </c>
      <c r="F278" s="29">
        <f>'SSD_eMMC_non volatile'!E114</f>
        <v>0</v>
      </c>
      <c r="G278" s="29" t="str">
        <f>'SSD_eMMC_non volatile'!F114</f>
        <v>M1502IA</v>
      </c>
      <c r="H278" s="29" t="str">
        <f>'SSD_eMMC_non volatile'!G114</f>
        <v>Ryzen 5-4600H</v>
      </c>
      <c r="I278" s="29" t="str">
        <f>'SSD_eMMC_non volatile'!H114</f>
        <v>Local</v>
      </c>
      <c r="J278" s="29" t="str">
        <f>'SSD_eMMC_non volatile'!I114</f>
        <v>TBD</v>
      </c>
      <c r="K278" s="29" t="str">
        <f>'SSD_eMMC_non volatile'!J114</f>
        <v>SSD</v>
      </c>
      <c r="L278" s="29" t="str">
        <f>'SSD_eMMC_non volatile'!K114</f>
        <v>256G</v>
      </c>
      <c r="M278" s="29">
        <f>'SSD_eMMC_non volatile'!L114</f>
        <v>2</v>
      </c>
      <c r="N278" s="29">
        <f>'SSD_eMMC_non volatile'!M114</f>
        <v>0</v>
      </c>
      <c r="O278" s="29">
        <f>'SSD_eMMC_non volatile'!N114</f>
        <v>0</v>
      </c>
      <c r="P278" s="29">
        <f>'SSD_eMMC_non volatile'!P114</f>
        <v>0</v>
      </c>
      <c r="Q278" s="29">
        <f>'SSD_eMMC_non volatile'!Q114</f>
        <v>0</v>
      </c>
      <c r="R278" s="29">
        <f>'SSD_eMMC_non volatile'!R114</f>
        <v>50</v>
      </c>
      <c r="S278" s="29">
        <f>'SSD_eMMC_non volatile'!S114</f>
        <v>4200</v>
      </c>
      <c r="T278" s="29">
        <f>'SSD_eMMC_non volatile'!T114</f>
        <v>6000</v>
      </c>
      <c r="U278" s="29">
        <f>'SSD_eMMC_non volatile'!U114</f>
        <v>6000</v>
      </c>
      <c r="V278" s="29">
        <f>'SSD_eMMC_non volatile'!V114</f>
        <v>6000</v>
      </c>
      <c r="W278" s="29">
        <f>'SSD_eMMC_non volatile'!W114</f>
        <v>0</v>
      </c>
      <c r="X278" s="29">
        <f>'SSD_eMMC_non volatile'!X114</f>
        <v>0</v>
      </c>
      <c r="Y278" s="29">
        <f>'SSD_eMMC_non volatile'!Y114</f>
        <v>0</v>
      </c>
      <c r="Z278" s="29" t="e">
        <f>'SSD_eMMC_non volatile'!#REF!</f>
        <v>#REF!</v>
      </c>
      <c r="AA278" s="29">
        <f>'SSD_eMMC_non volatile'!Z114</f>
        <v>44500</v>
      </c>
      <c r="AB278" s="29">
        <f>'SSD_eMMC_non volatile'!AA114</f>
        <v>22250</v>
      </c>
    </row>
    <row r="279" spans="3:28" s="11" customFormat="1">
      <c r="C279" s="98" t="s">
        <v>115</v>
      </c>
      <c r="D279" s="29">
        <f>'SSD_eMMC_non volatile'!C118</f>
        <v>0</v>
      </c>
      <c r="E279" s="29" t="str">
        <f>'SSD_eMMC_non volatile'!D118</f>
        <v>FCST</v>
      </c>
      <c r="F279" s="29">
        <f>'SSD_eMMC_non volatile'!E118</f>
        <v>1820</v>
      </c>
      <c r="G279" s="29" t="str">
        <f>'SSD_eMMC_non volatile'!F118</f>
        <v>M1502IA</v>
      </c>
      <c r="H279" s="29" t="str">
        <f>'SSD_eMMC_non volatile'!G118</f>
        <v>Ryzen 7-4800H</v>
      </c>
      <c r="I279" s="29">
        <f>'SSD_eMMC_non volatile'!H118</f>
        <v>0</v>
      </c>
      <c r="J279" s="29">
        <f>'SSD_eMMC_non volatile'!I118</f>
        <v>0</v>
      </c>
      <c r="K279" s="29">
        <f>'SSD_eMMC_non volatile'!J118</f>
        <v>0</v>
      </c>
      <c r="L279" s="29" t="str">
        <f>'SSD_eMMC_non volatile'!K118</f>
        <v>256GB SSD</v>
      </c>
      <c r="M279" s="29">
        <f>'SSD_eMMC_non volatile'!L118</f>
        <v>0</v>
      </c>
      <c r="N279" s="29">
        <f>'SSD_eMMC_non volatile'!M118</f>
        <v>0</v>
      </c>
      <c r="O279" s="29">
        <f>'SSD_eMMC_non volatile'!N118</f>
        <v>0</v>
      </c>
      <c r="P279" s="29">
        <f>'SSD_eMMC_non volatile'!P118</f>
        <v>0</v>
      </c>
      <c r="Q279" s="29">
        <f>'SSD_eMMC_non volatile'!Q118</f>
        <v>0</v>
      </c>
      <c r="R279" s="29">
        <f>'SSD_eMMC_non volatile'!R118</f>
        <v>180</v>
      </c>
      <c r="S279" s="29">
        <f>'SSD_eMMC_non volatile'!S118</f>
        <v>200</v>
      </c>
      <c r="T279" s="29">
        <f>'SSD_eMMC_non volatile'!T118</f>
        <v>480</v>
      </c>
      <c r="U279" s="29">
        <f>'SSD_eMMC_non volatile'!U118</f>
        <v>480</v>
      </c>
      <c r="V279" s="29">
        <f>'SSD_eMMC_non volatile'!V118</f>
        <v>480</v>
      </c>
      <c r="W279" s="29">
        <f>'SSD_eMMC_non volatile'!W118</f>
        <v>0</v>
      </c>
      <c r="X279" s="29">
        <f>'SSD_eMMC_non volatile'!X118</f>
        <v>0</v>
      </c>
      <c r="Y279" s="29">
        <f>'SSD_eMMC_non volatile'!Y118</f>
        <v>0</v>
      </c>
      <c r="Z279" s="29" t="e">
        <f>'SSD_eMMC_non volatile'!#REF!</f>
        <v>#REF!</v>
      </c>
      <c r="AA279" s="29">
        <f>'SSD_eMMC_non volatile'!Z118</f>
        <v>0</v>
      </c>
      <c r="AB279" s="29">
        <f>'SSD_eMMC_non volatile'!AA118</f>
        <v>0</v>
      </c>
    </row>
    <row r="280" spans="3:28" s="11" customFormat="1">
      <c r="C280" s="98" t="s">
        <v>115</v>
      </c>
      <c r="D280" s="29">
        <f>'SSD_eMMC_non volatile'!C119</f>
        <v>0</v>
      </c>
      <c r="E280" s="29">
        <f>'SSD_eMMC_non volatile'!D119</f>
        <v>0</v>
      </c>
      <c r="F280" s="29">
        <f>'SSD_eMMC_non volatile'!E119</f>
        <v>0</v>
      </c>
      <c r="G280" s="29" t="str">
        <f>'SSD_eMMC_non volatile'!F119</f>
        <v>M1502IA</v>
      </c>
      <c r="H280" s="29" t="str">
        <f>'SSD_eMMC_non volatile'!G119</f>
        <v>Ryzen 7-4800H</v>
      </c>
      <c r="I280" s="29" t="str">
        <f>'SSD_eMMC_non volatile'!H119</f>
        <v>Imported</v>
      </c>
      <c r="J280" s="29" t="str">
        <f>'SSD_eMMC_non volatile'!I119</f>
        <v>Asus</v>
      </c>
      <c r="K280" s="29" t="str">
        <f>'SSD_eMMC_non volatile'!J119</f>
        <v>SSD</v>
      </c>
      <c r="L280" s="29" t="str">
        <f>'SSD_eMMC_non volatile'!K119</f>
        <v>256G</v>
      </c>
      <c r="M280" s="29">
        <f>'SSD_eMMC_non volatile'!L119</f>
        <v>1</v>
      </c>
      <c r="N280" s="29" t="str">
        <f>'SSD_eMMC_non volatile'!M119</f>
        <v>03B03-00223600</v>
      </c>
      <c r="O280" s="29">
        <f>'SSD_eMMC_non volatile'!N119</f>
        <v>0</v>
      </c>
      <c r="P280" s="29">
        <f>'SSD_eMMC_non volatile'!P119</f>
        <v>0</v>
      </c>
      <c r="Q280" s="29">
        <f>'SSD_eMMC_non volatile'!Q119</f>
        <v>0</v>
      </c>
      <c r="R280" s="29">
        <f>'SSD_eMMC_non volatile'!R119</f>
        <v>130</v>
      </c>
      <c r="S280" s="29">
        <f>'SSD_eMMC_non volatile'!S119</f>
        <v>0</v>
      </c>
      <c r="T280" s="29">
        <f>'SSD_eMMC_non volatile'!T119</f>
        <v>0</v>
      </c>
      <c r="U280" s="29">
        <f>'SSD_eMMC_non volatile'!U119</f>
        <v>0</v>
      </c>
      <c r="V280" s="29">
        <f>'SSD_eMMC_non volatile'!V119</f>
        <v>0</v>
      </c>
      <c r="W280" s="29">
        <f>'SSD_eMMC_non volatile'!W119</f>
        <v>0</v>
      </c>
      <c r="X280" s="29">
        <f>'SSD_eMMC_non volatile'!X119</f>
        <v>0</v>
      </c>
      <c r="Y280" s="29">
        <f>'SSD_eMMC_non volatile'!Y119</f>
        <v>0</v>
      </c>
      <c r="Z280" s="29" t="e">
        <f>'SSD_eMMC_non volatile'!#REF!</f>
        <v>#REF!</v>
      </c>
      <c r="AA280" s="29">
        <f>'SSD_eMMC_non volatile'!Z119</f>
        <v>130</v>
      </c>
      <c r="AB280" s="29">
        <f>'SSD_eMMC_non volatile'!AA119</f>
        <v>130</v>
      </c>
    </row>
    <row r="281" spans="3:28" s="11" customFormat="1">
      <c r="C281" s="98" t="s">
        <v>115</v>
      </c>
      <c r="D281" s="29">
        <f>'SSD_eMMC_non volatile'!C120</f>
        <v>0</v>
      </c>
      <c r="E281" s="29">
        <f>'SSD_eMMC_non volatile'!D120</f>
        <v>0</v>
      </c>
      <c r="F281" s="29">
        <f>'SSD_eMMC_non volatile'!E120</f>
        <v>0</v>
      </c>
      <c r="G281" s="29" t="str">
        <f>'SSD_eMMC_non volatile'!F120</f>
        <v>M1502IA</v>
      </c>
      <c r="H281" s="29" t="str">
        <f>'SSD_eMMC_non volatile'!G120</f>
        <v>Ryzen 7-4800H</v>
      </c>
      <c r="I281" s="29" t="str">
        <f>'SSD_eMMC_non volatile'!H120</f>
        <v>Local</v>
      </c>
      <c r="J281" s="29" t="str">
        <f>'SSD_eMMC_non volatile'!I120</f>
        <v>TBD</v>
      </c>
      <c r="K281" s="29" t="str">
        <f>'SSD_eMMC_non volatile'!J120</f>
        <v>SSD</v>
      </c>
      <c r="L281" s="29" t="str">
        <f>'SSD_eMMC_non volatile'!K120</f>
        <v>256G</v>
      </c>
      <c r="M281" s="29">
        <f>'SSD_eMMC_non volatile'!L120</f>
        <v>2</v>
      </c>
      <c r="N281" s="29">
        <f>'SSD_eMMC_non volatile'!M120</f>
        <v>0</v>
      </c>
      <c r="O281" s="29">
        <f>'SSD_eMMC_non volatile'!N120</f>
        <v>0</v>
      </c>
      <c r="P281" s="29">
        <f>'SSD_eMMC_non volatile'!P120</f>
        <v>0</v>
      </c>
      <c r="Q281" s="29">
        <f>'SSD_eMMC_non volatile'!Q120</f>
        <v>0</v>
      </c>
      <c r="R281" s="29">
        <f>'SSD_eMMC_non volatile'!R120</f>
        <v>50</v>
      </c>
      <c r="S281" s="29">
        <f>'SSD_eMMC_non volatile'!S120</f>
        <v>200</v>
      </c>
      <c r="T281" s="29">
        <f>'SSD_eMMC_non volatile'!T120</f>
        <v>480</v>
      </c>
      <c r="U281" s="29">
        <f>'SSD_eMMC_non volatile'!U120</f>
        <v>480</v>
      </c>
      <c r="V281" s="29">
        <f>'SSD_eMMC_non volatile'!V120</f>
        <v>480</v>
      </c>
      <c r="W281" s="29">
        <f>'SSD_eMMC_non volatile'!W120</f>
        <v>0</v>
      </c>
      <c r="X281" s="29">
        <f>'SSD_eMMC_non volatile'!X120</f>
        <v>0</v>
      </c>
      <c r="Y281" s="29">
        <f>'SSD_eMMC_non volatile'!Y120</f>
        <v>0</v>
      </c>
      <c r="Z281" s="29" t="e">
        <f>'SSD_eMMC_non volatile'!#REF!</f>
        <v>#REF!</v>
      </c>
      <c r="AA281" s="29">
        <f>'SSD_eMMC_non volatile'!Z120</f>
        <v>3380</v>
      </c>
      <c r="AB281" s="29">
        <f>'SSD_eMMC_non volatile'!AA120</f>
        <v>1690</v>
      </c>
    </row>
    <row r="282" spans="3:28" s="11" customFormat="1">
      <c r="C282" s="98" t="s">
        <v>115</v>
      </c>
      <c r="D282" s="29">
        <f>'SSD_eMMC_non volatile'!C124</f>
        <v>0</v>
      </c>
      <c r="E282" s="29" t="str">
        <f>'SSD_eMMC_non volatile'!D124</f>
        <v>FCST</v>
      </c>
      <c r="F282" s="29">
        <f>'SSD_eMMC_non volatile'!E124</f>
        <v>70</v>
      </c>
      <c r="G282" s="29" t="str">
        <f>'SSD_eMMC_non volatile'!F124</f>
        <v>X1502ZA</v>
      </c>
      <c r="H282" s="29" t="str">
        <f>'SSD_eMMC_non volatile'!G124</f>
        <v>Core i5-1235U</v>
      </c>
      <c r="I282" s="29">
        <f>'SSD_eMMC_non volatile'!H124</f>
        <v>0</v>
      </c>
      <c r="J282" s="29">
        <f>'SSD_eMMC_non volatile'!I124</f>
        <v>0</v>
      </c>
      <c r="K282" s="29">
        <f>'SSD_eMMC_non volatile'!J124</f>
        <v>0</v>
      </c>
      <c r="L282" s="29" t="str">
        <f>'SSD_eMMC_non volatile'!K124</f>
        <v>256GB SSD</v>
      </c>
      <c r="M282" s="29">
        <f>'SSD_eMMC_non volatile'!L124</f>
        <v>0</v>
      </c>
      <c r="N282" s="29">
        <f>'SSD_eMMC_non volatile'!M124</f>
        <v>0</v>
      </c>
      <c r="O282" s="29">
        <f>'SSD_eMMC_non volatile'!N124</f>
        <v>0</v>
      </c>
      <c r="P282" s="29">
        <f>'SSD_eMMC_non volatile'!P124</f>
        <v>0</v>
      </c>
      <c r="Q282" s="29">
        <f>'SSD_eMMC_non volatile'!Q124</f>
        <v>0</v>
      </c>
      <c r="R282" s="29">
        <f>'SSD_eMMC_non volatile'!R124</f>
        <v>0</v>
      </c>
      <c r="S282" s="29">
        <f>'SSD_eMMC_non volatile'!S124</f>
        <v>0</v>
      </c>
      <c r="T282" s="29">
        <f>'SSD_eMMC_non volatile'!T124</f>
        <v>0</v>
      </c>
      <c r="U282" s="29">
        <f>'SSD_eMMC_non volatile'!U124</f>
        <v>0</v>
      </c>
      <c r="V282" s="29">
        <f>'SSD_eMMC_non volatile'!V124</f>
        <v>0</v>
      </c>
      <c r="W282" s="29">
        <f>'SSD_eMMC_non volatile'!W124</f>
        <v>0</v>
      </c>
      <c r="X282" s="29">
        <f>'SSD_eMMC_non volatile'!X124</f>
        <v>0</v>
      </c>
      <c r="Y282" s="29">
        <f>'SSD_eMMC_non volatile'!Y124</f>
        <v>0</v>
      </c>
      <c r="Z282" s="29" t="e">
        <f>'SSD_eMMC_non volatile'!#REF!</f>
        <v>#REF!</v>
      </c>
      <c r="AA282" s="29">
        <f>'SSD_eMMC_non volatile'!Z124</f>
        <v>0</v>
      </c>
      <c r="AB282" s="29">
        <f>'SSD_eMMC_non volatile'!AA124</f>
        <v>0</v>
      </c>
    </row>
    <row r="283" spans="3:28" s="11" customFormat="1">
      <c r="C283" s="98" t="s">
        <v>115</v>
      </c>
      <c r="D283" s="29">
        <f>'SSD_eMMC_non volatile'!C125</f>
        <v>0</v>
      </c>
      <c r="E283" s="29">
        <f>'SSD_eMMC_non volatile'!D125</f>
        <v>0</v>
      </c>
      <c r="F283" s="29">
        <f>'SSD_eMMC_non volatile'!E125</f>
        <v>0</v>
      </c>
      <c r="G283" s="29" t="str">
        <f>'SSD_eMMC_non volatile'!F125</f>
        <v>X1502ZA</v>
      </c>
      <c r="H283" s="29" t="str">
        <f>'SSD_eMMC_non volatile'!G125</f>
        <v>Core i5-1235U</v>
      </c>
      <c r="I283" s="29" t="str">
        <f>'SSD_eMMC_non volatile'!H125</f>
        <v>Imported</v>
      </c>
      <c r="J283" s="29" t="str">
        <f>'SSD_eMMC_non volatile'!I125</f>
        <v>Asus</v>
      </c>
      <c r="K283" s="29" t="str">
        <f>'SSD_eMMC_non volatile'!J125</f>
        <v>SSD</v>
      </c>
      <c r="L283" s="29" t="str">
        <f>'SSD_eMMC_non volatile'!K125</f>
        <v>256G</v>
      </c>
      <c r="M283" s="29">
        <f>'SSD_eMMC_non volatile'!L125</f>
        <v>1</v>
      </c>
      <c r="N283" s="29" t="str">
        <f>'SSD_eMMC_non volatile'!M125</f>
        <v>03B03-00226500</v>
      </c>
      <c r="O283" s="29">
        <f>'SSD_eMMC_non volatile'!N125</f>
        <v>0</v>
      </c>
      <c r="P283" s="29">
        <f>'SSD_eMMC_non volatile'!P125</f>
        <v>0</v>
      </c>
      <c r="Q283" s="29">
        <f>'SSD_eMMC_non volatile'!Q125</f>
        <v>0</v>
      </c>
      <c r="R283" s="29">
        <f>'SSD_eMMC_non volatile'!R125</f>
        <v>0</v>
      </c>
      <c r="S283" s="29">
        <f>'SSD_eMMC_non volatile'!S125</f>
        <v>0</v>
      </c>
      <c r="T283" s="29">
        <f>'SSD_eMMC_non volatile'!T125</f>
        <v>0</v>
      </c>
      <c r="U283" s="29">
        <f>'SSD_eMMC_non volatile'!U125</f>
        <v>0</v>
      </c>
      <c r="V283" s="29">
        <f>'SSD_eMMC_non volatile'!V125</f>
        <v>0</v>
      </c>
      <c r="W283" s="29">
        <f>'SSD_eMMC_non volatile'!W125</f>
        <v>0</v>
      </c>
      <c r="X283" s="29">
        <f>'SSD_eMMC_non volatile'!X125</f>
        <v>0</v>
      </c>
      <c r="Y283" s="29">
        <f>'SSD_eMMC_non volatile'!Y125</f>
        <v>0</v>
      </c>
      <c r="Z283" s="29" t="e">
        <f>'SSD_eMMC_non volatile'!#REF!</f>
        <v>#REF!</v>
      </c>
      <c r="AA283" s="29">
        <f>'SSD_eMMC_non volatile'!Z125</f>
        <v>70</v>
      </c>
      <c r="AB283" s="29">
        <f>'SSD_eMMC_non volatile'!AA125</f>
        <v>70</v>
      </c>
    </row>
    <row r="284" spans="3:28" s="11" customFormat="1">
      <c r="C284" s="98" t="s">
        <v>115</v>
      </c>
      <c r="D284" s="29">
        <f>'SSD_eMMC_non volatile'!C126</f>
        <v>0</v>
      </c>
      <c r="E284" s="29">
        <f>'SSD_eMMC_non volatile'!D126</f>
        <v>0</v>
      </c>
      <c r="F284" s="29">
        <f>'SSD_eMMC_non volatile'!E126</f>
        <v>0</v>
      </c>
      <c r="G284" s="29" t="str">
        <f>'SSD_eMMC_non volatile'!F126</f>
        <v>X1502ZA</v>
      </c>
      <c r="H284" s="29" t="str">
        <f>'SSD_eMMC_non volatile'!G126</f>
        <v>Core i5-1235U</v>
      </c>
      <c r="I284" s="29" t="str">
        <f>'SSD_eMMC_non volatile'!H126</f>
        <v>Local</v>
      </c>
      <c r="J284" s="29" t="str">
        <f>'SSD_eMMC_non volatile'!I126</f>
        <v>TBD</v>
      </c>
      <c r="K284" s="29" t="str">
        <f>'SSD_eMMC_non volatile'!J126</f>
        <v>SSD</v>
      </c>
      <c r="L284" s="29" t="str">
        <f>'SSD_eMMC_non volatile'!K126</f>
        <v>256G</v>
      </c>
      <c r="M284" s="29">
        <f>'SSD_eMMC_non volatile'!L126</f>
        <v>2</v>
      </c>
      <c r="N284" s="29">
        <f>'SSD_eMMC_non volatile'!M126</f>
        <v>0</v>
      </c>
      <c r="O284" s="29">
        <f>'SSD_eMMC_non volatile'!N126</f>
        <v>0</v>
      </c>
      <c r="P284" s="29">
        <f>'SSD_eMMC_non volatile'!P126</f>
        <v>0</v>
      </c>
      <c r="Q284" s="29">
        <f>'SSD_eMMC_non volatile'!Q126</f>
        <v>0</v>
      </c>
      <c r="R284" s="29">
        <f>'SSD_eMMC_non volatile'!R126</f>
        <v>0</v>
      </c>
      <c r="S284" s="29">
        <f>'SSD_eMMC_non volatile'!S126</f>
        <v>0</v>
      </c>
      <c r="T284" s="29">
        <f>'SSD_eMMC_non volatile'!T126</f>
        <v>0</v>
      </c>
      <c r="U284" s="29">
        <f>'SSD_eMMC_non volatile'!U126</f>
        <v>0</v>
      </c>
      <c r="V284" s="29">
        <f>'SSD_eMMC_non volatile'!V126</f>
        <v>0</v>
      </c>
      <c r="W284" s="29">
        <f>'SSD_eMMC_non volatile'!W126</f>
        <v>0</v>
      </c>
      <c r="X284" s="29">
        <f>'SSD_eMMC_non volatile'!X126</f>
        <v>0</v>
      </c>
      <c r="Y284" s="29">
        <f>'SSD_eMMC_non volatile'!Y126</f>
        <v>0</v>
      </c>
      <c r="Z284" s="29" t="e">
        <f>'SSD_eMMC_non volatile'!#REF!</f>
        <v>#REF!</v>
      </c>
      <c r="AA284" s="29">
        <f>'SSD_eMMC_non volatile'!Z126</f>
        <v>0</v>
      </c>
      <c r="AB284" s="29">
        <f>'SSD_eMMC_non volatile'!AA126</f>
        <v>0</v>
      </c>
    </row>
    <row r="285" spans="3:28" s="11" customFormat="1">
      <c r="C285" s="98" t="s">
        <v>115</v>
      </c>
      <c r="D285" s="29">
        <f>'SSD_eMMC_non volatile'!C127</f>
        <v>0</v>
      </c>
      <c r="E285" s="29" t="str">
        <f>'SSD_eMMC_non volatile'!D127</f>
        <v>FCST</v>
      </c>
      <c r="F285" s="29">
        <f>'SSD_eMMC_non volatile'!E127</f>
        <v>30</v>
      </c>
      <c r="G285" s="29" t="str">
        <f>'SSD_eMMC_non volatile'!F127</f>
        <v>X1502ZA</v>
      </c>
      <c r="H285" s="29" t="str">
        <f>'SSD_eMMC_non volatile'!G127</f>
        <v>Core i5-1235U</v>
      </c>
      <c r="I285" s="29">
        <f>'SSD_eMMC_non volatile'!H127</f>
        <v>0</v>
      </c>
      <c r="J285" s="29">
        <f>'SSD_eMMC_non volatile'!I127</f>
        <v>0</v>
      </c>
      <c r="K285" s="29">
        <f>'SSD_eMMC_non volatile'!J127</f>
        <v>0</v>
      </c>
      <c r="L285" s="29" t="str">
        <f>'SSD_eMMC_non volatile'!K127</f>
        <v>512GB SSD</v>
      </c>
      <c r="M285" s="29">
        <f>'SSD_eMMC_non volatile'!L127</f>
        <v>0</v>
      </c>
      <c r="N285" s="29">
        <f>'SSD_eMMC_non volatile'!M127</f>
        <v>0</v>
      </c>
      <c r="O285" s="29">
        <f>'SSD_eMMC_non volatile'!N127</f>
        <v>0</v>
      </c>
      <c r="P285" s="29">
        <f>'SSD_eMMC_non volatile'!P127</f>
        <v>0</v>
      </c>
      <c r="Q285" s="29">
        <f>'SSD_eMMC_non volatile'!Q127</f>
        <v>0</v>
      </c>
      <c r="R285" s="29">
        <f>'SSD_eMMC_non volatile'!R127</f>
        <v>0</v>
      </c>
      <c r="S285" s="29">
        <f>'SSD_eMMC_non volatile'!S127</f>
        <v>0</v>
      </c>
      <c r="T285" s="29">
        <f>'SSD_eMMC_non volatile'!T127</f>
        <v>0</v>
      </c>
      <c r="U285" s="29">
        <f>'SSD_eMMC_non volatile'!U127</f>
        <v>0</v>
      </c>
      <c r="V285" s="29">
        <f>'SSD_eMMC_non volatile'!V127</f>
        <v>0</v>
      </c>
      <c r="W285" s="29">
        <f>'SSD_eMMC_non volatile'!W127</f>
        <v>0</v>
      </c>
      <c r="X285" s="29">
        <f>'SSD_eMMC_non volatile'!X127</f>
        <v>0</v>
      </c>
      <c r="Y285" s="29">
        <f>'SSD_eMMC_non volatile'!Y127</f>
        <v>0</v>
      </c>
      <c r="Z285" s="29" t="e">
        <f>'SSD_eMMC_non volatile'!#REF!</f>
        <v>#REF!</v>
      </c>
      <c r="AA285" s="29">
        <f>'SSD_eMMC_non volatile'!Z127</f>
        <v>0</v>
      </c>
      <c r="AB285" s="29">
        <f>'SSD_eMMC_non volatile'!AA127</f>
        <v>0</v>
      </c>
    </row>
    <row r="286" spans="3:28" s="11" customFormat="1">
      <c r="C286" s="98" t="s">
        <v>115</v>
      </c>
      <c r="D286" s="29">
        <f>'SSD_eMMC_non volatile'!C128</f>
        <v>0</v>
      </c>
      <c r="E286" s="29">
        <f>'SSD_eMMC_non volatile'!D128</f>
        <v>0</v>
      </c>
      <c r="F286" s="29">
        <f>'SSD_eMMC_non volatile'!E128</f>
        <v>0</v>
      </c>
      <c r="G286" s="29" t="str">
        <f>'SSD_eMMC_non volatile'!F128</f>
        <v>X1502ZA</v>
      </c>
      <c r="H286" s="29" t="str">
        <f>'SSD_eMMC_non volatile'!G128</f>
        <v>Core i5-1235U</v>
      </c>
      <c r="I286" s="29" t="str">
        <f>'SSD_eMMC_non volatile'!H128</f>
        <v>Imported</v>
      </c>
      <c r="J286" s="29" t="str">
        <f>'SSD_eMMC_non volatile'!I128</f>
        <v>Asus</v>
      </c>
      <c r="K286" s="29" t="str">
        <f>'SSD_eMMC_non volatile'!J128</f>
        <v>SSD</v>
      </c>
      <c r="L286" s="29" t="str">
        <f>'SSD_eMMC_non volatile'!K128</f>
        <v>512G</v>
      </c>
      <c r="M286" s="29">
        <f>'SSD_eMMC_non volatile'!L128</f>
        <v>1</v>
      </c>
      <c r="N286" s="29" t="str">
        <f>'SSD_eMMC_non volatile'!M128</f>
        <v>03B03-00372100</v>
      </c>
      <c r="O286" s="29">
        <f>'SSD_eMMC_non volatile'!N128</f>
        <v>0</v>
      </c>
      <c r="P286" s="29">
        <f>'SSD_eMMC_non volatile'!P128</f>
        <v>0</v>
      </c>
      <c r="Q286" s="29">
        <f>'SSD_eMMC_non volatile'!Q128</f>
        <v>0</v>
      </c>
      <c r="R286" s="29">
        <f>'SSD_eMMC_non volatile'!R128</f>
        <v>0</v>
      </c>
      <c r="S286" s="29">
        <f>'SSD_eMMC_non volatile'!S128</f>
        <v>0</v>
      </c>
      <c r="T286" s="29">
        <f>'SSD_eMMC_non volatile'!T128</f>
        <v>0</v>
      </c>
      <c r="U286" s="29">
        <f>'SSD_eMMC_non volatile'!U128</f>
        <v>0</v>
      </c>
      <c r="V286" s="29">
        <f>'SSD_eMMC_non volatile'!V128</f>
        <v>0</v>
      </c>
      <c r="W286" s="29">
        <f>'SSD_eMMC_non volatile'!W128</f>
        <v>0</v>
      </c>
      <c r="X286" s="29">
        <f>'SSD_eMMC_non volatile'!X128</f>
        <v>0</v>
      </c>
      <c r="Y286" s="29">
        <f>'SSD_eMMC_non volatile'!Y128</f>
        <v>0</v>
      </c>
      <c r="Z286" s="29" t="e">
        <f>'SSD_eMMC_non volatile'!#REF!</f>
        <v>#REF!</v>
      </c>
      <c r="AA286" s="29">
        <f>'SSD_eMMC_non volatile'!Z128</f>
        <v>30</v>
      </c>
      <c r="AB286" s="29">
        <f>'SSD_eMMC_non volatile'!AA128</f>
        <v>30</v>
      </c>
    </row>
    <row r="287" spans="3:28" s="11" customFormat="1">
      <c r="C287" s="98" t="s">
        <v>115</v>
      </c>
      <c r="D287" s="29">
        <f>'SSD_eMMC_non volatile'!C129</f>
        <v>0</v>
      </c>
      <c r="E287" s="29">
        <f>'SSD_eMMC_non volatile'!D129</f>
        <v>0</v>
      </c>
      <c r="F287" s="29">
        <f>'SSD_eMMC_non volatile'!E129</f>
        <v>0</v>
      </c>
      <c r="G287" s="29" t="str">
        <f>'SSD_eMMC_non volatile'!F129</f>
        <v>X1502ZA</v>
      </c>
      <c r="H287" s="29" t="str">
        <f>'SSD_eMMC_non volatile'!G129</f>
        <v>Core i5-1235U</v>
      </c>
      <c r="I287" s="29" t="str">
        <f>'SSD_eMMC_non volatile'!H129</f>
        <v>Local</v>
      </c>
      <c r="J287" s="29" t="str">
        <f>'SSD_eMMC_non volatile'!I129</f>
        <v>TBD</v>
      </c>
      <c r="K287" s="29" t="str">
        <f>'SSD_eMMC_non volatile'!J129</f>
        <v>SSD</v>
      </c>
      <c r="L287" s="29" t="str">
        <f>'SSD_eMMC_non volatile'!K129</f>
        <v>512G</v>
      </c>
      <c r="M287" s="29">
        <f>'SSD_eMMC_non volatile'!L129</f>
        <v>2</v>
      </c>
      <c r="N287" s="29">
        <f>'SSD_eMMC_non volatile'!M129</f>
        <v>0</v>
      </c>
      <c r="O287" s="29">
        <f>'SSD_eMMC_non volatile'!N129</f>
        <v>0</v>
      </c>
      <c r="P287" s="29">
        <f>'SSD_eMMC_non volatile'!P129</f>
        <v>0</v>
      </c>
      <c r="Q287" s="29">
        <f>'SSD_eMMC_non volatile'!Q129</f>
        <v>0</v>
      </c>
      <c r="R287" s="29">
        <f>'SSD_eMMC_non volatile'!R129</f>
        <v>0</v>
      </c>
      <c r="S287" s="29">
        <f>'SSD_eMMC_non volatile'!S129</f>
        <v>0</v>
      </c>
      <c r="T287" s="29">
        <f>'SSD_eMMC_non volatile'!T129</f>
        <v>0</v>
      </c>
      <c r="U287" s="29">
        <f>'SSD_eMMC_non volatile'!U129</f>
        <v>0</v>
      </c>
      <c r="V287" s="29">
        <f>'SSD_eMMC_non volatile'!V129</f>
        <v>0</v>
      </c>
      <c r="W287" s="29">
        <f>'SSD_eMMC_non volatile'!W129</f>
        <v>0</v>
      </c>
      <c r="X287" s="29">
        <f>'SSD_eMMC_non volatile'!X129</f>
        <v>0</v>
      </c>
      <c r="Y287" s="29">
        <f>'SSD_eMMC_non volatile'!Y129</f>
        <v>0</v>
      </c>
      <c r="Z287" s="29" t="e">
        <f>'SSD_eMMC_non volatile'!#REF!</f>
        <v>#REF!</v>
      </c>
      <c r="AA287" s="29">
        <f>'SSD_eMMC_non volatile'!Z129</f>
        <v>0</v>
      </c>
      <c r="AB287" s="29">
        <f>'SSD_eMMC_non volatile'!AA129</f>
        <v>0</v>
      </c>
    </row>
    <row r="288" spans="3:28" s="11" customFormat="1">
      <c r="C288" s="98" t="s">
        <v>115</v>
      </c>
      <c r="D288" s="29">
        <f>'SSD_eMMC_non volatile'!C133</f>
        <v>0</v>
      </c>
      <c r="E288" s="29" t="str">
        <f>'SSD_eMMC_non volatile'!D133</f>
        <v>FCST</v>
      </c>
      <c r="F288" s="29">
        <f>'SSD_eMMC_non volatile'!E133</f>
        <v>600</v>
      </c>
      <c r="G288" s="29" t="str">
        <f>'SSD_eMMC_non volatile'!F133</f>
        <v>X1502ZA</v>
      </c>
      <c r="H288" s="29" t="str">
        <f>'SSD_eMMC_non volatile'!G133</f>
        <v>Core i7-1255U</v>
      </c>
      <c r="I288" s="29">
        <f>'SSD_eMMC_non volatile'!H133</f>
        <v>0</v>
      </c>
      <c r="J288" s="29">
        <f>'SSD_eMMC_non volatile'!I133</f>
        <v>0</v>
      </c>
      <c r="K288" s="29">
        <f>'SSD_eMMC_non volatile'!J133</f>
        <v>0</v>
      </c>
      <c r="L288" s="29" t="str">
        <f>'SSD_eMMC_non volatile'!K133</f>
        <v>512GB SSD</v>
      </c>
      <c r="M288" s="29">
        <f>'SSD_eMMC_non volatile'!L133</f>
        <v>0</v>
      </c>
      <c r="N288" s="29">
        <f>'SSD_eMMC_non volatile'!M133</f>
        <v>0</v>
      </c>
      <c r="O288" s="29">
        <f>'SSD_eMMC_non volatile'!N133</f>
        <v>200</v>
      </c>
      <c r="P288" s="29">
        <f>'SSD_eMMC_non volatile'!P133</f>
        <v>200</v>
      </c>
      <c r="Q288" s="29">
        <f>'SSD_eMMC_non volatile'!Q133</f>
        <v>0</v>
      </c>
      <c r="R288" s="29">
        <f>'SSD_eMMC_non volatile'!R133</f>
        <v>0</v>
      </c>
      <c r="S288" s="29">
        <f>'SSD_eMMC_non volatile'!S133</f>
        <v>0</v>
      </c>
      <c r="T288" s="29">
        <f>'SSD_eMMC_non volatile'!T133</f>
        <v>0</v>
      </c>
      <c r="U288" s="29">
        <f>'SSD_eMMC_non volatile'!U133</f>
        <v>0</v>
      </c>
      <c r="V288" s="29">
        <f>'SSD_eMMC_non volatile'!V133</f>
        <v>0</v>
      </c>
      <c r="W288" s="29">
        <f>'SSD_eMMC_non volatile'!W133</f>
        <v>0</v>
      </c>
      <c r="X288" s="29">
        <f>'SSD_eMMC_non volatile'!X133</f>
        <v>0</v>
      </c>
      <c r="Y288" s="29">
        <f>'SSD_eMMC_non volatile'!Y133</f>
        <v>0</v>
      </c>
      <c r="Z288" s="29" t="e">
        <f>'SSD_eMMC_non volatile'!#REF!</f>
        <v>#REF!</v>
      </c>
      <c r="AA288" s="29">
        <f>'SSD_eMMC_non volatile'!Z133</f>
        <v>0</v>
      </c>
      <c r="AB288" s="29">
        <f>'SSD_eMMC_non volatile'!AA133</f>
        <v>0</v>
      </c>
    </row>
    <row r="289" spans="3:28" s="11" customFormat="1">
      <c r="C289" s="98" t="s">
        <v>115</v>
      </c>
      <c r="D289" s="29">
        <f>'SSD_eMMC_non volatile'!C134</f>
        <v>0</v>
      </c>
      <c r="E289" s="29">
        <f>'SSD_eMMC_non volatile'!D134</f>
        <v>0</v>
      </c>
      <c r="F289" s="29">
        <f>'SSD_eMMC_non volatile'!E134</f>
        <v>0</v>
      </c>
      <c r="G289" s="29" t="str">
        <f>'SSD_eMMC_non volatile'!F134</f>
        <v>X1502ZA</v>
      </c>
      <c r="H289" s="29" t="str">
        <f>'SSD_eMMC_non volatile'!G134</f>
        <v>Core i7-1255U</v>
      </c>
      <c r="I289" s="29" t="str">
        <f>'SSD_eMMC_non volatile'!H134</f>
        <v>Imported</v>
      </c>
      <c r="J289" s="29" t="str">
        <f>'SSD_eMMC_non volatile'!I134</f>
        <v>Asus</v>
      </c>
      <c r="K289" s="29" t="str">
        <f>'SSD_eMMC_non volatile'!J134</f>
        <v>SSD</v>
      </c>
      <c r="L289" s="29" t="str">
        <f>'SSD_eMMC_non volatile'!K134</f>
        <v>512G</v>
      </c>
      <c r="M289" s="29">
        <f>'SSD_eMMC_non volatile'!L134</f>
        <v>1</v>
      </c>
      <c r="N289" s="29" t="str">
        <f>'SSD_eMMC_non volatile'!M134</f>
        <v>03B03-00372100</v>
      </c>
      <c r="O289" s="29">
        <f>'SSD_eMMC_non volatile'!N134</f>
        <v>200</v>
      </c>
      <c r="P289" s="29">
        <f>'SSD_eMMC_non volatile'!P134</f>
        <v>200</v>
      </c>
      <c r="Q289" s="29">
        <f>'SSD_eMMC_non volatile'!Q134</f>
        <v>0</v>
      </c>
      <c r="R289" s="29">
        <f>'SSD_eMMC_non volatile'!R134</f>
        <v>0</v>
      </c>
      <c r="S289" s="29">
        <f>'SSD_eMMC_non volatile'!S134</f>
        <v>0</v>
      </c>
      <c r="T289" s="29">
        <f>'SSD_eMMC_non volatile'!T134</f>
        <v>0</v>
      </c>
      <c r="U289" s="29">
        <f>'SSD_eMMC_non volatile'!U134</f>
        <v>0</v>
      </c>
      <c r="V289" s="29">
        <f>'SSD_eMMC_non volatile'!V134</f>
        <v>0</v>
      </c>
      <c r="W289" s="29">
        <f>'SSD_eMMC_non volatile'!W134</f>
        <v>0</v>
      </c>
      <c r="X289" s="29">
        <f>'SSD_eMMC_non volatile'!X134</f>
        <v>0</v>
      </c>
      <c r="Y289" s="29">
        <f>'SSD_eMMC_non volatile'!Y134</f>
        <v>0</v>
      </c>
      <c r="Z289" s="29" t="e">
        <f>'SSD_eMMC_non volatile'!#REF!</f>
        <v>#REF!</v>
      </c>
      <c r="AA289" s="29">
        <f>'SSD_eMMC_non volatile'!Z134</f>
        <v>600</v>
      </c>
      <c r="AB289" s="29">
        <f>'SSD_eMMC_non volatile'!AA134</f>
        <v>600</v>
      </c>
    </row>
    <row r="290" spans="3:28" s="11" customFormat="1">
      <c r="C290" s="98" t="s">
        <v>115</v>
      </c>
      <c r="D290" s="29">
        <f>'SSD_eMMC_non volatile'!C135</f>
        <v>0</v>
      </c>
      <c r="E290" s="29">
        <f>'SSD_eMMC_non volatile'!D135</f>
        <v>0</v>
      </c>
      <c r="F290" s="29">
        <f>'SSD_eMMC_non volatile'!E135</f>
        <v>0</v>
      </c>
      <c r="G290" s="29" t="str">
        <f>'SSD_eMMC_non volatile'!F135</f>
        <v>X1502ZA</v>
      </c>
      <c r="H290" s="29" t="str">
        <f>'SSD_eMMC_non volatile'!G135</f>
        <v>Core i7-1255U</v>
      </c>
      <c r="I290" s="29" t="str">
        <f>'SSD_eMMC_non volatile'!H135</f>
        <v>Local</v>
      </c>
      <c r="J290" s="29" t="str">
        <f>'SSD_eMMC_non volatile'!I135</f>
        <v>TBD</v>
      </c>
      <c r="K290" s="29" t="str">
        <f>'SSD_eMMC_non volatile'!J135</f>
        <v>SSD</v>
      </c>
      <c r="L290" s="29" t="str">
        <f>'SSD_eMMC_non volatile'!K135</f>
        <v>512G</v>
      </c>
      <c r="M290" s="29">
        <f>'SSD_eMMC_non volatile'!L135</f>
        <v>2</v>
      </c>
      <c r="N290" s="29">
        <f>'SSD_eMMC_non volatile'!M135</f>
        <v>0</v>
      </c>
      <c r="O290" s="29">
        <f>'SSD_eMMC_non volatile'!N135</f>
        <v>0</v>
      </c>
      <c r="P290" s="29">
        <f>'SSD_eMMC_non volatile'!P135</f>
        <v>0</v>
      </c>
      <c r="Q290" s="29">
        <f>'SSD_eMMC_non volatile'!Q135</f>
        <v>0</v>
      </c>
      <c r="R290" s="29">
        <f>'SSD_eMMC_non volatile'!R135</f>
        <v>0</v>
      </c>
      <c r="S290" s="29">
        <f>'SSD_eMMC_non volatile'!S135</f>
        <v>0</v>
      </c>
      <c r="T290" s="29">
        <f>'SSD_eMMC_non volatile'!T135</f>
        <v>0</v>
      </c>
      <c r="U290" s="29">
        <f>'SSD_eMMC_non volatile'!U135</f>
        <v>0</v>
      </c>
      <c r="V290" s="29">
        <f>'SSD_eMMC_non volatile'!V135</f>
        <v>0</v>
      </c>
      <c r="W290" s="29">
        <f>'SSD_eMMC_non volatile'!W135</f>
        <v>0</v>
      </c>
      <c r="X290" s="29">
        <f>'SSD_eMMC_non volatile'!X135</f>
        <v>0</v>
      </c>
      <c r="Y290" s="29">
        <f>'SSD_eMMC_non volatile'!Y135</f>
        <v>0</v>
      </c>
      <c r="Z290" s="29" t="e">
        <f>'SSD_eMMC_non volatile'!#REF!</f>
        <v>#REF!</v>
      </c>
      <c r="AA290" s="29">
        <f>'SSD_eMMC_non volatile'!Z135</f>
        <v>0</v>
      </c>
      <c r="AB290" s="29">
        <f>'SSD_eMMC_non volatile'!AA135</f>
        <v>0</v>
      </c>
    </row>
    <row r="291" spans="3:28" s="11" customFormat="1">
      <c r="C291" s="98" t="s">
        <v>115</v>
      </c>
      <c r="D291" s="29">
        <f>'SSD_eMMC_non volatile'!C139</f>
        <v>0</v>
      </c>
      <c r="E291" s="29" t="str">
        <f>'SSD_eMMC_non volatile'!D139</f>
        <v>FCST</v>
      </c>
      <c r="F291" s="29">
        <f>'SSD_eMMC_non volatile'!E139</f>
        <v>0</v>
      </c>
      <c r="G291" s="29" t="str">
        <f>'SSD_eMMC_non volatile'!F139</f>
        <v>X1603ZA</v>
      </c>
      <c r="H291" s="29" t="str">
        <f>'SSD_eMMC_non volatile'!G139</f>
        <v>Core i7 ADL</v>
      </c>
      <c r="I291" s="29">
        <f>'SSD_eMMC_non volatile'!H139</f>
        <v>0</v>
      </c>
      <c r="J291" s="29">
        <f>'SSD_eMMC_non volatile'!I139</f>
        <v>0</v>
      </c>
      <c r="K291" s="29">
        <f>'SSD_eMMC_non volatile'!J139</f>
        <v>0</v>
      </c>
      <c r="L291" s="29" t="str">
        <f>'SSD_eMMC_non volatile'!K139</f>
        <v>256GB SSD</v>
      </c>
      <c r="M291" s="29">
        <f>'SSD_eMMC_non volatile'!L139</f>
        <v>0</v>
      </c>
      <c r="N291" s="29">
        <f>'SSD_eMMC_non volatile'!M139</f>
        <v>0</v>
      </c>
      <c r="O291" s="29">
        <f>'SSD_eMMC_non volatile'!N139</f>
        <v>0</v>
      </c>
      <c r="P291" s="29">
        <f>'SSD_eMMC_non volatile'!P139</f>
        <v>0</v>
      </c>
      <c r="Q291" s="29">
        <f>'SSD_eMMC_non volatile'!Q139</f>
        <v>0</v>
      </c>
      <c r="R291" s="29">
        <f>'SSD_eMMC_non volatile'!R139</f>
        <v>0</v>
      </c>
      <c r="S291" s="29">
        <f>'SSD_eMMC_non volatile'!S139</f>
        <v>0</v>
      </c>
      <c r="T291" s="29">
        <f>'SSD_eMMC_non volatile'!T139</f>
        <v>0</v>
      </c>
      <c r="U291" s="29">
        <f>'SSD_eMMC_non volatile'!U139</f>
        <v>0</v>
      </c>
      <c r="V291" s="29">
        <f>'SSD_eMMC_non volatile'!V139</f>
        <v>0</v>
      </c>
      <c r="W291" s="29">
        <f>'SSD_eMMC_non volatile'!W139</f>
        <v>0</v>
      </c>
      <c r="X291" s="29">
        <f>'SSD_eMMC_non volatile'!X139</f>
        <v>0</v>
      </c>
      <c r="Y291" s="29">
        <f>'SSD_eMMC_non volatile'!Y139</f>
        <v>0</v>
      </c>
      <c r="Z291" s="29" t="e">
        <f>'SSD_eMMC_non volatile'!#REF!</f>
        <v>#REF!</v>
      </c>
      <c r="AA291" s="29">
        <f>'SSD_eMMC_non volatile'!Z139</f>
        <v>0</v>
      </c>
      <c r="AB291" s="29">
        <f>'SSD_eMMC_non volatile'!AA139</f>
        <v>0</v>
      </c>
    </row>
    <row r="292" spans="3:28" s="11" customFormat="1">
      <c r="C292" s="98" t="s">
        <v>115</v>
      </c>
      <c r="D292" s="29">
        <f>'SSD_eMMC_non volatile'!C140</f>
        <v>0</v>
      </c>
      <c r="E292" s="29">
        <f>'SSD_eMMC_non volatile'!D140</f>
        <v>0</v>
      </c>
      <c r="F292" s="29">
        <f>'SSD_eMMC_non volatile'!E140</f>
        <v>0</v>
      </c>
      <c r="G292" s="29" t="str">
        <f>'SSD_eMMC_non volatile'!F140</f>
        <v>X1603ZA</v>
      </c>
      <c r="H292" s="29" t="str">
        <f>'SSD_eMMC_non volatile'!G140</f>
        <v>Core i7 ADL</v>
      </c>
      <c r="I292" s="29" t="str">
        <f>'SSD_eMMC_non volatile'!H140</f>
        <v>Imported</v>
      </c>
      <c r="J292" s="29" t="str">
        <f>'SSD_eMMC_non volatile'!I140</f>
        <v>Asus</v>
      </c>
      <c r="K292" s="29" t="str">
        <f>'SSD_eMMC_non volatile'!J140</f>
        <v>SSD</v>
      </c>
      <c r="L292" s="29" t="str">
        <f>'SSD_eMMC_non volatile'!K140</f>
        <v>256G</v>
      </c>
      <c r="M292" s="29">
        <f>'SSD_eMMC_non volatile'!L140</f>
        <v>2</v>
      </c>
      <c r="N292" s="29">
        <f>'SSD_eMMC_non volatile'!M140</f>
        <v>0</v>
      </c>
      <c r="O292" s="29">
        <f>'SSD_eMMC_non volatile'!N140</f>
        <v>0</v>
      </c>
      <c r="P292" s="29">
        <f>'SSD_eMMC_non volatile'!P140</f>
        <v>0</v>
      </c>
      <c r="Q292" s="29">
        <f>'SSD_eMMC_non volatile'!Q140</f>
        <v>0</v>
      </c>
      <c r="R292" s="29">
        <f>'SSD_eMMC_non volatile'!R140</f>
        <v>0</v>
      </c>
      <c r="S292" s="29">
        <f>'SSD_eMMC_non volatile'!S140</f>
        <v>0</v>
      </c>
      <c r="T292" s="29">
        <f>'SSD_eMMC_non volatile'!T140</f>
        <v>0</v>
      </c>
      <c r="U292" s="29">
        <f>'SSD_eMMC_non volatile'!U140</f>
        <v>0</v>
      </c>
      <c r="V292" s="29">
        <f>'SSD_eMMC_non volatile'!V140</f>
        <v>0</v>
      </c>
      <c r="W292" s="29">
        <f>'SSD_eMMC_non volatile'!W140</f>
        <v>0</v>
      </c>
      <c r="X292" s="29">
        <f>'SSD_eMMC_non volatile'!X140</f>
        <v>0</v>
      </c>
      <c r="Y292" s="29">
        <f>'SSD_eMMC_non volatile'!Y140</f>
        <v>0</v>
      </c>
      <c r="Z292" s="29" t="e">
        <f>'SSD_eMMC_non volatile'!#REF!</f>
        <v>#REF!</v>
      </c>
      <c r="AA292" s="29">
        <f>'SSD_eMMC_non volatile'!Z140</f>
        <v>0</v>
      </c>
      <c r="AB292" s="29">
        <f>'SSD_eMMC_non volatile'!AA140</f>
        <v>0</v>
      </c>
    </row>
    <row r="293" spans="3:28" s="11" customFormat="1">
      <c r="C293" s="98" t="s">
        <v>115</v>
      </c>
      <c r="D293" s="29">
        <f>'SSD_eMMC_non volatile'!C141</f>
        <v>0</v>
      </c>
      <c r="E293" s="29">
        <f>'SSD_eMMC_non volatile'!D141</f>
        <v>0</v>
      </c>
      <c r="F293" s="29">
        <f>'SSD_eMMC_non volatile'!E141</f>
        <v>0</v>
      </c>
      <c r="G293" s="29" t="str">
        <f>'SSD_eMMC_non volatile'!F141</f>
        <v>X1603ZA</v>
      </c>
      <c r="H293" s="29" t="str">
        <f>'SSD_eMMC_non volatile'!G141</f>
        <v>Core i7 ADL</v>
      </c>
      <c r="I293" s="29" t="str">
        <f>'SSD_eMMC_non volatile'!H141</f>
        <v>Local</v>
      </c>
      <c r="J293" s="29" t="str">
        <f>'SSD_eMMC_non volatile'!I141</f>
        <v>TBD</v>
      </c>
      <c r="K293" s="29" t="str">
        <f>'SSD_eMMC_non volatile'!J141</f>
        <v>SSD</v>
      </c>
      <c r="L293" s="29" t="str">
        <f>'SSD_eMMC_non volatile'!K141</f>
        <v>256G</v>
      </c>
      <c r="M293" s="29">
        <f>'SSD_eMMC_non volatile'!L141</f>
        <v>2</v>
      </c>
      <c r="N293" s="29">
        <f>'SSD_eMMC_non volatile'!M141</f>
        <v>0</v>
      </c>
      <c r="O293" s="29">
        <f>'SSD_eMMC_non volatile'!N141</f>
        <v>0</v>
      </c>
      <c r="P293" s="29">
        <f>'SSD_eMMC_non volatile'!P141</f>
        <v>0</v>
      </c>
      <c r="Q293" s="29">
        <f>'SSD_eMMC_non volatile'!Q141</f>
        <v>0</v>
      </c>
      <c r="R293" s="29">
        <f>'SSD_eMMC_non volatile'!R141</f>
        <v>0</v>
      </c>
      <c r="S293" s="29">
        <f>'SSD_eMMC_non volatile'!S141</f>
        <v>0</v>
      </c>
      <c r="T293" s="29">
        <f>'SSD_eMMC_non volatile'!T141</f>
        <v>0</v>
      </c>
      <c r="U293" s="29">
        <f>'SSD_eMMC_non volatile'!U141</f>
        <v>0</v>
      </c>
      <c r="V293" s="29">
        <f>'SSD_eMMC_non volatile'!V141</f>
        <v>0</v>
      </c>
      <c r="W293" s="29">
        <f>'SSD_eMMC_non volatile'!W141</f>
        <v>0</v>
      </c>
      <c r="X293" s="29">
        <f>'SSD_eMMC_non volatile'!X141</f>
        <v>0</v>
      </c>
      <c r="Y293" s="29">
        <f>'SSD_eMMC_non volatile'!Y141</f>
        <v>0</v>
      </c>
      <c r="Z293" s="29" t="e">
        <f>'SSD_eMMC_non volatile'!#REF!</f>
        <v>#REF!</v>
      </c>
      <c r="AA293" s="29">
        <f>'SSD_eMMC_non volatile'!Z141</f>
        <v>0</v>
      </c>
      <c r="AB293" s="29">
        <f>'SSD_eMMC_non volatile'!AA141</f>
        <v>0</v>
      </c>
    </row>
    <row r="294" spans="3:28" s="11" customFormat="1">
      <c r="C294" s="98" t="s">
        <v>115</v>
      </c>
      <c r="D294" s="29">
        <f>'SSD_eMMC_non volatile'!C142</f>
        <v>0</v>
      </c>
      <c r="E294" s="29" t="str">
        <f>'SSD_eMMC_non volatile'!D142</f>
        <v>FCST</v>
      </c>
      <c r="F294" s="29">
        <f>'SSD_eMMC_non volatile'!E142</f>
        <v>0</v>
      </c>
      <c r="G294" s="29" t="str">
        <f>'SSD_eMMC_non volatile'!F142</f>
        <v>X1603ZA</v>
      </c>
      <c r="H294" s="29" t="str">
        <f>'SSD_eMMC_non volatile'!G142</f>
        <v>Core i7 ADL</v>
      </c>
      <c r="I294" s="29">
        <f>'SSD_eMMC_non volatile'!H142</f>
        <v>0</v>
      </c>
      <c r="J294" s="29">
        <f>'SSD_eMMC_non volatile'!I142</f>
        <v>0</v>
      </c>
      <c r="K294" s="29">
        <f>'SSD_eMMC_non volatile'!J142</f>
        <v>0</v>
      </c>
      <c r="L294" s="29" t="str">
        <f>'SSD_eMMC_non volatile'!K142</f>
        <v>1TB SSD</v>
      </c>
      <c r="M294" s="29">
        <f>'SSD_eMMC_non volatile'!L142</f>
        <v>0</v>
      </c>
      <c r="N294" s="29">
        <f>'SSD_eMMC_non volatile'!M142</f>
        <v>0</v>
      </c>
      <c r="O294" s="29">
        <f>'SSD_eMMC_non volatile'!N142</f>
        <v>0</v>
      </c>
      <c r="P294" s="29">
        <f>'SSD_eMMC_non volatile'!P142</f>
        <v>0</v>
      </c>
      <c r="Q294" s="29">
        <f>'SSD_eMMC_non volatile'!Q142</f>
        <v>0</v>
      </c>
      <c r="R294" s="29">
        <f>'SSD_eMMC_non volatile'!R142</f>
        <v>0</v>
      </c>
      <c r="S294" s="29">
        <f>'SSD_eMMC_non volatile'!S142</f>
        <v>0</v>
      </c>
      <c r="T294" s="29">
        <f>'SSD_eMMC_non volatile'!T142</f>
        <v>0</v>
      </c>
      <c r="U294" s="29">
        <f>'SSD_eMMC_non volatile'!U142</f>
        <v>0</v>
      </c>
      <c r="V294" s="29">
        <f>'SSD_eMMC_non volatile'!V142</f>
        <v>0</v>
      </c>
      <c r="W294" s="29">
        <f>'SSD_eMMC_non volatile'!W142</f>
        <v>0</v>
      </c>
      <c r="X294" s="29">
        <f>'SSD_eMMC_non volatile'!X142</f>
        <v>0</v>
      </c>
      <c r="Y294" s="29">
        <f>'SSD_eMMC_non volatile'!Y142</f>
        <v>0</v>
      </c>
      <c r="Z294" s="29" t="e">
        <f>'SSD_eMMC_non volatile'!#REF!</f>
        <v>#REF!</v>
      </c>
      <c r="AA294" s="29">
        <f>'SSD_eMMC_non volatile'!Z142</f>
        <v>0</v>
      </c>
      <c r="AB294" s="29">
        <f>'SSD_eMMC_non volatile'!AA142</f>
        <v>0</v>
      </c>
    </row>
    <row r="295" spans="3:28" s="11" customFormat="1">
      <c r="C295" s="98" t="s">
        <v>115</v>
      </c>
      <c r="D295" s="29">
        <f>'SSD_eMMC_non volatile'!C143</f>
        <v>0</v>
      </c>
      <c r="E295" s="29">
        <f>'SSD_eMMC_non volatile'!D143</f>
        <v>0</v>
      </c>
      <c r="F295" s="29">
        <f>'SSD_eMMC_non volatile'!E143</f>
        <v>0</v>
      </c>
      <c r="G295" s="29" t="str">
        <f>'SSD_eMMC_non volatile'!F143</f>
        <v>X1603ZA</v>
      </c>
      <c r="H295" s="29" t="str">
        <f>'SSD_eMMC_non volatile'!G143</f>
        <v>Core i7 ADL</v>
      </c>
      <c r="I295" s="29" t="str">
        <f>'SSD_eMMC_non volatile'!H143</f>
        <v>Imported</v>
      </c>
      <c r="J295" s="29" t="str">
        <f>'SSD_eMMC_non volatile'!I143</f>
        <v>Asus</v>
      </c>
      <c r="K295" s="29" t="str">
        <f>'SSD_eMMC_non volatile'!J143</f>
        <v>SSD</v>
      </c>
      <c r="L295" s="29" t="str">
        <f>'SSD_eMMC_non volatile'!K143</f>
        <v>1TB</v>
      </c>
      <c r="M295" s="29">
        <f>'SSD_eMMC_non volatile'!L143</f>
        <v>2</v>
      </c>
      <c r="N295" s="29">
        <f>'SSD_eMMC_non volatile'!M143</f>
        <v>0</v>
      </c>
      <c r="O295" s="29">
        <f>'SSD_eMMC_non volatile'!N143</f>
        <v>0</v>
      </c>
      <c r="P295" s="29">
        <f>'SSD_eMMC_non volatile'!P143</f>
        <v>0</v>
      </c>
      <c r="Q295" s="29">
        <f>'SSD_eMMC_non volatile'!Q143</f>
        <v>0</v>
      </c>
      <c r="R295" s="29">
        <f>'SSD_eMMC_non volatile'!R143</f>
        <v>0</v>
      </c>
      <c r="S295" s="29">
        <f>'SSD_eMMC_non volatile'!S143</f>
        <v>0</v>
      </c>
      <c r="T295" s="29">
        <f>'SSD_eMMC_non volatile'!T143</f>
        <v>0</v>
      </c>
      <c r="U295" s="29">
        <f>'SSD_eMMC_non volatile'!U143</f>
        <v>0</v>
      </c>
      <c r="V295" s="29">
        <f>'SSD_eMMC_non volatile'!V143</f>
        <v>0</v>
      </c>
      <c r="W295" s="29">
        <f>'SSD_eMMC_non volatile'!W143</f>
        <v>0</v>
      </c>
      <c r="X295" s="29">
        <f>'SSD_eMMC_non volatile'!X143</f>
        <v>0</v>
      </c>
      <c r="Y295" s="29">
        <f>'SSD_eMMC_non volatile'!Y143</f>
        <v>0</v>
      </c>
      <c r="Z295" s="29" t="e">
        <f>'SSD_eMMC_non volatile'!#REF!</f>
        <v>#REF!</v>
      </c>
      <c r="AA295" s="29">
        <f>'SSD_eMMC_non volatile'!Z143</f>
        <v>0</v>
      </c>
      <c r="AB295" s="29">
        <f>'SSD_eMMC_non volatile'!AA143</f>
        <v>0</v>
      </c>
    </row>
    <row r="296" spans="3:28" s="11" customFormat="1">
      <c r="C296" s="98" t="s">
        <v>115</v>
      </c>
      <c r="D296" s="29">
        <f>'SSD_eMMC_non volatile'!C144</f>
        <v>0</v>
      </c>
      <c r="E296" s="29">
        <f>'SSD_eMMC_non volatile'!D144</f>
        <v>0</v>
      </c>
      <c r="F296" s="29">
        <f>'SSD_eMMC_non volatile'!E144</f>
        <v>0</v>
      </c>
      <c r="G296" s="29" t="str">
        <f>'SSD_eMMC_non volatile'!F144</f>
        <v>X1603ZA</v>
      </c>
      <c r="H296" s="29" t="str">
        <f>'SSD_eMMC_non volatile'!G144</f>
        <v>Core i7 ADL</v>
      </c>
      <c r="I296" s="29" t="str">
        <f>'SSD_eMMC_non volatile'!H144</f>
        <v>Local</v>
      </c>
      <c r="J296" s="29" t="str">
        <f>'SSD_eMMC_non volatile'!I144</f>
        <v>TBD</v>
      </c>
      <c r="K296" s="29" t="str">
        <f>'SSD_eMMC_non volatile'!J144</f>
        <v>SSD</v>
      </c>
      <c r="L296" s="29" t="str">
        <f>'SSD_eMMC_non volatile'!K144</f>
        <v>1TB</v>
      </c>
      <c r="M296" s="29">
        <f>'SSD_eMMC_non volatile'!L144</f>
        <v>2</v>
      </c>
      <c r="N296" s="29">
        <f>'SSD_eMMC_non volatile'!M144</f>
        <v>0</v>
      </c>
      <c r="O296" s="29">
        <f>'SSD_eMMC_non volatile'!N144</f>
        <v>0</v>
      </c>
      <c r="P296" s="29">
        <f>'SSD_eMMC_non volatile'!P144</f>
        <v>0</v>
      </c>
      <c r="Q296" s="29">
        <f>'SSD_eMMC_non volatile'!Q144</f>
        <v>0</v>
      </c>
      <c r="R296" s="29">
        <f>'SSD_eMMC_non volatile'!R144</f>
        <v>0</v>
      </c>
      <c r="S296" s="29">
        <f>'SSD_eMMC_non volatile'!S144</f>
        <v>0</v>
      </c>
      <c r="T296" s="29">
        <f>'SSD_eMMC_non volatile'!T144</f>
        <v>0</v>
      </c>
      <c r="U296" s="29">
        <f>'SSD_eMMC_non volatile'!U144</f>
        <v>0</v>
      </c>
      <c r="V296" s="29">
        <f>'SSD_eMMC_non volatile'!V144</f>
        <v>0</v>
      </c>
      <c r="W296" s="29">
        <f>'SSD_eMMC_non volatile'!W144</f>
        <v>0</v>
      </c>
      <c r="X296" s="29">
        <f>'SSD_eMMC_non volatile'!X144</f>
        <v>0</v>
      </c>
      <c r="Y296" s="29">
        <f>'SSD_eMMC_non volatile'!Y144</f>
        <v>0</v>
      </c>
      <c r="Z296" s="29" t="e">
        <f>'SSD_eMMC_non volatile'!#REF!</f>
        <v>#REF!</v>
      </c>
      <c r="AA296" s="29">
        <f>'SSD_eMMC_non volatile'!Z144</f>
        <v>0</v>
      </c>
      <c r="AB296" s="29">
        <f>'SSD_eMMC_non volatile'!AA144</f>
        <v>0</v>
      </c>
    </row>
    <row r="297" spans="3:28" s="11" customFormat="1">
      <c r="C297" s="98" t="s">
        <v>115</v>
      </c>
      <c r="D297" s="29">
        <f>'SSD_eMMC_non volatile'!C145</f>
        <v>0</v>
      </c>
      <c r="E297" s="29" t="str">
        <f>'SSD_eMMC_non volatile'!D145</f>
        <v>FCST</v>
      </c>
      <c r="F297" s="29">
        <f>'SSD_eMMC_non volatile'!E145</f>
        <v>0</v>
      </c>
      <c r="G297" s="29" t="str">
        <f>'SSD_eMMC_non volatile'!F145</f>
        <v>UX325JA</v>
      </c>
      <c r="H297" s="29" t="str">
        <f>'SSD_eMMC_non volatile'!G145</f>
        <v>Core i5-1035G1</v>
      </c>
      <c r="I297" s="29">
        <f>'SSD_eMMC_non volatile'!H145</f>
        <v>0</v>
      </c>
      <c r="J297" s="29">
        <f>'SSD_eMMC_non volatile'!I145</f>
        <v>0</v>
      </c>
      <c r="K297" s="29">
        <f>'SSD_eMMC_non volatile'!J145</f>
        <v>0</v>
      </c>
      <c r="L297" s="29" t="str">
        <f>'SSD_eMMC_non volatile'!K145</f>
        <v>256GB SSD</v>
      </c>
      <c r="M297" s="29">
        <f>'SSD_eMMC_non volatile'!L145</f>
        <v>0</v>
      </c>
      <c r="N297" s="29">
        <f>'SSD_eMMC_non volatile'!M145</f>
        <v>0</v>
      </c>
      <c r="O297" s="29">
        <f>'SSD_eMMC_non volatile'!N145</f>
        <v>0</v>
      </c>
      <c r="P297" s="29">
        <f>'SSD_eMMC_non volatile'!P145</f>
        <v>0</v>
      </c>
      <c r="Q297" s="29">
        <f>'SSD_eMMC_non volatile'!Q145</f>
        <v>0</v>
      </c>
      <c r="R297" s="29">
        <f>'SSD_eMMC_non volatile'!R145</f>
        <v>0</v>
      </c>
      <c r="S297" s="29">
        <f>'SSD_eMMC_non volatile'!S145</f>
        <v>0</v>
      </c>
      <c r="T297" s="29">
        <f>'SSD_eMMC_non volatile'!T145</f>
        <v>0</v>
      </c>
      <c r="U297" s="29">
        <f>'SSD_eMMC_non volatile'!U145</f>
        <v>0</v>
      </c>
      <c r="V297" s="29">
        <f>'SSD_eMMC_non volatile'!V145</f>
        <v>0</v>
      </c>
      <c r="W297" s="29">
        <f>'SSD_eMMC_non volatile'!W145</f>
        <v>0</v>
      </c>
      <c r="X297" s="29">
        <f>'SSD_eMMC_non volatile'!X145</f>
        <v>0</v>
      </c>
      <c r="Y297" s="29">
        <f>'SSD_eMMC_non volatile'!Y145</f>
        <v>0</v>
      </c>
      <c r="Z297" s="29" t="e">
        <f>'SSD_eMMC_non volatile'!#REF!</f>
        <v>#REF!</v>
      </c>
      <c r="AA297" s="29">
        <f>'SSD_eMMC_non volatile'!Z145</f>
        <v>0</v>
      </c>
      <c r="AB297" s="29">
        <f>'SSD_eMMC_non volatile'!AA145</f>
        <v>0</v>
      </c>
    </row>
    <row r="298" spans="3:28" s="11" customFormat="1">
      <c r="C298" s="98" t="s">
        <v>115</v>
      </c>
      <c r="D298" s="29">
        <f>'SSD_eMMC_non volatile'!C146</f>
        <v>0</v>
      </c>
      <c r="E298" s="29">
        <f>'SSD_eMMC_non volatile'!D146</f>
        <v>0</v>
      </c>
      <c r="F298" s="29">
        <f>'SSD_eMMC_non volatile'!E146</f>
        <v>0</v>
      </c>
      <c r="G298" s="29" t="str">
        <f>'SSD_eMMC_non volatile'!F146</f>
        <v>UX325JA</v>
      </c>
      <c r="H298" s="29" t="str">
        <f>'SSD_eMMC_non volatile'!G146</f>
        <v>Core i5-1035G1</v>
      </c>
      <c r="I298" s="29" t="str">
        <f>'SSD_eMMC_non volatile'!H146</f>
        <v>Imported</v>
      </c>
      <c r="J298" s="29" t="str">
        <f>'SSD_eMMC_non volatile'!I146</f>
        <v>Asus</v>
      </c>
      <c r="K298" s="29" t="str">
        <f>'SSD_eMMC_non volatile'!J146</f>
        <v>SSD</v>
      </c>
      <c r="L298" s="29" t="str">
        <f>'SSD_eMMC_non volatile'!K146</f>
        <v>256G</v>
      </c>
      <c r="M298" s="29">
        <f>'SSD_eMMC_non volatile'!L146</f>
        <v>1</v>
      </c>
      <c r="N298" s="29" t="str">
        <f>'SSD_eMMC_non volatile'!M146</f>
        <v>03B03-00223600</v>
      </c>
      <c r="O298" s="29">
        <f>'SSD_eMMC_non volatile'!N146</f>
        <v>0</v>
      </c>
      <c r="P298" s="29">
        <f>'SSD_eMMC_non volatile'!P146</f>
        <v>0</v>
      </c>
      <c r="Q298" s="29">
        <f>'SSD_eMMC_non volatile'!Q146</f>
        <v>0</v>
      </c>
      <c r="R298" s="29">
        <f>'SSD_eMMC_non volatile'!R146</f>
        <v>0</v>
      </c>
      <c r="S298" s="29">
        <f>'SSD_eMMC_non volatile'!S146</f>
        <v>0</v>
      </c>
      <c r="T298" s="29">
        <f>'SSD_eMMC_non volatile'!T146</f>
        <v>0</v>
      </c>
      <c r="U298" s="29">
        <f>'SSD_eMMC_non volatile'!U146</f>
        <v>0</v>
      </c>
      <c r="V298" s="29">
        <f>'SSD_eMMC_non volatile'!V146</f>
        <v>0</v>
      </c>
      <c r="W298" s="29">
        <f>'SSD_eMMC_non volatile'!W146</f>
        <v>0</v>
      </c>
      <c r="X298" s="29">
        <f>'SSD_eMMC_non volatile'!X146</f>
        <v>0</v>
      </c>
      <c r="Y298" s="29">
        <f>'SSD_eMMC_non volatile'!Y146</f>
        <v>0</v>
      </c>
      <c r="Z298" s="29" t="e">
        <f>'SSD_eMMC_non volatile'!#REF!</f>
        <v>#REF!</v>
      </c>
      <c r="AA298" s="29">
        <f>'SSD_eMMC_non volatile'!Z146</f>
        <v>0</v>
      </c>
      <c r="AB298" s="29">
        <f>'SSD_eMMC_non volatile'!AA146</f>
        <v>0</v>
      </c>
    </row>
    <row r="299" spans="3:28" s="11" customFormat="1">
      <c r="C299" s="98" t="s">
        <v>115</v>
      </c>
      <c r="D299" s="29">
        <f>'SSD_eMMC_non volatile'!C147</f>
        <v>0</v>
      </c>
      <c r="E299" s="29">
        <f>'SSD_eMMC_non volatile'!D147</f>
        <v>0</v>
      </c>
      <c r="F299" s="29">
        <f>'SSD_eMMC_non volatile'!E147</f>
        <v>0</v>
      </c>
      <c r="G299" s="29" t="str">
        <f>'SSD_eMMC_non volatile'!F147</f>
        <v>UX325JA</v>
      </c>
      <c r="H299" s="29" t="str">
        <f>'SSD_eMMC_non volatile'!G147</f>
        <v>Core i5-1035G1</v>
      </c>
      <c r="I299" s="29" t="str">
        <f>'SSD_eMMC_non volatile'!H147</f>
        <v>Local</v>
      </c>
      <c r="J299" s="29" t="str">
        <f>'SSD_eMMC_non volatile'!I147</f>
        <v>TBD</v>
      </c>
      <c r="K299" s="29" t="str">
        <f>'SSD_eMMC_non volatile'!J147</f>
        <v>SSD</v>
      </c>
      <c r="L299" s="29" t="str">
        <f>'SSD_eMMC_non volatile'!K147</f>
        <v>256G</v>
      </c>
      <c r="M299" s="29">
        <f>'SSD_eMMC_non volatile'!L147</f>
        <v>2</v>
      </c>
      <c r="N299" s="29">
        <f>'SSD_eMMC_non volatile'!M147</f>
        <v>0</v>
      </c>
      <c r="O299" s="29">
        <f>'SSD_eMMC_non volatile'!N147</f>
        <v>0</v>
      </c>
      <c r="P299" s="29">
        <f>'SSD_eMMC_non volatile'!P147</f>
        <v>0</v>
      </c>
      <c r="Q299" s="29">
        <f>'SSD_eMMC_non volatile'!Q147</f>
        <v>0</v>
      </c>
      <c r="R299" s="29">
        <f>'SSD_eMMC_non volatile'!R147</f>
        <v>0</v>
      </c>
      <c r="S299" s="29">
        <f>'SSD_eMMC_non volatile'!S147</f>
        <v>0</v>
      </c>
      <c r="T299" s="29">
        <f>'SSD_eMMC_non volatile'!T147</f>
        <v>0</v>
      </c>
      <c r="U299" s="29">
        <f>'SSD_eMMC_non volatile'!U147</f>
        <v>0</v>
      </c>
      <c r="V299" s="29">
        <f>'SSD_eMMC_non volatile'!V147</f>
        <v>0</v>
      </c>
      <c r="W299" s="29">
        <f>'SSD_eMMC_non volatile'!W147</f>
        <v>0</v>
      </c>
      <c r="X299" s="29">
        <f>'SSD_eMMC_non volatile'!X147</f>
        <v>0</v>
      </c>
      <c r="Y299" s="29">
        <f>'SSD_eMMC_non volatile'!Y147</f>
        <v>0</v>
      </c>
      <c r="Z299" s="29" t="e">
        <f>'SSD_eMMC_non volatile'!#REF!</f>
        <v>#REF!</v>
      </c>
      <c r="AA299" s="29">
        <f>'SSD_eMMC_non volatile'!Z147</f>
        <v>0</v>
      </c>
      <c r="AB299" s="29">
        <f>'SSD_eMMC_non volatile'!AA147</f>
        <v>0</v>
      </c>
    </row>
    <row r="300" spans="3:28" s="11" customFormat="1">
      <c r="C300" s="98" t="s">
        <v>115</v>
      </c>
      <c r="D300" s="29">
        <f>'SSD_eMMC_non volatile'!C151</f>
        <v>0</v>
      </c>
      <c r="E300" s="29" t="str">
        <f>'SSD_eMMC_non volatile'!D151</f>
        <v>FCST</v>
      </c>
      <c r="F300" s="29">
        <f>'SSD_eMMC_non volatile'!E151</f>
        <v>0</v>
      </c>
      <c r="G300" s="29" t="str">
        <f>'SSD_eMMC_non volatile'!F151</f>
        <v>UX482EAR</v>
      </c>
      <c r="H300" s="29" t="str">
        <f>'SSD_eMMC_non volatile'!G151</f>
        <v>Core i7-1195G7</v>
      </c>
      <c r="I300" s="29">
        <f>'SSD_eMMC_non volatile'!H151</f>
        <v>0</v>
      </c>
      <c r="J300" s="29">
        <f>'SSD_eMMC_non volatile'!I151</f>
        <v>0</v>
      </c>
      <c r="K300" s="29">
        <f>'SSD_eMMC_non volatile'!J151</f>
        <v>0</v>
      </c>
      <c r="L300" s="29" t="str">
        <f>'SSD_eMMC_non volatile'!K151</f>
        <v>512GB SSD</v>
      </c>
      <c r="M300" s="29">
        <f>'SSD_eMMC_non volatile'!L151</f>
        <v>0</v>
      </c>
      <c r="N300" s="29">
        <f>'SSD_eMMC_non volatile'!M151</f>
        <v>0</v>
      </c>
      <c r="O300" s="29">
        <f>'SSD_eMMC_non volatile'!N151</f>
        <v>0</v>
      </c>
      <c r="P300" s="29">
        <f>'SSD_eMMC_non volatile'!P151</f>
        <v>0</v>
      </c>
      <c r="Q300" s="29">
        <f>'SSD_eMMC_non volatile'!Q151</f>
        <v>0</v>
      </c>
      <c r="R300" s="29">
        <f>'SSD_eMMC_non volatile'!R151</f>
        <v>0</v>
      </c>
      <c r="S300" s="29">
        <f>'SSD_eMMC_non volatile'!S151</f>
        <v>0</v>
      </c>
      <c r="T300" s="29">
        <f>'SSD_eMMC_non volatile'!T151</f>
        <v>0</v>
      </c>
      <c r="U300" s="29">
        <f>'SSD_eMMC_non volatile'!U151</f>
        <v>0</v>
      </c>
      <c r="V300" s="29">
        <f>'SSD_eMMC_non volatile'!V151</f>
        <v>0</v>
      </c>
      <c r="W300" s="29">
        <f>'SSD_eMMC_non volatile'!W151</f>
        <v>0</v>
      </c>
      <c r="X300" s="29">
        <f>'SSD_eMMC_non volatile'!X151</f>
        <v>0</v>
      </c>
      <c r="Y300" s="29">
        <f>'SSD_eMMC_non volatile'!Y151</f>
        <v>0</v>
      </c>
      <c r="Z300" s="29" t="e">
        <f>'SSD_eMMC_non volatile'!#REF!</f>
        <v>#REF!</v>
      </c>
      <c r="AA300" s="29">
        <f>'SSD_eMMC_non volatile'!Z151</f>
        <v>0</v>
      </c>
      <c r="AB300" s="29">
        <f>'SSD_eMMC_non volatile'!AA151</f>
        <v>0</v>
      </c>
    </row>
    <row r="301" spans="3:28" s="11" customFormat="1">
      <c r="C301" s="98" t="s">
        <v>115</v>
      </c>
      <c r="D301" s="29">
        <f>'SSD_eMMC_non volatile'!C152</f>
        <v>0</v>
      </c>
      <c r="E301" s="29">
        <f>'SSD_eMMC_non volatile'!D152</f>
        <v>0</v>
      </c>
      <c r="F301" s="29">
        <f>'SSD_eMMC_non volatile'!E152</f>
        <v>0</v>
      </c>
      <c r="G301" s="29" t="str">
        <f>'SSD_eMMC_non volatile'!F152</f>
        <v>UX482EAR</v>
      </c>
      <c r="H301" s="29" t="str">
        <f>'SSD_eMMC_non volatile'!G152</f>
        <v>Core i7-1195G7</v>
      </c>
      <c r="I301" s="29" t="str">
        <f>'SSD_eMMC_non volatile'!H152</f>
        <v>Imported</v>
      </c>
      <c r="J301" s="29" t="str">
        <f>'SSD_eMMC_non volatile'!I152</f>
        <v>Asus</v>
      </c>
      <c r="K301" s="29" t="str">
        <f>'SSD_eMMC_non volatile'!J152</f>
        <v>SSD</v>
      </c>
      <c r="L301" s="29" t="str">
        <f>'SSD_eMMC_non volatile'!K152</f>
        <v>512G</v>
      </c>
      <c r="M301" s="29">
        <f>'SSD_eMMC_non volatile'!L152</f>
        <v>1</v>
      </c>
      <c r="N301" s="29" t="str">
        <f>'SSD_eMMC_non volatile'!M152</f>
        <v>03B03-00370500</v>
      </c>
      <c r="O301" s="29">
        <f>'SSD_eMMC_non volatile'!N152</f>
        <v>0</v>
      </c>
      <c r="P301" s="29">
        <f>'SSD_eMMC_non volatile'!P152</f>
        <v>0</v>
      </c>
      <c r="Q301" s="29">
        <f>'SSD_eMMC_non volatile'!Q152</f>
        <v>0</v>
      </c>
      <c r="R301" s="29">
        <f>'SSD_eMMC_non volatile'!R152</f>
        <v>0</v>
      </c>
      <c r="S301" s="29">
        <f>'SSD_eMMC_non volatile'!S152</f>
        <v>0</v>
      </c>
      <c r="T301" s="29">
        <f>'SSD_eMMC_non volatile'!T152</f>
        <v>0</v>
      </c>
      <c r="U301" s="29">
        <f>'SSD_eMMC_non volatile'!U152</f>
        <v>0</v>
      </c>
      <c r="V301" s="29">
        <f>'SSD_eMMC_non volatile'!V152</f>
        <v>0</v>
      </c>
      <c r="W301" s="29">
        <f>'SSD_eMMC_non volatile'!W152</f>
        <v>0</v>
      </c>
      <c r="X301" s="29">
        <f>'SSD_eMMC_non volatile'!X152</f>
        <v>0</v>
      </c>
      <c r="Y301" s="29">
        <f>'SSD_eMMC_non volatile'!Y152</f>
        <v>0</v>
      </c>
      <c r="Z301" s="29" t="e">
        <f>'SSD_eMMC_non volatile'!#REF!</f>
        <v>#REF!</v>
      </c>
      <c r="AA301" s="29">
        <f>'SSD_eMMC_non volatile'!Z152</f>
        <v>0</v>
      </c>
      <c r="AB301" s="29">
        <f>'SSD_eMMC_non volatile'!AA152</f>
        <v>0</v>
      </c>
    </row>
    <row r="302" spans="3:28" s="11" customFormat="1">
      <c r="C302" s="98" t="s">
        <v>115</v>
      </c>
      <c r="D302" s="29">
        <f>'SSD_eMMC_non volatile'!C153</f>
        <v>0</v>
      </c>
      <c r="E302" s="29">
        <f>'SSD_eMMC_non volatile'!D153</f>
        <v>0</v>
      </c>
      <c r="F302" s="29">
        <f>'SSD_eMMC_non volatile'!E153</f>
        <v>0</v>
      </c>
      <c r="G302" s="29" t="str">
        <f>'SSD_eMMC_non volatile'!F153</f>
        <v>UX482EAR</v>
      </c>
      <c r="H302" s="29" t="str">
        <f>'SSD_eMMC_non volatile'!G153</f>
        <v>Core i7-1195G7</v>
      </c>
      <c r="I302" s="29" t="str">
        <f>'SSD_eMMC_non volatile'!H153</f>
        <v>Local</v>
      </c>
      <c r="J302" s="29" t="str">
        <f>'SSD_eMMC_non volatile'!I153</f>
        <v>TBD</v>
      </c>
      <c r="K302" s="29" t="str">
        <f>'SSD_eMMC_non volatile'!J153</f>
        <v>SSD</v>
      </c>
      <c r="L302" s="29" t="str">
        <f>'SSD_eMMC_non volatile'!K153</f>
        <v>512G</v>
      </c>
      <c r="M302" s="29">
        <f>'SSD_eMMC_non volatile'!L153</f>
        <v>2</v>
      </c>
      <c r="N302" s="29">
        <f>'SSD_eMMC_non volatile'!M153</f>
        <v>0</v>
      </c>
      <c r="O302" s="29">
        <f>'SSD_eMMC_non volatile'!N153</f>
        <v>0</v>
      </c>
      <c r="P302" s="29">
        <f>'SSD_eMMC_non volatile'!P153</f>
        <v>0</v>
      </c>
      <c r="Q302" s="29">
        <f>'SSD_eMMC_non volatile'!Q153</f>
        <v>0</v>
      </c>
      <c r="R302" s="29">
        <f>'SSD_eMMC_non volatile'!R153</f>
        <v>0</v>
      </c>
      <c r="S302" s="29">
        <f>'SSD_eMMC_non volatile'!S153</f>
        <v>0</v>
      </c>
      <c r="T302" s="29">
        <f>'SSD_eMMC_non volatile'!T153</f>
        <v>0</v>
      </c>
      <c r="U302" s="29">
        <f>'SSD_eMMC_non volatile'!U153</f>
        <v>0</v>
      </c>
      <c r="V302" s="29">
        <f>'SSD_eMMC_non volatile'!V153</f>
        <v>0</v>
      </c>
      <c r="W302" s="29">
        <f>'SSD_eMMC_non volatile'!W153</f>
        <v>0</v>
      </c>
      <c r="X302" s="29">
        <f>'SSD_eMMC_non volatile'!X153</f>
        <v>0</v>
      </c>
      <c r="Y302" s="29">
        <f>'SSD_eMMC_non volatile'!Y153</f>
        <v>0</v>
      </c>
      <c r="Z302" s="29" t="e">
        <f>'SSD_eMMC_non volatile'!#REF!</f>
        <v>#REF!</v>
      </c>
      <c r="AA302" s="29">
        <f>'SSD_eMMC_non volatile'!Z153</f>
        <v>0</v>
      </c>
      <c r="AB302" s="29">
        <f>'SSD_eMMC_non volatile'!AA153</f>
        <v>0</v>
      </c>
    </row>
    <row r="303" spans="3:28" s="11" customFormat="1">
      <c r="C303" s="98" t="s">
        <v>115</v>
      </c>
      <c r="D303" s="29">
        <f>'SSD_eMMC_non volatile'!C154</f>
        <v>0</v>
      </c>
      <c r="E303" s="29" t="str">
        <f>'SSD_eMMC_non volatile'!D154</f>
        <v>FCST</v>
      </c>
      <c r="F303" s="29">
        <f>'SSD_eMMC_non volatile'!E154</f>
        <v>450</v>
      </c>
      <c r="G303" s="29" t="str">
        <f>'SSD_eMMC_non volatile'!F154</f>
        <v>UX3402ZA</v>
      </c>
      <c r="H303" s="29" t="str">
        <f>'SSD_eMMC_non volatile'!G154</f>
        <v>Core i7-1260P</v>
      </c>
      <c r="I303" s="29">
        <f>'SSD_eMMC_non volatile'!H154</f>
        <v>0</v>
      </c>
      <c r="J303" s="29">
        <f>'SSD_eMMC_non volatile'!I154</f>
        <v>0</v>
      </c>
      <c r="K303" s="29">
        <f>'SSD_eMMC_non volatile'!J154</f>
        <v>0</v>
      </c>
      <c r="L303" s="29" t="str">
        <f>'SSD_eMMC_non volatile'!K154</f>
        <v>1TB SSD</v>
      </c>
      <c r="M303" s="29">
        <f>'SSD_eMMC_non volatile'!L154</f>
        <v>0</v>
      </c>
      <c r="N303" s="29">
        <f>'SSD_eMMC_non volatile'!M154</f>
        <v>0</v>
      </c>
      <c r="O303" s="29">
        <f>'SSD_eMMC_non volatile'!N154</f>
        <v>50</v>
      </c>
      <c r="P303" s="29">
        <f>'SSD_eMMC_non volatile'!P154</f>
        <v>0</v>
      </c>
      <c r="Q303" s="29">
        <f>'SSD_eMMC_non volatile'!Q154</f>
        <v>0</v>
      </c>
      <c r="R303" s="29">
        <f>'SSD_eMMC_non volatile'!R154</f>
        <v>150</v>
      </c>
      <c r="S303" s="29">
        <f>'SSD_eMMC_non volatile'!S154</f>
        <v>150</v>
      </c>
      <c r="T303" s="29">
        <f>'SSD_eMMC_non volatile'!T154</f>
        <v>0</v>
      </c>
      <c r="U303" s="29">
        <f>'SSD_eMMC_non volatile'!U154</f>
        <v>0</v>
      </c>
      <c r="V303" s="29">
        <f>'SSD_eMMC_non volatile'!V154</f>
        <v>0</v>
      </c>
      <c r="W303" s="29">
        <f>'SSD_eMMC_non volatile'!W154</f>
        <v>0</v>
      </c>
      <c r="X303" s="29">
        <f>'SSD_eMMC_non volatile'!X154</f>
        <v>0</v>
      </c>
      <c r="Y303" s="29">
        <f>'SSD_eMMC_non volatile'!Y154</f>
        <v>0</v>
      </c>
      <c r="Z303" s="29" t="e">
        <f>'SSD_eMMC_non volatile'!#REF!</f>
        <v>#REF!</v>
      </c>
      <c r="AA303" s="29">
        <f>'SSD_eMMC_non volatile'!Z154</f>
        <v>0</v>
      </c>
      <c r="AB303" s="29">
        <f>'SSD_eMMC_non volatile'!AA154</f>
        <v>0</v>
      </c>
    </row>
    <row r="304" spans="3:28" s="11" customFormat="1">
      <c r="C304" s="98" t="s">
        <v>115</v>
      </c>
      <c r="D304" s="29">
        <f>'SSD_eMMC_non volatile'!C155</f>
        <v>0</v>
      </c>
      <c r="E304" s="29">
        <f>'SSD_eMMC_non volatile'!D155</f>
        <v>0</v>
      </c>
      <c r="F304" s="29">
        <f>'SSD_eMMC_non volatile'!E155</f>
        <v>0</v>
      </c>
      <c r="G304" s="29" t="str">
        <f>'SSD_eMMC_non volatile'!F155</f>
        <v>UX3402ZA</v>
      </c>
      <c r="H304" s="29" t="str">
        <f>'SSD_eMMC_non volatile'!G155</f>
        <v>Core i7-1260P</v>
      </c>
      <c r="I304" s="29" t="str">
        <f>'SSD_eMMC_non volatile'!H155</f>
        <v>Imported</v>
      </c>
      <c r="J304" s="29" t="str">
        <f>'SSD_eMMC_non volatile'!I155</f>
        <v>Asus</v>
      </c>
      <c r="K304" s="29" t="str">
        <f>'SSD_eMMC_non volatile'!J155</f>
        <v>SSD</v>
      </c>
      <c r="L304" s="29" t="str">
        <f>'SSD_eMMC_non volatile'!K155</f>
        <v>1TB</v>
      </c>
      <c r="M304" s="29">
        <f>'SSD_eMMC_non volatile'!L155</f>
        <v>2</v>
      </c>
      <c r="N304" s="29">
        <f>'SSD_eMMC_non volatile'!M155</f>
        <v>0</v>
      </c>
      <c r="O304" s="29">
        <f>'SSD_eMMC_non volatile'!N155</f>
        <v>50</v>
      </c>
      <c r="P304" s="29">
        <f>'SSD_eMMC_non volatile'!P155</f>
        <v>0</v>
      </c>
      <c r="Q304" s="29">
        <f>'SSD_eMMC_non volatile'!Q155</f>
        <v>0</v>
      </c>
      <c r="R304" s="29">
        <f>'SSD_eMMC_non volatile'!R155</f>
        <v>150</v>
      </c>
      <c r="S304" s="29">
        <f>'SSD_eMMC_non volatile'!S155</f>
        <v>150</v>
      </c>
      <c r="T304" s="29">
        <f>'SSD_eMMC_non volatile'!T155</f>
        <v>0</v>
      </c>
      <c r="U304" s="29">
        <f>'SSD_eMMC_non volatile'!U155</f>
        <v>0</v>
      </c>
      <c r="V304" s="29">
        <f>'SSD_eMMC_non volatile'!V155</f>
        <v>0</v>
      </c>
      <c r="W304" s="29">
        <f>'SSD_eMMC_non volatile'!W155</f>
        <v>0</v>
      </c>
      <c r="X304" s="29">
        <f>'SSD_eMMC_non volatile'!X155</f>
        <v>0</v>
      </c>
      <c r="Y304" s="29">
        <f>'SSD_eMMC_non volatile'!Y155</f>
        <v>0</v>
      </c>
      <c r="Z304" s="29" t="e">
        <f>'SSD_eMMC_non volatile'!#REF!</f>
        <v>#REF!</v>
      </c>
      <c r="AA304" s="29">
        <f>'SSD_eMMC_non volatile'!Z155</f>
        <v>900</v>
      </c>
      <c r="AB304" s="29">
        <f>'SSD_eMMC_non volatile'!AA155</f>
        <v>450</v>
      </c>
    </row>
    <row r="305" spans="3:28" s="11" customFormat="1">
      <c r="C305" s="98" t="s">
        <v>115</v>
      </c>
      <c r="D305" s="29">
        <f>'SSD_eMMC_non volatile'!C156</f>
        <v>0</v>
      </c>
      <c r="E305" s="29">
        <f>'SSD_eMMC_non volatile'!D156</f>
        <v>0</v>
      </c>
      <c r="F305" s="29">
        <f>'SSD_eMMC_non volatile'!E156</f>
        <v>0</v>
      </c>
      <c r="G305" s="29" t="str">
        <f>'SSD_eMMC_non volatile'!F156</f>
        <v>UX3402ZA</v>
      </c>
      <c r="H305" s="29" t="str">
        <f>'SSD_eMMC_non volatile'!G156</f>
        <v>Core i7-1260P</v>
      </c>
      <c r="I305" s="29" t="str">
        <f>'SSD_eMMC_non volatile'!H156</f>
        <v>Local</v>
      </c>
      <c r="J305" s="29" t="str">
        <f>'SSD_eMMC_non volatile'!I156</f>
        <v>TBD</v>
      </c>
      <c r="K305" s="29" t="str">
        <f>'SSD_eMMC_non volatile'!J156</f>
        <v>SSD</v>
      </c>
      <c r="L305" s="29" t="str">
        <f>'SSD_eMMC_non volatile'!K156</f>
        <v>1TB</v>
      </c>
      <c r="M305" s="29">
        <f>'SSD_eMMC_non volatile'!L156</f>
        <v>2</v>
      </c>
      <c r="N305" s="29">
        <f>'SSD_eMMC_non volatile'!M156</f>
        <v>0</v>
      </c>
      <c r="O305" s="29">
        <f>'SSD_eMMC_non volatile'!N156</f>
        <v>0</v>
      </c>
      <c r="P305" s="29">
        <f>'SSD_eMMC_non volatile'!P156</f>
        <v>0</v>
      </c>
      <c r="Q305" s="29">
        <f>'SSD_eMMC_non volatile'!Q156</f>
        <v>0</v>
      </c>
      <c r="R305" s="29">
        <f>'SSD_eMMC_non volatile'!R156</f>
        <v>0</v>
      </c>
      <c r="S305" s="29">
        <f>'SSD_eMMC_non volatile'!S156</f>
        <v>0</v>
      </c>
      <c r="T305" s="29">
        <f>'SSD_eMMC_non volatile'!T156</f>
        <v>0</v>
      </c>
      <c r="U305" s="29">
        <f>'SSD_eMMC_non volatile'!U156</f>
        <v>0</v>
      </c>
      <c r="V305" s="29">
        <f>'SSD_eMMC_non volatile'!V156</f>
        <v>0</v>
      </c>
      <c r="W305" s="29">
        <f>'SSD_eMMC_non volatile'!W156</f>
        <v>0</v>
      </c>
      <c r="X305" s="29">
        <f>'SSD_eMMC_non volatile'!X156</f>
        <v>0</v>
      </c>
      <c r="Y305" s="29">
        <f>'SSD_eMMC_non volatile'!Y156</f>
        <v>0</v>
      </c>
      <c r="Z305" s="29" t="e">
        <f>'SSD_eMMC_non volatile'!#REF!</f>
        <v>#REF!</v>
      </c>
      <c r="AA305" s="29">
        <f>'SSD_eMMC_non volatile'!Z156</f>
        <v>0</v>
      </c>
      <c r="AB305" s="29">
        <f>'SSD_eMMC_non volatile'!AA156</f>
        <v>0</v>
      </c>
    </row>
    <row r="306" spans="3:28" s="11" customFormat="1">
      <c r="C306" s="98" t="s">
        <v>115</v>
      </c>
      <c r="D306" s="29">
        <f>'SSD_eMMC_non volatile'!C157</f>
        <v>0</v>
      </c>
      <c r="E306" s="29" t="str">
        <f>'SSD_eMMC_non volatile'!D157</f>
        <v>FCST</v>
      </c>
      <c r="F306" s="29">
        <f>'SSD_eMMC_non volatile'!E157</f>
        <v>0</v>
      </c>
      <c r="G306" s="29" t="str">
        <f>'SSD_eMMC_non volatile'!F157</f>
        <v>UX5401ZA</v>
      </c>
      <c r="H306" s="29" t="str">
        <f>'SSD_eMMC_non volatile'!G157</f>
        <v>Core i7-12700H</v>
      </c>
      <c r="I306" s="29">
        <f>'SSD_eMMC_non volatile'!H157</f>
        <v>0</v>
      </c>
      <c r="J306" s="29">
        <f>'SSD_eMMC_non volatile'!I157</f>
        <v>0</v>
      </c>
      <c r="K306" s="29">
        <f>'SSD_eMMC_non volatile'!J157</f>
        <v>0</v>
      </c>
      <c r="L306" s="29" t="str">
        <f>'SSD_eMMC_non volatile'!K157</f>
        <v>512GB SSD</v>
      </c>
      <c r="M306" s="29">
        <f>'SSD_eMMC_non volatile'!L157</f>
        <v>0</v>
      </c>
      <c r="N306" s="29">
        <f>'SSD_eMMC_non volatile'!M157</f>
        <v>0</v>
      </c>
      <c r="O306" s="29">
        <f>'SSD_eMMC_non volatile'!N157</f>
        <v>0</v>
      </c>
      <c r="P306" s="29">
        <f>'SSD_eMMC_non volatile'!P157</f>
        <v>0</v>
      </c>
      <c r="Q306" s="29">
        <f>'SSD_eMMC_non volatile'!Q157</f>
        <v>0</v>
      </c>
      <c r="R306" s="29">
        <f>'SSD_eMMC_non volatile'!R157</f>
        <v>0</v>
      </c>
      <c r="S306" s="29">
        <f>'SSD_eMMC_non volatile'!S157</f>
        <v>0</v>
      </c>
      <c r="T306" s="29">
        <f>'SSD_eMMC_non volatile'!T157</f>
        <v>0</v>
      </c>
      <c r="U306" s="29">
        <f>'SSD_eMMC_non volatile'!U157</f>
        <v>0</v>
      </c>
      <c r="V306" s="29">
        <f>'SSD_eMMC_non volatile'!V157</f>
        <v>0</v>
      </c>
      <c r="W306" s="29">
        <f>'SSD_eMMC_non volatile'!W157</f>
        <v>0</v>
      </c>
      <c r="X306" s="29">
        <f>'SSD_eMMC_non volatile'!X157</f>
        <v>0</v>
      </c>
      <c r="Y306" s="29">
        <f>'SSD_eMMC_non volatile'!Y157</f>
        <v>0</v>
      </c>
      <c r="Z306" s="29" t="e">
        <f>'SSD_eMMC_non volatile'!#REF!</f>
        <v>#REF!</v>
      </c>
      <c r="AA306" s="29">
        <f>'SSD_eMMC_non volatile'!Z157</f>
        <v>0</v>
      </c>
      <c r="AB306" s="29">
        <f>'SSD_eMMC_non volatile'!AA157</f>
        <v>0</v>
      </c>
    </row>
    <row r="307" spans="3:28" s="11" customFormat="1">
      <c r="C307" s="98" t="s">
        <v>115</v>
      </c>
      <c r="D307" s="29">
        <f>'SSD_eMMC_non volatile'!C158</f>
        <v>0</v>
      </c>
      <c r="E307" s="29">
        <f>'SSD_eMMC_non volatile'!D158</f>
        <v>0</v>
      </c>
      <c r="F307" s="29">
        <f>'SSD_eMMC_non volatile'!E158</f>
        <v>0</v>
      </c>
      <c r="G307" s="29" t="str">
        <f>'SSD_eMMC_non volatile'!F158</f>
        <v>UX5401ZA</v>
      </c>
      <c r="H307" s="29" t="str">
        <f>'SSD_eMMC_non volatile'!G158</f>
        <v>Core i7-12700H</v>
      </c>
      <c r="I307" s="29" t="str">
        <f>'SSD_eMMC_non volatile'!H158</f>
        <v>Imported</v>
      </c>
      <c r="J307" s="29" t="str">
        <f>'SSD_eMMC_non volatile'!I158</f>
        <v>Asus</v>
      </c>
      <c r="K307" s="29" t="str">
        <f>'SSD_eMMC_non volatile'!J158</f>
        <v>SSD</v>
      </c>
      <c r="L307" s="29" t="str">
        <f>'SSD_eMMC_non volatile'!K158</f>
        <v>512G</v>
      </c>
      <c r="M307" s="29">
        <f>'SSD_eMMC_non volatile'!L158</f>
        <v>2</v>
      </c>
      <c r="N307" s="29" t="str">
        <f>'SSD_eMMC_non volatile'!M158</f>
        <v>03B03-00374000</v>
      </c>
      <c r="O307" s="29">
        <f>'SSD_eMMC_non volatile'!N158</f>
        <v>0</v>
      </c>
      <c r="P307" s="29">
        <f>'SSD_eMMC_non volatile'!P158</f>
        <v>0</v>
      </c>
      <c r="Q307" s="29">
        <f>'SSD_eMMC_non volatile'!Q158</f>
        <v>0</v>
      </c>
      <c r="R307" s="29">
        <f>'SSD_eMMC_non volatile'!R158</f>
        <v>0</v>
      </c>
      <c r="S307" s="29">
        <f>'SSD_eMMC_non volatile'!S158</f>
        <v>0</v>
      </c>
      <c r="T307" s="29">
        <f>'SSD_eMMC_non volatile'!T158</f>
        <v>0</v>
      </c>
      <c r="U307" s="29">
        <f>'SSD_eMMC_non volatile'!U158</f>
        <v>0</v>
      </c>
      <c r="V307" s="29">
        <f>'SSD_eMMC_non volatile'!V158</f>
        <v>0</v>
      </c>
      <c r="W307" s="29">
        <f>'SSD_eMMC_non volatile'!W158</f>
        <v>0</v>
      </c>
      <c r="X307" s="29">
        <f>'SSD_eMMC_non volatile'!X158</f>
        <v>0</v>
      </c>
      <c r="Y307" s="29">
        <f>'SSD_eMMC_non volatile'!Y158</f>
        <v>0</v>
      </c>
      <c r="Z307" s="29" t="e">
        <f>'SSD_eMMC_non volatile'!#REF!</f>
        <v>#REF!</v>
      </c>
      <c r="AA307" s="29">
        <f>'SSD_eMMC_non volatile'!Z158</f>
        <v>0</v>
      </c>
      <c r="AB307" s="29">
        <f>'SSD_eMMC_non volatile'!AA158</f>
        <v>0</v>
      </c>
    </row>
    <row r="308" spans="3:28" s="11" customFormat="1">
      <c r="C308" s="98" t="s">
        <v>115</v>
      </c>
      <c r="D308" s="29">
        <f>'SSD_eMMC_non volatile'!C159</f>
        <v>0</v>
      </c>
      <c r="E308" s="29">
        <f>'SSD_eMMC_non volatile'!D159</f>
        <v>0</v>
      </c>
      <c r="F308" s="29">
        <f>'SSD_eMMC_non volatile'!E159</f>
        <v>0</v>
      </c>
      <c r="G308" s="29" t="str">
        <f>'SSD_eMMC_non volatile'!F159</f>
        <v>UX5401ZA</v>
      </c>
      <c r="H308" s="29" t="str">
        <f>'SSD_eMMC_non volatile'!G159</f>
        <v>Core i7-12700H</v>
      </c>
      <c r="I308" s="29" t="str">
        <f>'SSD_eMMC_non volatile'!H159</f>
        <v>Local</v>
      </c>
      <c r="J308" s="29" t="str">
        <f>'SSD_eMMC_non volatile'!I159</f>
        <v>TBD</v>
      </c>
      <c r="K308" s="29" t="str">
        <f>'SSD_eMMC_non volatile'!J159</f>
        <v>SSD</v>
      </c>
      <c r="L308" s="29" t="str">
        <f>'SSD_eMMC_non volatile'!K159</f>
        <v>512G</v>
      </c>
      <c r="M308" s="29">
        <f>'SSD_eMMC_non volatile'!L159</f>
        <v>2</v>
      </c>
      <c r="N308" s="29">
        <f>'SSD_eMMC_non volatile'!M159</f>
        <v>0</v>
      </c>
      <c r="O308" s="29">
        <f>'SSD_eMMC_non volatile'!N159</f>
        <v>0</v>
      </c>
      <c r="P308" s="29">
        <f>'SSD_eMMC_non volatile'!P159</f>
        <v>0</v>
      </c>
      <c r="Q308" s="29">
        <f>'SSD_eMMC_non volatile'!Q159</f>
        <v>0</v>
      </c>
      <c r="R308" s="29">
        <f>'SSD_eMMC_non volatile'!R159</f>
        <v>0</v>
      </c>
      <c r="S308" s="29">
        <f>'SSD_eMMC_non volatile'!S159</f>
        <v>0</v>
      </c>
      <c r="T308" s="29">
        <f>'SSD_eMMC_non volatile'!T159</f>
        <v>0</v>
      </c>
      <c r="U308" s="29">
        <f>'SSD_eMMC_non volatile'!U159</f>
        <v>0</v>
      </c>
      <c r="V308" s="29">
        <f>'SSD_eMMC_non volatile'!V159</f>
        <v>0</v>
      </c>
      <c r="W308" s="29">
        <f>'SSD_eMMC_non volatile'!W159</f>
        <v>0</v>
      </c>
      <c r="X308" s="29">
        <f>'SSD_eMMC_non volatile'!X159</f>
        <v>0</v>
      </c>
      <c r="Y308" s="29">
        <f>'SSD_eMMC_non volatile'!Y159</f>
        <v>0</v>
      </c>
      <c r="Z308" s="29" t="e">
        <f>'SSD_eMMC_non volatile'!#REF!</f>
        <v>#REF!</v>
      </c>
      <c r="AA308" s="29">
        <f>'SSD_eMMC_non volatile'!Z159</f>
        <v>0</v>
      </c>
      <c r="AB308" s="29">
        <f>'SSD_eMMC_non volatile'!AA159</f>
        <v>0</v>
      </c>
    </row>
    <row r="309" spans="3:28" s="11" customFormat="1">
      <c r="C309" s="98" t="s">
        <v>115</v>
      </c>
      <c r="D309" s="29">
        <f>'SSD_eMMC_non volatile'!C160</f>
        <v>0</v>
      </c>
      <c r="E309" s="29" t="str">
        <f>'SSD_eMMC_non volatile'!D160</f>
        <v>FCST</v>
      </c>
      <c r="F309" s="29">
        <f>'SSD_eMMC_non volatile'!E160</f>
        <v>0</v>
      </c>
      <c r="G309" s="29" t="str">
        <f>'SSD_eMMC_non volatile'!F160</f>
        <v>UX5401ZA</v>
      </c>
      <c r="H309" s="29" t="str">
        <f>'SSD_eMMC_non volatile'!G160</f>
        <v>Core i7-12700H</v>
      </c>
      <c r="I309" s="29">
        <f>'SSD_eMMC_non volatile'!H160</f>
        <v>0</v>
      </c>
      <c r="J309" s="29">
        <f>'SSD_eMMC_non volatile'!I160</f>
        <v>0</v>
      </c>
      <c r="K309" s="29">
        <f>'SSD_eMMC_non volatile'!J160</f>
        <v>0</v>
      </c>
      <c r="L309" s="29" t="str">
        <f>'SSD_eMMC_non volatile'!K160</f>
        <v>1TB SSD</v>
      </c>
      <c r="M309" s="29">
        <f>'SSD_eMMC_non volatile'!L160</f>
        <v>0</v>
      </c>
      <c r="N309" s="29">
        <f>'SSD_eMMC_non volatile'!M160</f>
        <v>0</v>
      </c>
      <c r="O309" s="29">
        <f>'SSD_eMMC_non volatile'!N160</f>
        <v>0</v>
      </c>
      <c r="P309" s="29">
        <f>'SSD_eMMC_non volatile'!P160</f>
        <v>0</v>
      </c>
      <c r="Q309" s="29">
        <f>'SSD_eMMC_non volatile'!Q160</f>
        <v>0</v>
      </c>
      <c r="R309" s="29">
        <f>'SSD_eMMC_non volatile'!R160</f>
        <v>0</v>
      </c>
      <c r="S309" s="29">
        <f>'SSD_eMMC_non volatile'!S160</f>
        <v>0</v>
      </c>
      <c r="T309" s="29">
        <f>'SSD_eMMC_non volatile'!T160</f>
        <v>0</v>
      </c>
      <c r="U309" s="29">
        <f>'SSD_eMMC_non volatile'!U160</f>
        <v>0</v>
      </c>
      <c r="V309" s="29">
        <f>'SSD_eMMC_non volatile'!V160</f>
        <v>0</v>
      </c>
      <c r="W309" s="29">
        <f>'SSD_eMMC_non volatile'!W160</f>
        <v>0</v>
      </c>
      <c r="X309" s="29">
        <f>'SSD_eMMC_non volatile'!X160</f>
        <v>0</v>
      </c>
      <c r="Y309" s="29">
        <f>'SSD_eMMC_non volatile'!Y160</f>
        <v>0</v>
      </c>
      <c r="Z309" s="29" t="e">
        <f>'SSD_eMMC_non volatile'!#REF!</f>
        <v>#REF!</v>
      </c>
      <c r="AA309" s="29">
        <f>'SSD_eMMC_non volatile'!Z160</f>
        <v>0</v>
      </c>
      <c r="AB309" s="29">
        <f>'SSD_eMMC_non volatile'!AA160</f>
        <v>0</v>
      </c>
    </row>
    <row r="310" spans="3:28" s="11" customFormat="1">
      <c r="C310" s="98" t="s">
        <v>115</v>
      </c>
      <c r="D310" s="29">
        <f>'SSD_eMMC_non volatile'!C161</f>
        <v>0</v>
      </c>
      <c r="E310" s="29">
        <f>'SSD_eMMC_non volatile'!D161</f>
        <v>0</v>
      </c>
      <c r="F310" s="29">
        <f>'SSD_eMMC_non volatile'!E161</f>
        <v>0</v>
      </c>
      <c r="G310" s="29" t="str">
        <f>'SSD_eMMC_non volatile'!F161</f>
        <v>UX5401ZA</v>
      </c>
      <c r="H310" s="29" t="str">
        <f>'SSD_eMMC_non volatile'!G161</f>
        <v>Core i7-12700H</v>
      </c>
      <c r="I310" s="29" t="str">
        <f>'SSD_eMMC_non volatile'!H161</f>
        <v>Imported</v>
      </c>
      <c r="J310" s="29" t="str">
        <f>'SSD_eMMC_non volatile'!I161</f>
        <v>Asus</v>
      </c>
      <c r="K310" s="29" t="str">
        <f>'SSD_eMMC_non volatile'!J161</f>
        <v>SSD</v>
      </c>
      <c r="L310" s="29" t="str">
        <f>'SSD_eMMC_non volatile'!K161</f>
        <v>1TB</v>
      </c>
      <c r="M310" s="29">
        <f>'SSD_eMMC_non volatile'!L161</f>
        <v>2</v>
      </c>
      <c r="N310" s="29" t="str">
        <f>'SSD_eMMC_non volatile'!M161</f>
        <v>03B03-00166500</v>
      </c>
      <c r="O310" s="29">
        <f>'SSD_eMMC_non volatile'!N161</f>
        <v>0</v>
      </c>
      <c r="P310" s="29">
        <f>'SSD_eMMC_non volatile'!P161</f>
        <v>0</v>
      </c>
      <c r="Q310" s="29">
        <f>'SSD_eMMC_non volatile'!Q161</f>
        <v>0</v>
      </c>
      <c r="R310" s="29">
        <f>'SSD_eMMC_non volatile'!R161</f>
        <v>0</v>
      </c>
      <c r="S310" s="29">
        <f>'SSD_eMMC_non volatile'!S161</f>
        <v>0</v>
      </c>
      <c r="T310" s="29">
        <f>'SSD_eMMC_non volatile'!T161</f>
        <v>0</v>
      </c>
      <c r="U310" s="29">
        <f>'SSD_eMMC_non volatile'!U161</f>
        <v>0</v>
      </c>
      <c r="V310" s="29">
        <f>'SSD_eMMC_non volatile'!V161</f>
        <v>0</v>
      </c>
      <c r="W310" s="29">
        <f>'SSD_eMMC_non volatile'!W161</f>
        <v>0</v>
      </c>
      <c r="X310" s="29">
        <f>'SSD_eMMC_non volatile'!X161</f>
        <v>0</v>
      </c>
      <c r="Y310" s="29">
        <f>'SSD_eMMC_non volatile'!Y161</f>
        <v>0</v>
      </c>
      <c r="Z310" s="29" t="e">
        <f>'SSD_eMMC_non volatile'!#REF!</f>
        <v>#REF!</v>
      </c>
      <c r="AA310" s="29">
        <f>'SSD_eMMC_non volatile'!Z161</f>
        <v>0</v>
      </c>
      <c r="AB310" s="29">
        <f>'SSD_eMMC_non volatile'!AA161</f>
        <v>0</v>
      </c>
    </row>
    <row r="311" spans="3:28" s="11" customFormat="1">
      <c r="C311" s="98" t="s">
        <v>115</v>
      </c>
      <c r="D311" s="29">
        <f>'SSD_eMMC_non volatile'!C162</f>
        <v>0</v>
      </c>
      <c r="E311" s="29">
        <f>'SSD_eMMC_non volatile'!D162</f>
        <v>0</v>
      </c>
      <c r="F311" s="29">
        <f>'SSD_eMMC_non volatile'!E162</f>
        <v>0</v>
      </c>
      <c r="G311" s="29" t="str">
        <f>'SSD_eMMC_non volatile'!F162</f>
        <v>UX5401ZA</v>
      </c>
      <c r="H311" s="29" t="str">
        <f>'SSD_eMMC_non volatile'!G162</f>
        <v>Core i7-12700H</v>
      </c>
      <c r="I311" s="29" t="str">
        <f>'SSD_eMMC_non volatile'!H162</f>
        <v>Local</v>
      </c>
      <c r="J311" s="29" t="str">
        <f>'SSD_eMMC_non volatile'!I162</f>
        <v>TBD</v>
      </c>
      <c r="K311" s="29" t="str">
        <f>'SSD_eMMC_non volatile'!J162</f>
        <v>SSD</v>
      </c>
      <c r="L311" s="29" t="str">
        <f>'SSD_eMMC_non volatile'!K162</f>
        <v>1TB</v>
      </c>
      <c r="M311" s="29">
        <f>'SSD_eMMC_non volatile'!L162</f>
        <v>2</v>
      </c>
      <c r="N311" s="29">
        <f>'SSD_eMMC_non volatile'!M162</f>
        <v>0</v>
      </c>
      <c r="O311" s="29">
        <f>'SSD_eMMC_non volatile'!N162</f>
        <v>0</v>
      </c>
      <c r="P311" s="29">
        <f>'SSD_eMMC_non volatile'!P162</f>
        <v>0</v>
      </c>
      <c r="Q311" s="29">
        <f>'SSD_eMMC_non volatile'!Q162</f>
        <v>0</v>
      </c>
      <c r="R311" s="29">
        <f>'SSD_eMMC_non volatile'!R162</f>
        <v>0</v>
      </c>
      <c r="S311" s="29">
        <f>'SSD_eMMC_non volatile'!S162</f>
        <v>0</v>
      </c>
      <c r="T311" s="29">
        <f>'SSD_eMMC_non volatile'!T162</f>
        <v>0</v>
      </c>
      <c r="U311" s="29">
        <f>'SSD_eMMC_non volatile'!U162</f>
        <v>0</v>
      </c>
      <c r="V311" s="29">
        <f>'SSD_eMMC_non volatile'!V162</f>
        <v>0</v>
      </c>
      <c r="W311" s="29">
        <f>'SSD_eMMC_non volatile'!W162</f>
        <v>0</v>
      </c>
      <c r="X311" s="29">
        <f>'SSD_eMMC_non volatile'!X162</f>
        <v>0</v>
      </c>
      <c r="Y311" s="29">
        <f>'SSD_eMMC_non volatile'!Y162</f>
        <v>0</v>
      </c>
      <c r="Z311" s="29" t="e">
        <f>'SSD_eMMC_non volatile'!#REF!</f>
        <v>#REF!</v>
      </c>
      <c r="AA311" s="29">
        <f>'SSD_eMMC_non volatile'!Z162</f>
        <v>0</v>
      </c>
      <c r="AB311" s="29">
        <f>'SSD_eMMC_non volatile'!AA162</f>
        <v>0</v>
      </c>
    </row>
    <row r="312" spans="3:28" s="11" customFormat="1">
      <c r="C312" s="98" t="s">
        <v>115</v>
      </c>
      <c r="D312" s="29" t="str">
        <f>'SSD_eMMC_non volatile'!C163</f>
        <v>new</v>
      </c>
      <c r="E312" s="29" t="str">
        <f>'SSD_eMMC_non volatile'!D163</f>
        <v>FCST</v>
      </c>
      <c r="F312" s="29">
        <f>'SSD_eMMC_non volatile'!E163</f>
        <v>3900</v>
      </c>
      <c r="G312" s="29" t="str">
        <f>'SSD_eMMC_non volatile'!F163</f>
        <v>K6502HC</v>
      </c>
      <c r="H312" s="29" t="str">
        <f>'SSD_eMMC_non volatile'!G163</f>
        <v>Core i9-11900H</v>
      </c>
      <c r="I312" s="29">
        <f>'SSD_eMMC_non volatile'!H163</f>
        <v>0</v>
      </c>
      <c r="J312" s="29">
        <f>'SSD_eMMC_non volatile'!I163</f>
        <v>0</v>
      </c>
      <c r="K312" s="29">
        <f>'SSD_eMMC_non volatile'!J163</f>
        <v>0</v>
      </c>
      <c r="L312" s="29" t="str">
        <f>'SSD_eMMC_non volatile'!K163</f>
        <v>512GB SSD</v>
      </c>
      <c r="M312" s="29">
        <f>'SSD_eMMC_non volatile'!L163</f>
        <v>0</v>
      </c>
      <c r="N312" s="29">
        <f>'SSD_eMMC_non volatile'!M163</f>
        <v>0</v>
      </c>
      <c r="O312" s="29">
        <f>'SSD_eMMC_non volatile'!N163</f>
        <v>200</v>
      </c>
      <c r="P312" s="29">
        <f>'SSD_eMMC_non volatile'!P163</f>
        <v>500</v>
      </c>
      <c r="Q312" s="29">
        <f>'SSD_eMMC_non volatile'!Q163</f>
        <v>600</v>
      </c>
      <c r="R312" s="29">
        <f>'SSD_eMMC_non volatile'!R163</f>
        <v>400</v>
      </c>
      <c r="S312" s="29">
        <f>'SSD_eMMC_non volatile'!S163</f>
        <v>500</v>
      </c>
      <c r="T312" s="29">
        <f>'SSD_eMMC_non volatile'!T163</f>
        <v>400</v>
      </c>
      <c r="U312" s="29">
        <f>'SSD_eMMC_non volatile'!U163</f>
        <v>500</v>
      </c>
      <c r="V312" s="29">
        <f>'SSD_eMMC_non volatile'!V163</f>
        <v>500</v>
      </c>
      <c r="W312" s="29">
        <f>'SSD_eMMC_non volatile'!W163</f>
        <v>0</v>
      </c>
      <c r="X312" s="29">
        <f>'SSD_eMMC_non volatile'!X163</f>
        <v>0</v>
      </c>
      <c r="Y312" s="29">
        <f>'SSD_eMMC_non volatile'!Y163</f>
        <v>0</v>
      </c>
      <c r="Z312" s="29" t="e">
        <f>'SSD_eMMC_non volatile'!#REF!</f>
        <v>#REF!</v>
      </c>
      <c r="AA312" s="29">
        <f>'SSD_eMMC_non volatile'!Z163</f>
        <v>0</v>
      </c>
      <c r="AB312" s="29">
        <f>'SSD_eMMC_non volatile'!AA163</f>
        <v>0</v>
      </c>
    </row>
    <row r="313" spans="3:28" s="11" customFormat="1">
      <c r="C313" s="98" t="s">
        <v>115</v>
      </c>
      <c r="D313" s="29">
        <f>'SSD_eMMC_non volatile'!C164</f>
        <v>0</v>
      </c>
      <c r="E313" s="29">
        <f>'SSD_eMMC_non volatile'!D164</f>
        <v>0</v>
      </c>
      <c r="F313" s="29">
        <f>'SSD_eMMC_non volatile'!E164</f>
        <v>0</v>
      </c>
      <c r="G313" s="29" t="str">
        <f>'SSD_eMMC_non volatile'!F164</f>
        <v>K6502HC</v>
      </c>
      <c r="H313" s="29" t="str">
        <f>'SSD_eMMC_non volatile'!G164</f>
        <v>Core i9-11900H</v>
      </c>
      <c r="I313" s="29" t="str">
        <f>'SSD_eMMC_non volatile'!H164</f>
        <v>Imported</v>
      </c>
      <c r="J313" s="29" t="str">
        <f>'SSD_eMMC_non volatile'!I164</f>
        <v>Asus</v>
      </c>
      <c r="K313" s="29" t="str">
        <f>'SSD_eMMC_non volatile'!J164</f>
        <v>SSD</v>
      </c>
      <c r="L313" s="29" t="str">
        <f>'SSD_eMMC_non volatile'!K164</f>
        <v>512G</v>
      </c>
      <c r="M313" s="29">
        <f>'SSD_eMMC_non volatile'!L164</f>
        <v>2</v>
      </c>
      <c r="N313" s="29">
        <f>'SSD_eMMC_non volatile'!M164</f>
        <v>0</v>
      </c>
      <c r="O313" s="29">
        <f>'SSD_eMMC_non volatile'!N164</f>
        <v>200</v>
      </c>
      <c r="P313" s="29">
        <f>'SSD_eMMC_non volatile'!P164</f>
        <v>500</v>
      </c>
      <c r="Q313" s="29">
        <f>'SSD_eMMC_non volatile'!Q164</f>
        <v>600</v>
      </c>
      <c r="R313" s="29">
        <f>'SSD_eMMC_non volatile'!R164</f>
        <v>400</v>
      </c>
      <c r="S313" s="29">
        <f>'SSD_eMMC_non volatile'!S164</f>
        <v>500</v>
      </c>
      <c r="T313" s="29">
        <f>'SSD_eMMC_non volatile'!T164</f>
        <v>400</v>
      </c>
      <c r="U313" s="29">
        <f>'SSD_eMMC_non volatile'!U164</f>
        <v>500</v>
      </c>
      <c r="V313" s="29">
        <f>'SSD_eMMC_non volatile'!V164</f>
        <v>500</v>
      </c>
      <c r="W313" s="29">
        <f>'SSD_eMMC_non volatile'!W164</f>
        <v>0</v>
      </c>
      <c r="X313" s="29">
        <f>'SSD_eMMC_non volatile'!X164</f>
        <v>0</v>
      </c>
      <c r="Y313" s="29">
        <f>'SSD_eMMC_non volatile'!Y164</f>
        <v>0</v>
      </c>
      <c r="Z313" s="29" t="e">
        <f>'SSD_eMMC_non volatile'!#REF!</f>
        <v>#REF!</v>
      </c>
      <c r="AA313" s="29">
        <f>'SSD_eMMC_non volatile'!Z164</f>
        <v>7800</v>
      </c>
      <c r="AB313" s="29">
        <f>'SSD_eMMC_non volatile'!AA164</f>
        <v>3900</v>
      </c>
    </row>
    <row r="314" spans="3:28" s="11" customFormat="1">
      <c r="C314" s="98" t="s">
        <v>115</v>
      </c>
      <c r="D314" s="29">
        <f>'SSD_eMMC_non volatile'!C165</f>
        <v>0</v>
      </c>
      <c r="E314" s="29">
        <f>'SSD_eMMC_non volatile'!D165</f>
        <v>0</v>
      </c>
      <c r="F314" s="29">
        <f>'SSD_eMMC_non volatile'!E165</f>
        <v>0</v>
      </c>
      <c r="G314" s="29" t="str">
        <f>'SSD_eMMC_non volatile'!F165</f>
        <v>K6502HC</v>
      </c>
      <c r="H314" s="29" t="str">
        <f>'SSD_eMMC_non volatile'!G165</f>
        <v>Core i9-11900H</v>
      </c>
      <c r="I314" s="29" t="str">
        <f>'SSD_eMMC_non volatile'!H165</f>
        <v>Local</v>
      </c>
      <c r="J314" s="29" t="str">
        <f>'SSD_eMMC_non volatile'!I165</f>
        <v>TBD</v>
      </c>
      <c r="K314" s="29" t="str">
        <f>'SSD_eMMC_non volatile'!J165</f>
        <v>SSD</v>
      </c>
      <c r="L314" s="29" t="str">
        <f>'SSD_eMMC_non volatile'!K165</f>
        <v>512G</v>
      </c>
      <c r="M314" s="29">
        <f>'SSD_eMMC_non volatile'!L165</f>
        <v>2</v>
      </c>
      <c r="N314" s="29">
        <f>'SSD_eMMC_non volatile'!M165</f>
        <v>0</v>
      </c>
      <c r="O314" s="29">
        <f>'SSD_eMMC_non volatile'!N165</f>
        <v>0</v>
      </c>
      <c r="P314" s="29">
        <f>'SSD_eMMC_non volatile'!P165</f>
        <v>0</v>
      </c>
      <c r="Q314" s="29">
        <f>'SSD_eMMC_non volatile'!Q165</f>
        <v>0</v>
      </c>
      <c r="R314" s="29">
        <f>'SSD_eMMC_non volatile'!R165</f>
        <v>0</v>
      </c>
      <c r="S314" s="29">
        <f>'SSD_eMMC_non volatile'!S165</f>
        <v>0</v>
      </c>
      <c r="T314" s="29">
        <f>'SSD_eMMC_non volatile'!T165</f>
        <v>0</v>
      </c>
      <c r="U314" s="29">
        <f>'SSD_eMMC_non volatile'!U165</f>
        <v>0</v>
      </c>
      <c r="V314" s="29">
        <f>'SSD_eMMC_non volatile'!V165</f>
        <v>0</v>
      </c>
      <c r="W314" s="29">
        <f>'SSD_eMMC_non volatile'!W165</f>
        <v>0</v>
      </c>
      <c r="X314" s="29">
        <f>'SSD_eMMC_non volatile'!X165</f>
        <v>0</v>
      </c>
      <c r="Y314" s="29">
        <f>'SSD_eMMC_non volatile'!Y165</f>
        <v>0</v>
      </c>
      <c r="Z314" s="29" t="e">
        <f>'SSD_eMMC_non volatile'!#REF!</f>
        <v>#REF!</v>
      </c>
      <c r="AA314" s="29">
        <f>'SSD_eMMC_non volatile'!Z165</f>
        <v>0</v>
      </c>
      <c r="AB314" s="29">
        <f>'SSD_eMMC_non volatile'!AA165</f>
        <v>0</v>
      </c>
    </row>
    <row r="315" spans="3:28" s="11" customFormat="1">
      <c r="C315" s="98" t="s">
        <v>115</v>
      </c>
      <c r="D315" s="29" t="str">
        <f>'SSD_eMMC_non volatile'!C172</f>
        <v>new</v>
      </c>
      <c r="E315" s="29" t="str">
        <f>'SSD_eMMC_non volatile'!D172</f>
        <v>FCST</v>
      </c>
      <c r="F315" s="29">
        <f>'SSD_eMMC_non volatile'!E172</f>
        <v>300</v>
      </c>
      <c r="G315" s="29" t="str">
        <f>'SSD_eMMC_non volatile'!F172</f>
        <v>M6500RC</v>
      </c>
      <c r="H315" s="29" t="str">
        <f>'SSD_eMMC_non volatile'!G172</f>
        <v>Ryzen 7-6800H</v>
      </c>
      <c r="I315" s="29">
        <f>'SSD_eMMC_non volatile'!H172</f>
        <v>0</v>
      </c>
      <c r="J315" s="29">
        <f>'SSD_eMMC_non volatile'!I172</f>
        <v>0</v>
      </c>
      <c r="K315" s="29">
        <f>'SSD_eMMC_non volatile'!J172</f>
        <v>0</v>
      </c>
      <c r="L315" s="29" t="str">
        <f>'SSD_eMMC_non volatile'!K172</f>
        <v>512GB SSD</v>
      </c>
      <c r="M315" s="29">
        <f>'SSD_eMMC_non volatile'!L172</f>
        <v>0</v>
      </c>
      <c r="N315" s="29">
        <f>'SSD_eMMC_non volatile'!M172</f>
        <v>0</v>
      </c>
      <c r="O315" s="29">
        <f>'SSD_eMMC_non volatile'!N172</f>
        <v>0</v>
      </c>
      <c r="P315" s="29">
        <f>'SSD_eMMC_non volatile'!P172</f>
        <v>0</v>
      </c>
      <c r="Q315" s="29">
        <f>'SSD_eMMC_non volatile'!Q172</f>
        <v>100</v>
      </c>
      <c r="R315" s="29">
        <f>'SSD_eMMC_non volatile'!R172</f>
        <v>0</v>
      </c>
      <c r="S315" s="29">
        <f>'SSD_eMMC_non volatile'!S172</f>
        <v>0</v>
      </c>
      <c r="T315" s="29">
        <f>'SSD_eMMC_non volatile'!T172</f>
        <v>0</v>
      </c>
      <c r="U315" s="29">
        <f>'SSD_eMMC_non volatile'!U172</f>
        <v>0</v>
      </c>
      <c r="V315" s="29">
        <f>'SSD_eMMC_non volatile'!V172</f>
        <v>0</v>
      </c>
      <c r="W315" s="29">
        <f>'SSD_eMMC_non volatile'!W172</f>
        <v>0</v>
      </c>
      <c r="X315" s="29">
        <f>'SSD_eMMC_non volatile'!X172</f>
        <v>0</v>
      </c>
      <c r="Y315" s="29">
        <f>'SSD_eMMC_non volatile'!Y172</f>
        <v>0</v>
      </c>
      <c r="Z315" s="29" t="e">
        <f>'SSD_eMMC_non volatile'!#REF!</f>
        <v>#REF!</v>
      </c>
      <c r="AA315" s="29">
        <f>'SSD_eMMC_non volatile'!Z172</f>
        <v>0</v>
      </c>
      <c r="AB315" s="29">
        <f>'SSD_eMMC_non volatile'!AA172</f>
        <v>0</v>
      </c>
    </row>
    <row r="316" spans="3:28" s="11" customFormat="1">
      <c r="C316" s="98" t="s">
        <v>115</v>
      </c>
      <c r="D316" s="29">
        <f>'SSD_eMMC_non volatile'!C173</f>
        <v>0</v>
      </c>
      <c r="E316" s="29">
        <f>'SSD_eMMC_non volatile'!D173</f>
        <v>0</v>
      </c>
      <c r="F316" s="29">
        <f>'SSD_eMMC_non volatile'!E173</f>
        <v>0</v>
      </c>
      <c r="G316" s="29" t="str">
        <f>'SSD_eMMC_non volatile'!F173</f>
        <v>M6500RC</v>
      </c>
      <c r="H316" s="29" t="str">
        <f>'SSD_eMMC_non volatile'!G173</f>
        <v>Ryzen 7-6800H</v>
      </c>
      <c r="I316" s="29" t="str">
        <f>'SSD_eMMC_non volatile'!H173</f>
        <v>Imported</v>
      </c>
      <c r="J316" s="29" t="str">
        <f>'SSD_eMMC_non volatile'!I173</f>
        <v>Asus</v>
      </c>
      <c r="K316" s="29" t="str">
        <f>'SSD_eMMC_non volatile'!J173</f>
        <v>SSD</v>
      </c>
      <c r="L316" s="29" t="str">
        <f>'SSD_eMMC_non volatile'!K173</f>
        <v>512G</v>
      </c>
      <c r="M316" s="29">
        <f>'SSD_eMMC_non volatile'!L173</f>
        <v>2</v>
      </c>
      <c r="N316" s="29">
        <f>'SSD_eMMC_non volatile'!M173</f>
        <v>0</v>
      </c>
      <c r="O316" s="29">
        <f>'SSD_eMMC_non volatile'!N173</f>
        <v>0</v>
      </c>
      <c r="P316" s="29">
        <f>'SSD_eMMC_non volatile'!P173</f>
        <v>0</v>
      </c>
      <c r="Q316" s="29">
        <f>'SSD_eMMC_non volatile'!Q173</f>
        <v>100</v>
      </c>
      <c r="R316" s="29">
        <f>'SSD_eMMC_non volatile'!R173</f>
        <v>0</v>
      </c>
      <c r="S316" s="29">
        <f>'SSD_eMMC_non volatile'!S173</f>
        <v>0</v>
      </c>
      <c r="T316" s="29">
        <f>'SSD_eMMC_non volatile'!T173</f>
        <v>0</v>
      </c>
      <c r="U316" s="29">
        <f>'SSD_eMMC_non volatile'!U173</f>
        <v>0</v>
      </c>
      <c r="V316" s="29">
        <f>'SSD_eMMC_non volatile'!V173</f>
        <v>0</v>
      </c>
      <c r="W316" s="29">
        <f>'SSD_eMMC_non volatile'!W173</f>
        <v>0</v>
      </c>
      <c r="X316" s="29">
        <f>'SSD_eMMC_non volatile'!X173</f>
        <v>0</v>
      </c>
      <c r="Y316" s="29">
        <f>'SSD_eMMC_non volatile'!Y173</f>
        <v>0</v>
      </c>
      <c r="Z316" s="29" t="e">
        <f>'SSD_eMMC_non volatile'!#REF!</f>
        <v>#REF!</v>
      </c>
      <c r="AA316" s="29">
        <f>'SSD_eMMC_non volatile'!Z173</f>
        <v>600</v>
      </c>
      <c r="AB316" s="29">
        <f>'SSD_eMMC_non volatile'!AA173</f>
        <v>300</v>
      </c>
    </row>
    <row r="317" spans="3:28" s="11" customFormat="1">
      <c r="C317" s="98" t="s">
        <v>115</v>
      </c>
      <c r="D317" s="29">
        <f>'SSD_eMMC_non volatile'!C174</f>
        <v>0</v>
      </c>
      <c r="E317" s="29">
        <f>'SSD_eMMC_non volatile'!D174</f>
        <v>0</v>
      </c>
      <c r="F317" s="29">
        <f>'SSD_eMMC_non volatile'!E174</f>
        <v>0</v>
      </c>
      <c r="G317" s="29" t="str">
        <f>'SSD_eMMC_non volatile'!F174</f>
        <v>M6500RC</v>
      </c>
      <c r="H317" s="29" t="str">
        <f>'SSD_eMMC_non volatile'!G174</f>
        <v>Ryzen 7-6800H</v>
      </c>
      <c r="I317" s="29" t="str">
        <f>'SSD_eMMC_non volatile'!H174</f>
        <v>Local</v>
      </c>
      <c r="J317" s="29" t="str">
        <f>'SSD_eMMC_non volatile'!I174</f>
        <v>TBD</v>
      </c>
      <c r="K317" s="29" t="str">
        <f>'SSD_eMMC_non volatile'!J174</f>
        <v>SSD</v>
      </c>
      <c r="L317" s="29" t="str">
        <f>'SSD_eMMC_non volatile'!K174</f>
        <v>512G</v>
      </c>
      <c r="M317" s="29">
        <f>'SSD_eMMC_non volatile'!L174</f>
        <v>2</v>
      </c>
      <c r="N317" s="29">
        <f>'SSD_eMMC_non volatile'!M174</f>
        <v>0</v>
      </c>
      <c r="O317" s="29">
        <f>'SSD_eMMC_non volatile'!N174</f>
        <v>0</v>
      </c>
      <c r="P317" s="29">
        <f>'SSD_eMMC_non volatile'!P174</f>
        <v>0</v>
      </c>
      <c r="Q317" s="29">
        <f>'SSD_eMMC_non volatile'!Q174</f>
        <v>0</v>
      </c>
      <c r="R317" s="29">
        <f>'SSD_eMMC_non volatile'!R174</f>
        <v>0</v>
      </c>
      <c r="S317" s="29">
        <f>'SSD_eMMC_non volatile'!S174</f>
        <v>0</v>
      </c>
      <c r="T317" s="29">
        <f>'SSD_eMMC_non volatile'!T174</f>
        <v>0</v>
      </c>
      <c r="U317" s="29">
        <f>'SSD_eMMC_non volatile'!U174</f>
        <v>0</v>
      </c>
      <c r="V317" s="29">
        <f>'SSD_eMMC_non volatile'!V174</f>
        <v>0</v>
      </c>
      <c r="W317" s="29">
        <f>'SSD_eMMC_non volatile'!W174</f>
        <v>0</v>
      </c>
      <c r="X317" s="29">
        <f>'SSD_eMMC_non volatile'!X174</f>
        <v>0</v>
      </c>
      <c r="Y317" s="29">
        <f>'SSD_eMMC_non volatile'!Y174</f>
        <v>0</v>
      </c>
      <c r="Z317" s="29" t="e">
        <f>'SSD_eMMC_non volatile'!#REF!</f>
        <v>#REF!</v>
      </c>
      <c r="AA317" s="29">
        <f>'SSD_eMMC_non volatile'!Z174</f>
        <v>0</v>
      </c>
      <c r="AB317" s="29">
        <f>'SSD_eMMC_non volatile'!AA174</f>
        <v>0</v>
      </c>
    </row>
    <row r="318" spans="3:28" s="11" customFormat="1">
      <c r="C318" s="98" t="s">
        <v>115</v>
      </c>
      <c r="D318" s="29" t="str">
        <f>'SSD_eMMC_non volatile'!C175</f>
        <v>new</v>
      </c>
      <c r="E318" s="29" t="str">
        <f>'SSD_eMMC_non volatile'!D175</f>
        <v>FCST</v>
      </c>
      <c r="F318" s="29">
        <f>'SSD_eMMC_non volatile'!E175</f>
        <v>300</v>
      </c>
      <c r="G318" s="29" t="str">
        <f>'SSD_eMMC_non volatile'!F175</f>
        <v>K6502ZC</v>
      </c>
      <c r="H318" s="29" t="str">
        <f>'SSD_eMMC_non volatile'!G175</f>
        <v>Core i5-12450H</v>
      </c>
      <c r="I318" s="29">
        <f>'SSD_eMMC_non volatile'!H175</f>
        <v>0</v>
      </c>
      <c r="J318" s="29">
        <f>'SSD_eMMC_non volatile'!I175</f>
        <v>0</v>
      </c>
      <c r="K318" s="29">
        <f>'SSD_eMMC_non volatile'!J175</f>
        <v>0</v>
      </c>
      <c r="L318" s="29" t="str">
        <f>'SSD_eMMC_non volatile'!K175</f>
        <v>512GB SSD</v>
      </c>
      <c r="M318" s="29">
        <f>'SSD_eMMC_non volatile'!L175</f>
        <v>0</v>
      </c>
      <c r="N318" s="29">
        <f>'SSD_eMMC_non volatile'!M175</f>
        <v>0</v>
      </c>
      <c r="O318" s="29">
        <f>'SSD_eMMC_non volatile'!N175</f>
        <v>0</v>
      </c>
      <c r="P318" s="29">
        <f>'SSD_eMMC_non volatile'!P175</f>
        <v>0</v>
      </c>
      <c r="Q318" s="29">
        <f>'SSD_eMMC_non volatile'!Q175</f>
        <v>100</v>
      </c>
      <c r="R318" s="29">
        <f>'SSD_eMMC_non volatile'!R175</f>
        <v>0</v>
      </c>
      <c r="S318" s="29">
        <f>'SSD_eMMC_non volatile'!S175</f>
        <v>0</v>
      </c>
      <c r="T318" s="29">
        <f>'SSD_eMMC_non volatile'!T175</f>
        <v>0</v>
      </c>
      <c r="U318" s="29">
        <f>'SSD_eMMC_non volatile'!U175</f>
        <v>0</v>
      </c>
      <c r="V318" s="29">
        <f>'SSD_eMMC_non volatile'!V175</f>
        <v>0</v>
      </c>
      <c r="W318" s="29">
        <f>'SSD_eMMC_non volatile'!W175</f>
        <v>0</v>
      </c>
      <c r="X318" s="29">
        <f>'SSD_eMMC_non volatile'!X175</f>
        <v>0</v>
      </c>
      <c r="Y318" s="29">
        <f>'SSD_eMMC_non volatile'!Y175</f>
        <v>0</v>
      </c>
      <c r="Z318" s="29" t="e">
        <f>'SSD_eMMC_non volatile'!#REF!</f>
        <v>#REF!</v>
      </c>
      <c r="AA318" s="29">
        <f>'SSD_eMMC_non volatile'!Z175</f>
        <v>0</v>
      </c>
      <c r="AB318" s="29">
        <f>'SSD_eMMC_non volatile'!AA175</f>
        <v>0</v>
      </c>
    </row>
    <row r="319" spans="3:28" s="11" customFormat="1">
      <c r="C319" s="98" t="s">
        <v>115</v>
      </c>
      <c r="D319" s="29">
        <f>'SSD_eMMC_non volatile'!C176</f>
        <v>0</v>
      </c>
      <c r="E319" s="29">
        <f>'SSD_eMMC_non volatile'!D176</f>
        <v>0</v>
      </c>
      <c r="F319" s="29">
        <f>'SSD_eMMC_non volatile'!E176</f>
        <v>0</v>
      </c>
      <c r="G319" s="29" t="str">
        <f>'SSD_eMMC_non volatile'!F176</f>
        <v>K6502ZC</v>
      </c>
      <c r="H319" s="29" t="str">
        <f>'SSD_eMMC_non volatile'!G176</f>
        <v>Core i5-12450H</v>
      </c>
      <c r="I319" s="29" t="str">
        <f>'SSD_eMMC_non volatile'!H176</f>
        <v>Imported</v>
      </c>
      <c r="J319" s="29" t="str">
        <f>'SSD_eMMC_non volatile'!I176</f>
        <v>Asus</v>
      </c>
      <c r="K319" s="29" t="str">
        <f>'SSD_eMMC_non volatile'!J176</f>
        <v>SSD</v>
      </c>
      <c r="L319" s="29" t="str">
        <f>'SSD_eMMC_non volatile'!K176</f>
        <v>512G</v>
      </c>
      <c r="M319" s="29">
        <f>'SSD_eMMC_non volatile'!L176</f>
        <v>2</v>
      </c>
      <c r="N319" s="29">
        <f>'SSD_eMMC_non volatile'!M176</f>
        <v>0</v>
      </c>
      <c r="O319" s="29">
        <f>'SSD_eMMC_non volatile'!N176</f>
        <v>0</v>
      </c>
      <c r="P319" s="29">
        <f>'SSD_eMMC_non volatile'!P176</f>
        <v>0</v>
      </c>
      <c r="Q319" s="29">
        <f>'SSD_eMMC_non volatile'!Q176</f>
        <v>100</v>
      </c>
      <c r="R319" s="29">
        <f>'SSD_eMMC_non volatile'!R176</f>
        <v>0</v>
      </c>
      <c r="S319" s="29">
        <f>'SSD_eMMC_non volatile'!S176</f>
        <v>0</v>
      </c>
      <c r="T319" s="29">
        <f>'SSD_eMMC_non volatile'!T176</f>
        <v>0</v>
      </c>
      <c r="U319" s="29">
        <f>'SSD_eMMC_non volatile'!U176</f>
        <v>0</v>
      </c>
      <c r="V319" s="29">
        <f>'SSD_eMMC_non volatile'!V176</f>
        <v>0</v>
      </c>
      <c r="W319" s="29">
        <f>'SSD_eMMC_non volatile'!W176</f>
        <v>0</v>
      </c>
      <c r="X319" s="29">
        <f>'SSD_eMMC_non volatile'!X176</f>
        <v>0</v>
      </c>
      <c r="Y319" s="29">
        <f>'SSD_eMMC_non volatile'!Y176</f>
        <v>0</v>
      </c>
      <c r="Z319" s="29" t="e">
        <f>'SSD_eMMC_non volatile'!#REF!</f>
        <v>#REF!</v>
      </c>
      <c r="AA319" s="29">
        <f>'SSD_eMMC_non volatile'!Z176</f>
        <v>600</v>
      </c>
      <c r="AB319" s="29">
        <f>'SSD_eMMC_non volatile'!AA176</f>
        <v>300</v>
      </c>
    </row>
    <row r="320" spans="3:28" s="11" customFormat="1">
      <c r="C320" s="98" t="s">
        <v>115</v>
      </c>
      <c r="D320" s="29">
        <f>'SSD_eMMC_non volatile'!C177</f>
        <v>0</v>
      </c>
      <c r="E320" s="29">
        <f>'SSD_eMMC_non volatile'!D177</f>
        <v>0</v>
      </c>
      <c r="F320" s="29">
        <f>'SSD_eMMC_non volatile'!E177</f>
        <v>0</v>
      </c>
      <c r="G320" s="29" t="str">
        <f>'SSD_eMMC_non volatile'!F177</f>
        <v>K6502ZC</v>
      </c>
      <c r="H320" s="29" t="str">
        <f>'SSD_eMMC_non volatile'!G177</f>
        <v>Core i5-12450H</v>
      </c>
      <c r="I320" s="29" t="str">
        <f>'SSD_eMMC_non volatile'!H177</f>
        <v>Local</v>
      </c>
      <c r="J320" s="29" t="str">
        <f>'SSD_eMMC_non volatile'!I177</f>
        <v>TBD</v>
      </c>
      <c r="K320" s="29" t="str">
        <f>'SSD_eMMC_non volatile'!J177</f>
        <v>SSD</v>
      </c>
      <c r="L320" s="29" t="str">
        <f>'SSD_eMMC_non volatile'!K177</f>
        <v>512G</v>
      </c>
      <c r="M320" s="29">
        <f>'SSD_eMMC_non volatile'!L177</f>
        <v>2</v>
      </c>
      <c r="N320" s="29">
        <f>'SSD_eMMC_non volatile'!M177</f>
        <v>0</v>
      </c>
      <c r="O320" s="29">
        <f>'SSD_eMMC_non volatile'!N177</f>
        <v>0</v>
      </c>
      <c r="P320" s="29">
        <f>'SSD_eMMC_non volatile'!P177</f>
        <v>0</v>
      </c>
      <c r="Q320" s="29">
        <f>'SSD_eMMC_non volatile'!Q177</f>
        <v>0</v>
      </c>
      <c r="R320" s="29">
        <f>'SSD_eMMC_non volatile'!R177</f>
        <v>0</v>
      </c>
      <c r="S320" s="29">
        <f>'SSD_eMMC_non volatile'!S177</f>
        <v>0</v>
      </c>
      <c r="T320" s="29">
        <f>'SSD_eMMC_non volatile'!T177</f>
        <v>0</v>
      </c>
      <c r="U320" s="29">
        <f>'SSD_eMMC_non volatile'!U177</f>
        <v>0</v>
      </c>
      <c r="V320" s="29">
        <f>'SSD_eMMC_non volatile'!V177</f>
        <v>0</v>
      </c>
      <c r="W320" s="29">
        <f>'SSD_eMMC_non volatile'!W177</f>
        <v>0</v>
      </c>
      <c r="X320" s="29">
        <f>'SSD_eMMC_non volatile'!X177</f>
        <v>0</v>
      </c>
      <c r="Y320" s="29">
        <f>'SSD_eMMC_non volatile'!Y177</f>
        <v>0</v>
      </c>
      <c r="Z320" s="29" t="e">
        <f>'SSD_eMMC_non volatile'!#REF!</f>
        <v>#REF!</v>
      </c>
      <c r="AA320" s="29">
        <f>'SSD_eMMC_non volatile'!Z177</f>
        <v>0</v>
      </c>
      <c r="AB320" s="29">
        <f>'SSD_eMMC_non volatile'!AA177</f>
        <v>0</v>
      </c>
    </row>
    <row r="321" spans="3:28" s="11" customFormat="1">
      <c r="C321" s="98" t="s">
        <v>26</v>
      </c>
      <c r="D321" s="29">
        <f>'MModule+onboard_volatile'!C14</f>
        <v>0</v>
      </c>
      <c r="E321" s="29" t="str">
        <f>'MModule+onboard_volatile'!D14</f>
        <v>FCST</v>
      </c>
      <c r="F321" s="29">
        <f>'MModule+onboard_volatile'!E14</f>
        <v>18300</v>
      </c>
      <c r="G321" s="29" t="str">
        <f>'MModule+onboard_volatile'!F14</f>
        <v>X515JA</v>
      </c>
      <c r="H321" s="29" t="str">
        <f>'MModule+onboard_volatile'!G14</f>
        <v>Core i3-1005G1</v>
      </c>
      <c r="I321" s="29">
        <f>'MModule+onboard_volatile'!H14</f>
        <v>0</v>
      </c>
      <c r="J321" s="29">
        <f>'MModule+onboard_volatile'!I14</f>
        <v>0</v>
      </c>
      <c r="K321" s="29">
        <f>'MModule+onboard_volatile'!J14</f>
        <v>0</v>
      </c>
      <c r="L321" s="29" t="str">
        <f>'MModule+onboard_volatile'!K14</f>
        <v xml:space="preserve">4GB </v>
      </c>
      <c r="M321" s="29">
        <f>'MModule+onboard_volatile'!L14</f>
        <v>0</v>
      </c>
      <c r="N321" s="29">
        <f>'MModule+onboard_volatile'!M14</f>
        <v>0</v>
      </c>
      <c r="O321" s="29">
        <f>'MModule+onboard_volatile'!N14</f>
        <v>7600</v>
      </c>
      <c r="P321" s="29">
        <f>'MModule+onboard_volatile'!P14</f>
        <v>6100</v>
      </c>
      <c r="Q321" s="29">
        <f>'MModule+onboard_volatile'!Q14</f>
        <v>0</v>
      </c>
      <c r="R321" s="29">
        <f>'MModule+onboard_volatile'!R14</f>
        <v>0</v>
      </c>
      <c r="S321" s="29">
        <f>'MModule+onboard_volatile'!S14</f>
        <v>0</v>
      </c>
      <c r="T321" s="29">
        <f>'MModule+onboard_volatile'!T14</f>
        <v>0</v>
      </c>
      <c r="U321" s="29">
        <f>'MModule+onboard_volatile'!U14</f>
        <v>0</v>
      </c>
      <c r="V321" s="29">
        <f>'MModule+onboard_volatile'!V14</f>
        <v>0</v>
      </c>
      <c r="W321" s="29">
        <f>'MModule+onboard_volatile'!W14</f>
        <v>0</v>
      </c>
      <c r="X321" s="29">
        <f>'MModule+onboard_volatile'!X14</f>
        <v>0</v>
      </c>
      <c r="Y321" s="29">
        <f>'MModule+onboard_volatile'!Y14</f>
        <v>0</v>
      </c>
      <c r="Z321" s="29" t="e">
        <f>'MModule+onboard_volatile'!#REF!</f>
        <v>#REF!</v>
      </c>
      <c r="AA321" s="29">
        <f>'MModule+onboard_volatile'!Z14</f>
        <v>0</v>
      </c>
      <c r="AB321" s="29">
        <f>'MModule+onboard_volatile'!AA14</f>
        <v>0</v>
      </c>
    </row>
    <row r="322" spans="3:28" s="11" customFormat="1">
      <c r="C322" s="98" t="s">
        <v>26</v>
      </c>
      <c r="D322" s="29">
        <f>'MModule+onboard_volatile'!C15</f>
        <v>0</v>
      </c>
      <c r="E322" s="29">
        <f>'MModule+onboard_volatile'!D15</f>
        <v>0</v>
      </c>
      <c r="F322" s="29">
        <f>'MModule+onboard_volatile'!E15</f>
        <v>0</v>
      </c>
      <c r="G322" s="29" t="str">
        <f>'MModule+onboard_volatile'!F15</f>
        <v>X515JA</v>
      </c>
      <c r="H322" s="29" t="str">
        <f>'MModule+onboard_volatile'!G15</f>
        <v>Core i3-1005G1</v>
      </c>
      <c r="I322" s="29" t="str">
        <f>'MModule+onboard_volatile'!H15</f>
        <v>Imported</v>
      </c>
      <c r="J322" s="29" t="str">
        <f>'MModule+onboard_volatile'!I15</f>
        <v>Asus</v>
      </c>
      <c r="K322" s="29" t="str">
        <f>'MModule+onboard_volatile'!J15</f>
        <v>M on board</v>
      </c>
      <c r="L322" s="29" t="str">
        <f>'MModule+onboard_volatile'!K15</f>
        <v>4GB OB (3200)</v>
      </c>
      <c r="M322" s="29">
        <f>'MModule+onboard_volatile'!L15</f>
        <v>4</v>
      </c>
      <c r="N322" s="29" t="str">
        <f>'MModule+onboard_volatile'!M15</f>
        <v>03012-00020800
03012-00021000</v>
      </c>
      <c r="O322" s="29">
        <f>'MModule+onboard_volatile'!N15</f>
        <v>0</v>
      </c>
      <c r="P322" s="29">
        <f>'MModule+onboard_volatile'!P15</f>
        <v>0</v>
      </c>
      <c r="Q322" s="29">
        <f>'MModule+onboard_volatile'!Q15</f>
        <v>0</v>
      </c>
      <c r="R322" s="29">
        <f>'MModule+onboard_volatile'!R15</f>
        <v>0</v>
      </c>
      <c r="S322" s="29">
        <f>'MModule+onboard_volatile'!S15</f>
        <v>0</v>
      </c>
      <c r="T322" s="29">
        <f>'MModule+onboard_volatile'!T15</f>
        <v>0</v>
      </c>
      <c r="U322" s="29">
        <f>'MModule+onboard_volatile'!U15</f>
        <v>0</v>
      </c>
      <c r="V322" s="29">
        <f>'MModule+onboard_volatile'!V15</f>
        <v>0</v>
      </c>
      <c r="W322" s="29">
        <f>'MModule+onboard_volatile'!W15</f>
        <v>0</v>
      </c>
      <c r="X322" s="29">
        <f>'MModule+onboard_volatile'!X15</f>
        <v>0</v>
      </c>
      <c r="Y322" s="29">
        <f>'MModule+onboard_volatile'!Y15</f>
        <v>0</v>
      </c>
      <c r="Z322" s="29" t="e">
        <f>'MModule+onboard_volatile'!#REF!</f>
        <v>#REF!</v>
      </c>
      <c r="AA322" s="29">
        <f>'MModule+onboard_volatile'!Z15</f>
        <v>0</v>
      </c>
      <c r="AB322" s="29" t="str">
        <f>'MModule+onboard_volatile'!AA15</f>
        <v>n/a</v>
      </c>
    </row>
    <row r="323" spans="3:28" s="11" customFormat="1">
      <c r="C323" s="98" t="s">
        <v>26</v>
      </c>
      <c r="D323" s="29">
        <f>'MModule+onboard_volatile'!C18</f>
        <v>0</v>
      </c>
      <c r="E323" s="29">
        <f>'MModule+onboard_volatile'!D18</f>
        <v>0</v>
      </c>
      <c r="F323" s="29">
        <f>'MModule+onboard_volatile'!E18</f>
        <v>0</v>
      </c>
      <c r="G323" s="29" t="str">
        <f>'MModule+onboard_volatile'!F18</f>
        <v>X515JA</v>
      </c>
      <c r="H323" s="29" t="str">
        <f>'MModule+onboard_volatile'!G18</f>
        <v>Core i3-1005G1</v>
      </c>
      <c r="I323" s="29" t="str">
        <f>'MModule+onboard_volatile'!H18</f>
        <v>Local</v>
      </c>
      <c r="J323" s="29" t="str">
        <f>'MModule+onboard_volatile'!I18</f>
        <v>TBD</v>
      </c>
      <c r="K323" s="29" t="str">
        <f>'MModule+onboard_volatile'!J18</f>
        <v>Mmodule</v>
      </c>
      <c r="L323" s="29" t="str">
        <f>'MModule+onboard_volatile'!K18</f>
        <v>4GB (3200)</v>
      </c>
      <c r="M323" s="29">
        <f>'MModule+onboard_volatile'!L18</f>
        <v>4</v>
      </c>
      <c r="N323" s="29">
        <f>'MModule+onboard_volatile'!M18</f>
        <v>0</v>
      </c>
      <c r="O323" s="29">
        <f>'MModule+onboard_volatile'!N18</f>
        <v>0</v>
      </c>
      <c r="P323" s="29">
        <f>'MModule+onboard_volatile'!P18</f>
        <v>0</v>
      </c>
      <c r="Q323" s="29">
        <f>'MModule+onboard_volatile'!Q18</f>
        <v>0</v>
      </c>
      <c r="R323" s="29">
        <f>'MModule+onboard_volatile'!R18</f>
        <v>0</v>
      </c>
      <c r="S323" s="29">
        <f>'MModule+onboard_volatile'!S18</f>
        <v>0</v>
      </c>
      <c r="T323" s="29">
        <f>'MModule+onboard_volatile'!T18</f>
        <v>0</v>
      </c>
      <c r="U323" s="29">
        <f>'MModule+onboard_volatile'!U18</f>
        <v>0</v>
      </c>
      <c r="V323" s="29">
        <f>'MModule+onboard_volatile'!V18</f>
        <v>0</v>
      </c>
      <c r="W323" s="29">
        <f>'MModule+onboard_volatile'!W18</f>
        <v>0</v>
      </c>
      <c r="X323" s="29">
        <f>'MModule+onboard_volatile'!X18</f>
        <v>0</v>
      </c>
      <c r="Y323" s="29">
        <f>'MModule+onboard_volatile'!Y18</f>
        <v>0</v>
      </c>
      <c r="Z323" s="29" t="e">
        <f>'MModule+onboard_volatile'!#REF!</f>
        <v>#REF!</v>
      </c>
      <c r="AA323" s="29">
        <f>'MModule+onboard_volatile'!Z18</f>
        <v>0</v>
      </c>
      <c r="AB323" s="29">
        <f>'MModule+onboard_volatile'!AA18</f>
        <v>0</v>
      </c>
    </row>
    <row r="324" spans="3:28" s="11" customFormat="1">
      <c r="C324" s="98" t="s">
        <v>26</v>
      </c>
      <c r="D324" s="29">
        <f>'MModule+onboard_volatile'!C19</f>
        <v>0</v>
      </c>
      <c r="E324" s="29" t="str">
        <f>'MModule+onboard_volatile'!D19</f>
        <v>FCST</v>
      </c>
      <c r="F324" s="29">
        <f>'MModule+onboard_volatile'!E19</f>
        <v>3000</v>
      </c>
      <c r="G324" s="29" t="str">
        <f>'MModule+onboard_volatile'!F19</f>
        <v>X515JA</v>
      </c>
      <c r="H324" s="29" t="str">
        <f>'MModule+onboard_volatile'!G19</f>
        <v>Core i3-1005G1</v>
      </c>
      <c r="I324" s="29">
        <f>'MModule+onboard_volatile'!H19</f>
        <v>0</v>
      </c>
      <c r="J324" s="29">
        <f>'MModule+onboard_volatile'!I19</f>
        <v>0</v>
      </c>
      <c r="K324" s="29">
        <f>'MModule+onboard_volatile'!J19</f>
        <v>0</v>
      </c>
      <c r="L324" s="29" t="str">
        <f>'MModule+onboard_volatile'!K19</f>
        <v xml:space="preserve">8GB </v>
      </c>
      <c r="M324" s="29">
        <f>'MModule+onboard_volatile'!L19</f>
        <v>0</v>
      </c>
      <c r="N324" s="29">
        <f>'MModule+onboard_volatile'!M19</f>
        <v>0</v>
      </c>
      <c r="O324" s="29">
        <f>'MModule+onboard_volatile'!N19</f>
        <v>1200</v>
      </c>
      <c r="P324" s="29">
        <f>'MModule+onboard_volatile'!P19</f>
        <v>700</v>
      </c>
      <c r="Q324" s="29">
        <f>'MModule+onboard_volatile'!Q19</f>
        <v>0</v>
      </c>
      <c r="R324" s="29">
        <f>'MModule+onboard_volatile'!R19</f>
        <v>0</v>
      </c>
      <c r="S324" s="29">
        <f>'MModule+onboard_volatile'!S19</f>
        <v>0</v>
      </c>
      <c r="T324" s="29">
        <f>'MModule+onboard_volatile'!T19</f>
        <v>0</v>
      </c>
      <c r="U324" s="29">
        <f>'MModule+onboard_volatile'!U19</f>
        <v>0</v>
      </c>
      <c r="V324" s="29">
        <f>'MModule+onboard_volatile'!V19</f>
        <v>0</v>
      </c>
      <c r="W324" s="29">
        <f>'MModule+onboard_volatile'!W19</f>
        <v>0</v>
      </c>
      <c r="X324" s="29">
        <f>'MModule+onboard_volatile'!X19</f>
        <v>0</v>
      </c>
      <c r="Y324" s="29">
        <f>'MModule+onboard_volatile'!Y19</f>
        <v>0</v>
      </c>
      <c r="Z324" s="29" t="e">
        <f>'MModule+onboard_volatile'!#REF!</f>
        <v>#REF!</v>
      </c>
      <c r="AA324" s="29">
        <f>'MModule+onboard_volatile'!Z19</f>
        <v>0</v>
      </c>
      <c r="AB324" s="29">
        <f>'MModule+onboard_volatile'!AA19</f>
        <v>0</v>
      </c>
    </row>
    <row r="325" spans="3:28" s="11" customFormat="1">
      <c r="C325" s="98" t="s">
        <v>26</v>
      </c>
      <c r="D325" s="29">
        <f>'MModule+onboard_volatile'!C20</f>
        <v>0</v>
      </c>
      <c r="E325" s="29">
        <f>'MModule+onboard_volatile'!D20</f>
        <v>0</v>
      </c>
      <c r="F325" s="29">
        <f>'MModule+onboard_volatile'!E20</f>
        <v>0</v>
      </c>
      <c r="G325" s="29" t="str">
        <f>'MModule+onboard_volatile'!F20</f>
        <v>X515JA</v>
      </c>
      <c r="H325" s="29" t="str">
        <f>'MModule+onboard_volatile'!G20</f>
        <v>Core i3-1005G1</v>
      </c>
      <c r="I325" s="29" t="str">
        <f>'MModule+onboard_volatile'!H20</f>
        <v>Imported</v>
      </c>
      <c r="J325" s="29" t="str">
        <f>'MModule+onboard_volatile'!I20</f>
        <v>Asus</v>
      </c>
      <c r="K325" s="29" t="str">
        <f>'MModule+onboard_volatile'!J20</f>
        <v>Mmodule</v>
      </c>
      <c r="L325" s="29" t="str">
        <f>'MModule+onboard_volatile'!K20</f>
        <v>8GB (3200)</v>
      </c>
      <c r="M325" s="29">
        <f>'MModule+onboard_volatile'!L20</f>
        <v>8</v>
      </c>
      <c r="N325" s="29" t="str">
        <f>'MModule+onboard_volatile'!M20</f>
        <v>03A08-00052400
03A08-00052700</v>
      </c>
      <c r="O325" s="29">
        <f>'MModule+onboard_volatile'!N20</f>
        <v>1200</v>
      </c>
      <c r="P325" s="29">
        <f>'MModule+onboard_volatile'!P20</f>
        <v>0</v>
      </c>
      <c r="Q325" s="29">
        <f>'MModule+onboard_volatile'!Q20</f>
        <v>0</v>
      </c>
      <c r="R325" s="29">
        <f>'MModule+onboard_volatile'!R20</f>
        <v>0</v>
      </c>
      <c r="S325" s="29">
        <f>'MModule+onboard_volatile'!S20</f>
        <v>0</v>
      </c>
      <c r="T325" s="29">
        <f>'MModule+onboard_volatile'!T20</f>
        <v>0</v>
      </c>
      <c r="U325" s="29">
        <f>'MModule+onboard_volatile'!U20</f>
        <v>0</v>
      </c>
      <c r="V325" s="29">
        <f>'MModule+onboard_volatile'!V20</f>
        <v>0</v>
      </c>
      <c r="W325" s="29">
        <f>'MModule+onboard_volatile'!W20</f>
        <v>0</v>
      </c>
      <c r="X325" s="29">
        <f>'MModule+onboard_volatile'!X20</f>
        <v>0</v>
      </c>
      <c r="Y325" s="29">
        <f>'MModule+onboard_volatile'!Y20</f>
        <v>0</v>
      </c>
      <c r="Z325" s="29" t="e">
        <f>'MModule+onboard_volatile'!#REF!</f>
        <v>#REF!</v>
      </c>
      <c r="AA325" s="29">
        <f>'MModule+onboard_volatile'!Z20</f>
        <v>10080</v>
      </c>
      <c r="AB325" s="29">
        <f>'MModule+onboard_volatile'!AA20</f>
        <v>1260</v>
      </c>
    </row>
    <row r="326" spans="3:28" s="11" customFormat="1">
      <c r="C326" s="98" t="s">
        <v>26</v>
      </c>
      <c r="D326" s="29">
        <f>'MModule+onboard_volatile'!C21</f>
        <v>0</v>
      </c>
      <c r="E326" s="29">
        <f>'MModule+onboard_volatile'!D21</f>
        <v>0</v>
      </c>
      <c r="F326" s="29">
        <f>'MModule+onboard_volatile'!E21</f>
        <v>0</v>
      </c>
      <c r="G326" s="29" t="str">
        <f>'MModule+onboard_volatile'!F21</f>
        <v>X515JA</v>
      </c>
      <c r="H326" s="29" t="str">
        <f>'MModule+onboard_volatile'!G21</f>
        <v>Core i3-1005G1</v>
      </c>
      <c r="I326" s="29" t="str">
        <f>'MModule+onboard_volatile'!H21</f>
        <v>Local</v>
      </c>
      <c r="J326" s="29" t="str">
        <f>'MModule+onboard_volatile'!I21</f>
        <v>ADATA</v>
      </c>
      <c r="K326" s="29" t="str">
        <f>'MModule+onboard_volatile'!J21</f>
        <v>Mmodule</v>
      </c>
      <c r="L326" s="29" t="str">
        <f>'MModule+onboard_volatile'!K21</f>
        <v>8GB</v>
      </c>
      <c r="M326" s="29">
        <f>'MModule+onboard_volatile'!L21</f>
        <v>8</v>
      </c>
      <c r="N326" s="29" t="str">
        <f>'MModule+onboard_volatile'!M21</f>
        <v>03A08-00053000</v>
      </c>
      <c r="O326" s="29">
        <f>'MModule+onboard_volatile'!N21</f>
        <v>0</v>
      </c>
      <c r="P326" s="29">
        <f>'MModule+onboard_volatile'!P21</f>
        <v>0</v>
      </c>
      <c r="Q326" s="29">
        <f>'MModule+onboard_volatile'!Q21</f>
        <v>0</v>
      </c>
      <c r="R326" s="29">
        <f>'MModule+onboard_volatile'!R21</f>
        <v>0</v>
      </c>
      <c r="S326" s="29">
        <f>'MModule+onboard_volatile'!S21</f>
        <v>0</v>
      </c>
      <c r="T326" s="29">
        <f>'MModule+onboard_volatile'!T21</f>
        <v>0</v>
      </c>
      <c r="U326" s="29">
        <f>'MModule+onboard_volatile'!U21</f>
        <v>0</v>
      </c>
      <c r="V326" s="29">
        <f>'MModule+onboard_volatile'!V21</f>
        <v>0</v>
      </c>
      <c r="W326" s="29">
        <f>'MModule+onboard_volatile'!W21</f>
        <v>0</v>
      </c>
      <c r="X326" s="29">
        <f>'MModule+onboard_volatile'!X21</f>
        <v>0</v>
      </c>
      <c r="Y326" s="29">
        <f>'MModule+onboard_volatile'!Y21</f>
        <v>0</v>
      </c>
      <c r="Z326" s="29" t="e">
        <f>'MModule+onboard_volatile'!#REF!</f>
        <v>#REF!</v>
      </c>
      <c r="AA326" s="29">
        <f>'MModule+onboard_volatile'!Z21</f>
        <v>0</v>
      </c>
      <c r="AB326" s="29">
        <f>'MModule+onboard_volatile'!AA21</f>
        <v>0</v>
      </c>
    </row>
    <row r="327" spans="3:28" s="11" customFormat="1">
      <c r="C327" s="98" t="s">
        <v>26</v>
      </c>
      <c r="D327" s="29">
        <f>'MModule+onboard_volatile'!C22</f>
        <v>0</v>
      </c>
      <c r="E327" s="29">
        <f>'MModule+onboard_volatile'!D22</f>
        <v>0</v>
      </c>
      <c r="F327" s="29">
        <f>'MModule+onboard_volatile'!E22</f>
        <v>0</v>
      </c>
      <c r="G327" s="29" t="str">
        <f>'MModule+onboard_volatile'!F22</f>
        <v>X515JA</v>
      </c>
      <c r="H327" s="29" t="str">
        <f>'MModule+onboard_volatile'!G22</f>
        <v>Core i3-1005G1</v>
      </c>
      <c r="I327" s="29" t="str">
        <f>'MModule+onboard_volatile'!H22</f>
        <v>Local</v>
      </c>
      <c r="J327" s="29" t="str">
        <f>'MModule+onboard_volatile'!I22</f>
        <v>DIGITRON</v>
      </c>
      <c r="K327" s="29" t="str">
        <f>'MModule+onboard_volatile'!J22</f>
        <v>Mmodule</v>
      </c>
      <c r="L327" s="29" t="str">
        <f>'MModule+onboard_volatile'!K22</f>
        <v>8GB</v>
      </c>
      <c r="M327" s="29">
        <f>'MModule+onboard_volatile'!L22</f>
        <v>8</v>
      </c>
      <c r="N327" s="29" t="str">
        <f>'MModule+onboard_volatile'!M22</f>
        <v>03A08-00054400</v>
      </c>
      <c r="O327" s="29">
        <f>'MModule+onboard_volatile'!N22</f>
        <v>0</v>
      </c>
      <c r="P327" s="29">
        <f>'MModule+onboard_volatile'!P22</f>
        <v>0</v>
      </c>
      <c r="Q327" s="29">
        <f>'MModule+onboard_volatile'!Q22</f>
        <v>0</v>
      </c>
      <c r="R327" s="29">
        <f>'MModule+onboard_volatile'!R22</f>
        <v>0</v>
      </c>
      <c r="S327" s="29">
        <f>'MModule+onboard_volatile'!S22</f>
        <v>0</v>
      </c>
      <c r="T327" s="29">
        <f>'MModule+onboard_volatile'!T22</f>
        <v>0</v>
      </c>
      <c r="U327" s="29">
        <f>'MModule+onboard_volatile'!U22</f>
        <v>0</v>
      </c>
      <c r="V327" s="29">
        <f>'MModule+onboard_volatile'!V22</f>
        <v>0</v>
      </c>
      <c r="W327" s="29">
        <f>'MModule+onboard_volatile'!W22</f>
        <v>0</v>
      </c>
      <c r="X327" s="29">
        <f>'MModule+onboard_volatile'!X22</f>
        <v>0</v>
      </c>
      <c r="Y327" s="29">
        <f>'MModule+onboard_volatile'!Y22</f>
        <v>0</v>
      </c>
      <c r="Z327" s="29" t="e">
        <f>'MModule+onboard_volatile'!#REF!</f>
        <v>#REF!</v>
      </c>
      <c r="AA327" s="29">
        <f>'MModule+onboard_volatile'!Z22</f>
        <v>0</v>
      </c>
      <c r="AB327" s="29">
        <f>'MModule+onboard_volatile'!AA22</f>
        <v>0</v>
      </c>
    </row>
    <row r="328" spans="3:28" s="11" customFormat="1">
      <c r="C328" s="98" t="s">
        <v>26</v>
      </c>
      <c r="D328" s="29">
        <f>'MModule+onboard_volatile'!C24</f>
        <v>0</v>
      </c>
      <c r="E328" s="29">
        <f>'MModule+onboard_volatile'!D24</f>
        <v>0</v>
      </c>
      <c r="F328" s="29">
        <f>'MModule+onboard_volatile'!E24</f>
        <v>0</v>
      </c>
      <c r="G328" s="29" t="str">
        <f>'MModule+onboard_volatile'!F24</f>
        <v>X515JA</v>
      </c>
      <c r="H328" s="29" t="str">
        <f>'MModule+onboard_volatile'!G24</f>
        <v>Core i3-1005G1</v>
      </c>
      <c r="I328" s="29" t="str">
        <f>'MModule+onboard_volatile'!H24</f>
        <v>Local</v>
      </c>
      <c r="J328" s="29" t="str">
        <f>'MModule+onboard_volatile'!I24</f>
        <v>TBD</v>
      </c>
      <c r="K328" s="29" t="str">
        <f>'MModule+onboard_volatile'!J24</f>
        <v>Mmodule</v>
      </c>
      <c r="L328" s="29" t="str">
        <f>'MModule+onboard_volatile'!K24</f>
        <v>8GB</v>
      </c>
      <c r="M328" s="29">
        <f>'MModule+onboard_volatile'!L24</f>
        <v>8</v>
      </c>
      <c r="N328" s="29">
        <f>'MModule+onboard_volatile'!M24</f>
        <v>0</v>
      </c>
      <c r="O328" s="29">
        <f>'MModule+onboard_volatile'!N24</f>
        <v>0</v>
      </c>
      <c r="P328" s="29">
        <f>'MModule+onboard_volatile'!P24</f>
        <v>0</v>
      </c>
      <c r="Q328" s="29">
        <f>'MModule+onboard_volatile'!Q24</f>
        <v>0</v>
      </c>
      <c r="R328" s="29">
        <f>'MModule+onboard_volatile'!R24</f>
        <v>0</v>
      </c>
      <c r="S328" s="29">
        <f>'MModule+onboard_volatile'!S24</f>
        <v>0</v>
      </c>
      <c r="T328" s="29">
        <f>'MModule+onboard_volatile'!T24</f>
        <v>0</v>
      </c>
      <c r="U328" s="29">
        <f>'MModule+onboard_volatile'!U24</f>
        <v>0</v>
      </c>
      <c r="V328" s="29">
        <f>'MModule+onboard_volatile'!V24</f>
        <v>0</v>
      </c>
      <c r="W328" s="29">
        <f>'MModule+onboard_volatile'!W24</f>
        <v>0</v>
      </c>
      <c r="X328" s="29">
        <f>'MModule+onboard_volatile'!X24</f>
        <v>0</v>
      </c>
      <c r="Y328" s="29">
        <f>'MModule+onboard_volatile'!Y24</f>
        <v>0</v>
      </c>
      <c r="Z328" s="29" t="e">
        <f>'MModule+onboard_volatile'!#REF!</f>
        <v>#REF!</v>
      </c>
      <c r="AA328" s="29">
        <f>'MModule+onboard_volatile'!Z24</f>
        <v>0</v>
      </c>
      <c r="AB328" s="29">
        <f>'MModule+onboard_volatile'!AA24</f>
        <v>0</v>
      </c>
    </row>
    <row r="329" spans="3:28" s="11" customFormat="1">
      <c r="C329" s="98" t="s">
        <v>26</v>
      </c>
      <c r="D329" s="29">
        <f>'MModule+onboard_volatile'!C25</f>
        <v>0</v>
      </c>
      <c r="E329" s="29" t="str">
        <f>'MModule+onboard_volatile'!D25</f>
        <v>FCST</v>
      </c>
      <c r="F329" s="29">
        <f>'MModule+onboard_volatile'!E25</f>
        <v>700</v>
      </c>
      <c r="G329" s="29" t="str">
        <f>'MModule+onboard_volatile'!F25</f>
        <v>X515JA</v>
      </c>
      <c r="H329" s="29" t="str">
        <f>'MModule+onboard_volatile'!G25</f>
        <v>Core i5-1035G1</v>
      </c>
      <c r="I329" s="29">
        <f>'MModule+onboard_volatile'!H25</f>
        <v>0</v>
      </c>
      <c r="J329" s="29">
        <f>'MModule+onboard_volatile'!I25</f>
        <v>0</v>
      </c>
      <c r="K329" s="29">
        <f>'MModule+onboard_volatile'!J25</f>
        <v>0</v>
      </c>
      <c r="L329" s="29" t="str">
        <f>'MModule+onboard_volatile'!K25</f>
        <v>4GB</v>
      </c>
      <c r="M329" s="29">
        <f>'MModule+onboard_volatile'!L25</f>
        <v>0</v>
      </c>
      <c r="N329" s="29">
        <f>'MModule+onboard_volatile'!M25</f>
        <v>0</v>
      </c>
      <c r="O329" s="29">
        <f>'MModule+onboard_volatile'!N25</f>
        <v>200</v>
      </c>
      <c r="P329" s="29">
        <f>'MModule+onboard_volatile'!P25</f>
        <v>0</v>
      </c>
      <c r="Q329" s="29">
        <f>'MModule+onboard_volatile'!Q25</f>
        <v>0</v>
      </c>
      <c r="R329" s="29">
        <f>'MModule+onboard_volatile'!R25</f>
        <v>0</v>
      </c>
      <c r="S329" s="29">
        <f>'MModule+onboard_volatile'!S25</f>
        <v>0</v>
      </c>
      <c r="T329" s="29">
        <f>'MModule+onboard_volatile'!T25</f>
        <v>0</v>
      </c>
      <c r="U329" s="29">
        <f>'MModule+onboard_volatile'!U25</f>
        <v>0</v>
      </c>
      <c r="V329" s="29">
        <f>'MModule+onboard_volatile'!V25</f>
        <v>0</v>
      </c>
      <c r="W329" s="29">
        <f>'MModule+onboard_volatile'!W25</f>
        <v>0</v>
      </c>
      <c r="X329" s="29">
        <f>'MModule+onboard_volatile'!X25</f>
        <v>0</v>
      </c>
      <c r="Y329" s="29">
        <f>'MModule+onboard_volatile'!Y25</f>
        <v>0</v>
      </c>
      <c r="Z329" s="29" t="e">
        <f>'MModule+onboard_volatile'!#REF!</f>
        <v>#REF!</v>
      </c>
      <c r="AA329" s="29">
        <f>'MModule+onboard_volatile'!Z25</f>
        <v>0</v>
      </c>
      <c r="AB329" s="29">
        <f>'MModule+onboard_volatile'!AA25</f>
        <v>0</v>
      </c>
    </row>
    <row r="330" spans="3:28" s="11" customFormat="1">
      <c r="C330" s="98" t="s">
        <v>26</v>
      </c>
      <c r="D330" s="29">
        <f>'MModule+onboard_volatile'!C26</f>
        <v>0</v>
      </c>
      <c r="E330" s="29">
        <f>'MModule+onboard_volatile'!D26</f>
        <v>0</v>
      </c>
      <c r="F330" s="29">
        <f>'MModule+onboard_volatile'!E26</f>
        <v>0</v>
      </c>
      <c r="G330" s="29" t="str">
        <f>'MModule+onboard_volatile'!F26</f>
        <v>X515JA</v>
      </c>
      <c r="H330" s="29" t="str">
        <f>'MModule+onboard_volatile'!G26</f>
        <v>Core i5-1035G1</v>
      </c>
      <c r="I330" s="29" t="str">
        <f>'MModule+onboard_volatile'!H26</f>
        <v>Imported</v>
      </c>
      <c r="J330" s="29" t="str">
        <f>'MModule+onboard_volatile'!I26</f>
        <v>Asus</v>
      </c>
      <c r="K330" s="29" t="str">
        <f>'MModule+onboard_volatile'!J26</f>
        <v>M on board</v>
      </c>
      <c r="L330" s="29" t="str">
        <f>'MModule+onboard_volatile'!K26</f>
        <v>4GB OB (3200)</v>
      </c>
      <c r="M330" s="29">
        <f>'MModule+onboard_volatile'!L26</f>
        <v>4</v>
      </c>
      <c r="N330" s="29" t="str">
        <f>'MModule+onboard_volatile'!M26</f>
        <v>03012-00020800
03012-00021000</v>
      </c>
      <c r="O330" s="29">
        <f>'MModule+onboard_volatile'!N26</f>
        <v>0</v>
      </c>
      <c r="P330" s="29">
        <f>'MModule+onboard_volatile'!P26</f>
        <v>0</v>
      </c>
      <c r="Q330" s="29">
        <f>'MModule+onboard_volatile'!Q26</f>
        <v>0</v>
      </c>
      <c r="R330" s="29">
        <f>'MModule+onboard_volatile'!R26</f>
        <v>0</v>
      </c>
      <c r="S330" s="29">
        <f>'MModule+onboard_volatile'!S26</f>
        <v>0</v>
      </c>
      <c r="T330" s="29">
        <f>'MModule+onboard_volatile'!T26</f>
        <v>0</v>
      </c>
      <c r="U330" s="29">
        <f>'MModule+onboard_volatile'!U26</f>
        <v>0</v>
      </c>
      <c r="V330" s="29">
        <f>'MModule+onboard_volatile'!V26</f>
        <v>0</v>
      </c>
      <c r="W330" s="29">
        <f>'MModule+onboard_volatile'!W26</f>
        <v>0</v>
      </c>
      <c r="X330" s="29">
        <f>'MModule+onboard_volatile'!X26</f>
        <v>0</v>
      </c>
      <c r="Y330" s="29">
        <f>'MModule+onboard_volatile'!Y26</f>
        <v>0</v>
      </c>
      <c r="Z330" s="29" t="e">
        <f>'MModule+onboard_volatile'!#REF!</f>
        <v>#REF!</v>
      </c>
      <c r="AA330" s="29">
        <f>'MModule+onboard_volatile'!Z26</f>
        <v>0</v>
      </c>
      <c r="AB330" s="29" t="str">
        <f>'MModule+onboard_volatile'!AA26</f>
        <v>n/a</v>
      </c>
    </row>
    <row r="331" spans="3:28" s="11" customFormat="1">
      <c r="C331" s="98" t="s">
        <v>26</v>
      </c>
      <c r="D331" s="29">
        <f>'MModule+onboard_volatile'!C29</f>
        <v>0</v>
      </c>
      <c r="E331" s="29">
        <f>'MModule+onboard_volatile'!D29</f>
        <v>0</v>
      </c>
      <c r="F331" s="29">
        <f>'MModule+onboard_volatile'!E29</f>
        <v>0</v>
      </c>
      <c r="G331" s="29" t="str">
        <f>'MModule+onboard_volatile'!F29</f>
        <v>X515JA</v>
      </c>
      <c r="H331" s="29" t="str">
        <f>'MModule+onboard_volatile'!G29</f>
        <v>Core i5-1035G1</v>
      </c>
      <c r="I331" s="29" t="str">
        <f>'MModule+onboard_volatile'!H29</f>
        <v>Local</v>
      </c>
      <c r="J331" s="29" t="str">
        <f>'MModule+onboard_volatile'!I29</f>
        <v>TBD</v>
      </c>
      <c r="K331" s="29" t="str">
        <f>'MModule+onboard_volatile'!J29</f>
        <v>Mmodule</v>
      </c>
      <c r="L331" s="29" t="str">
        <f>'MModule+onboard_volatile'!K29</f>
        <v>4GB (3200)</v>
      </c>
      <c r="M331" s="29">
        <f>'MModule+onboard_volatile'!L29</f>
        <v>4</v>
      </c>
      <c r="N331" s="29">
        <f>'MModule+onboard_volatile'!M29</f>
        <v>0</v>
      </c>
      <c r="O331" s="29">
        <f>'MModule+onboard_volatile'!N29</f>
        <v>0</v>
      </c>
      <c r="P331" s="29">
        <f>'MModule+onboard_volatile'!P29</f>
        <v>0</v>
      </c>
      <c r="Q331" s="29">
        <f>'MModule+onboard_volatile'!Q29</f>
        <v>0</v>
      </c>
      <c r="R331" s="29">
        <f>'MModule+onboard_volatile'!R29</f>
        <v>0</v>
      </c>
      <c r="S331" s="29">
        <f>'MModule+onboard_volatile'!S29</f>
        <v>0</v>
      </c>
      <c r="T331" s="29">
        <f>'MModule+onboard_volatile'!T29</f>
        <v>0</v>
      </c>
      <c r="U331" s="29">
        <f>'MModule+onboard_volatile'!U29</f>
        <v>0</v>
      </c>
      <c r="V331" s="29">
        <f>'MModule+onboard_volatile'!V29</f>
        <v>0</v>
      </c>
      <c r="W331" s="29">
        <f>'MModule+onboard_volatile'!W29</f>
        <v>0</v>
      </c>
      <c r="X331" s="29">
        <f>'MModule+onboard_volatile'!X29</f>
        <v>0</v>
      </c>
      <c r="Y331" s="29">
        <f>'MModule+onboard_volatile'!Y29</f>
        <v>0</v>
      </c>
      <c r="Z331" s="29" t="e">
        <f>'MModule+onboard_volatile'!#REF!</f>
        <v>#REF!</v>
      </c>
      <c r="AA331" s="29">
        <f>'MModule+onboard_volatile'!Z29</f>
        <v>0</v>
      </c>
      <c r="AB331" s="29">
        <f>'MModule+onboard_volatile'!AA29</f>
        <v>0</v>
      </c>
    </row>
    <row r="332" spans="3:28" s="11" customFormat="1">
      <c r="C332" s="98" t="s">
        <v>26</v>
      </c>
      <c r="D332" s="29">
        <f>'MModule+onboard_volatile'!C30</f>
        <v>0</v>
      </c>
      <c r="E332" s="29" t="str">
        <f>'MModule+onboard_volatile'!D30</f>
        <v>FCST</v>
      </c>
      <c r="F332" s="29">
        <f>'MModule+onboard_volatile'!E30</f>
        <v>22350</v>
      </c>
      <c r="G332" s="29" t="str">
        <f>'MModule+onboard_volatile'!F30</f>
        <v>X515JA</v>
      </c>
      <c r="H332" s="29" t="str">
        <f>'MModule+onboard_volatile'!G30</f>
        <v>Core i5-1035G1</v>
      </c>
      <c r="I332" s="29">
        <f>'MModule+onboard_volatile'!H30</f>
        <v>0</v>
      </c>
      <c r="J332" s="29">
        <f>'MModule+onboard_volatile'!I30</f>
        <v>0</v>
      </c>
      <c r="K332" s="29">
        <f>'MModule+onboard_volatile'!J30</f>
        <v>0</v>
      </c>
      <c r="L332" s="29" t="str">
        <f>'MModule+onboard_volatile'!K30</f>
        <v>8GB</v>
      </c>
      <c r="M332" s="29">
        <f>'MModule+onboard_volatile'!L30</f>
        <v>0</v>
      </c>
      <c r="N332" s="29">
        <f>'MModule+onboard_volatile'!M30</f>
        <v>0</v>
      </c>
      <c r="O332" s="29">
        <f>'MModule+onboard_volatile'!N30</f>
        <v>5300</v>
      </c>
      <c r="P332" s="29">
        <f>'MModule+onboard_volatile'!P30</f>
        <v>8000</v>
      </c>
      <c r="Q332" s="29">
        <f>'MModule+onboard_volatile'!Q30</f>
        <v>5750</v>
      </c>
      <c r="R332" s="29">
        <f>'MModule+onboard_volatile'!R30</f>
        <v>0</v>
      </c>
      <c r="S332" s="29">
        <f>'MModule+onboard_volatile'!S30</f>
        <v>0</v>
      </c>
      <c r="T332" s="29">
        <f>'MModule+onboard_volatile'!T30</f>
        <v>0</v>
      </c>
      <c r="U332" s="29">
        <f>'MModule+onboard_volatile'!U30</f>
        <v>0</v>
      </c>
      <c r="V332" s="29">
        <f>'MModule+onboard_volatile'!V30</f>
        <v>0</v>
      </c>
      <c r="W332" s="29">
        <f>'MModule+onboard_volatile'!W30</f>
        <v>0</v>
      </c>
      <c r="X332" s="29">
        <f>'MModule+onboard_volatile'!X30</f>
        <v>0</v>
      </c>
      <c r="Y332" s="29">
        <f>'MModule+onboard_volatile'!Y30</f>
        <v>0</v>
      </c>
      <c r="Z332" s="29" t="e">
        <f>'MModule+onboard_volatile'!#REF!</f>
        <v>#REF!</v>
      </c>
      <c r="AA332" s="29">
        <f>'MModule+onboard_volatile'!Z30</f>
        <v>0</v>
      </c>
      <c r="AB332" s="29">
        <f>'MModule+onboard_volatile'!AA30</f>
        <v>0</v>
      </c>
    </row>
    <row r="333" spans="3:28" s="11" customFormat="1">
      <c r="C333" s="98" t="s">
        <v>26</v>
      </c>
      <c r="D333" s="29">
        <f>'MModule+onboard_volatile'!C31</f>
        <v>0</v>
      </c>
      <c r="E333" s="29">
        <f>'MModule+onboard_volatile'!D31</f>
        <v>0</v>
      </c>
      <c r="F333" s="29">
        <f>'MModule+onboard_volatile'!E31</f>
        <v>0</v>
      </c>
      <c r="G333" s="29" t="str">
        <f>'MModule+onboard_volatile'!F31</f>
        <v>X515JA</v>
      </c>
      <c r="H333" s="29" t="str">
        <f>'MModule+onboard_volatile'!G31</f>
        <v>Core i5-1035G1</v>
      </c>
      <c r="I333" s="29" t="str">
        <f>'MModule+onboard_volatile'!H31</f>
        <v>Imported</v>
      </c>
      <c r="J333" s="29" t="str">
        <f>'MModule+onboard_volatile'!I31</f>
        <v>Asus</v>
      </c>
      <c r="K333" s="29" t="str">
        <f>'MModule+onboard_volatile'!J31</f>
        <v>Mmodule</v>
      </c>
      <c r="L333" s="29" t="str">
        <f>'MModule+onboard_volatile'!K31</f>
        <v>8GB (3200)</v>
      </c>
      <c r="M333" s="29">
        <f>'MModule+onboard_volatile'!L31</f>
        <v>8</v>
      </c>
      <c r="N333" s="29" t="str">
        <f>'MModule+onboard_volatile'!M31</f>
        <v>03A08-00052400
03A08-00052700</v>
      </c>
      <c r="O333" s="29">
        <f>'MModule+onboard_volatile'!N31</f>
        <v>5300</v>
      </c>
      <c r="P333" s="29">
        <f>'MModule+onboard_volatile'!P31</f>
        <v>0</v>
      </c>
      <c r="Q333" s="29">
        <f>'MModule+onboard_volatile'!Q31</f>
        <v>0</v>
      </c>
      <c r="R333" s="29">
        <f>'MModule+onboard_volatile'!R31</f>
        <v>0</v>
      </c>
      <c r="S333" s="29">
        <f>'MModule+onboard_volatile'!S31</f>
        <v>0</v>
      </c>
      <c r="T333" s="29">
        <f>'MModule+onboard_volatile'!T31</f>
        <v>0</v>
      </c>
      <c r="U333" s="29">
        <f>'MModule+onboard_volatile'!U31</f>
        <v>0</v>
      </c>
      <c r="V333" s="29">
        <f>'MModule+onboard_volatile'!V31</f>
        <v>0</v>
      </c>
      <c r="W333" s="29">
        <f>'MModule+onboard_volatile'!W31</f>
        <v>0</v>
      </c>
      <c r="X333" s="29">
        <f>'MModule+onboard_volatile'!X31</f>
        <v>0</v>
      </c>
      <c r="Y333" s="29">
        <f>'MModule+onboard_volatile'!Y31</f>
        <v>0</v>
      </c>
      <c r="Z333" s="29" t="e">
        <f>'MModule+onboard_volatile'!#REF!</f>
        <v>#REF!</v>
      </c>
      <c r="AA333" s="29">
        <f>'MModule+onboard_volatile'!Z31</f>
        <v>42400</v>
      </c>
      <c r="AB333" s="29">
        <f>'MModule+onboard_volatile'!AA31</f>
        <v>5300</v>
      </c>
    </row>
    <row r="334" spans="3:28" s="11" customFormat="1">
      <c r="C334" s="98" t="s">
        <v>26</v>
      </c>
      <c r="D334" s="29">
        <f>'MModule+onboard_volatile'!C32</f>
        <v>0</v>
      </c>
      <c r="E334" s="29">
        <f>'MModule+onboard_volatile'!D32</f>
        <v>0</v>
      </c>
      <c r="F334" s="29">
        <f>'MModule+onboard_volatile'!E32</f>
        <v>0</v>
      </c>
      <c r="G334" s="29" t="str">
        <f>'MModule+onboard_volatile'!F32</f>
        <v>X515JA</v>
      </c>
      <c r="H334" s="29" t="str">
        <f>'MModule+onboard_volatile'!G32</f>
        <v>Core i5-1035G1</v>
      </c>
      <c r="I334" s="29" t="str">
        <f>'MModule+onboard_volatile'!H32</f>
        <v>Local</v>
      </c>
      <c r="J334" s="29" t="str">
        <f>'MModule+onboard_volatile'!I32</f>
        <v>ADATA</v>
      </c>
      <c r="K334" s="29" t="str">
        <f>'MModule+onboard_volatile'!J32</f>
        <v>Mmodule</v>
      </c>
      <c r="L334" s="29" t="str">
        <f>'MModule+onboard_volatile'!K32</f>
        <v>8GB</v>
      </c>
      <c r="M334" s="29">
        <f>'MModule+onboard_volatile'!L32</f>
        <v>8</v>
      </c>
      <c r="N334" s="29" t="str">
        <f>'MModule+onboard_volatile'!M32</f>
        <v>03A08-00053000</v>
      </c>
      <c r="O334" s="29">
        <f>'MModule+onboard_volatile'!N32</f>
        <v>0</v>
      </c>
      <c r="P334" s="29">
        <f>'MModule+onboard_volatile'!P32</f>
        <v>0</v>
      </c>
      <c r="Q334" s="29">
        <f>'MModule+onboard_volatile'!Q32</f>
        <v>0</v>
      </c>
      <c r="R334" s="29">
        <f>'MModule+onboard_volatile'!R32</f>
        <v>0</v>
      </c>
      <c r="S334" s="29">
        <f>'MModule+onboard_volatile'!S32</f>
        <v>0</v>
      </c>
      <c r="T334" s="29">
        <f>'MModule+onboard_volatile'!T32</f>
        <v>0</v>
      </c>
      <c r="U334" s="29">
        <f>'MModule+onboard_volatile'!U32</f>
        <v>0</v>
      </c>
      <c r="V334" s="29">
        <f>'MModule+onboard_volatile'!V32</f>
        <v>0</v>
      </c>
      <c r="W334" s="29">
        <f>'MModule+onboard_volatile'!W32</f>
        <v>0</v>
      </c>
      <c r="X334" s="29">
        <f>'MModule+onboard_volatile'!X32</f>
        <v>0</v>
      </c>
      <c r="Y334" s="29">
        <f>'MModule+onboard_volatile'!Y32</f>
        <v>0</v>
      </c>
      <c r="Z334" s="29" t="e">
        <f>'MModule+onboard_volatile'!#REF!</f>
        <v>#REF!</v>
      </c>
      <c r="AA334" s="29">
        <f>'MModule+onboard_volatile'!Z32</f>
        <v>0</v>
      </c>
      <c r="AB334" s="29">
        <f>'MModule+onboard_volatile'!AA32</f>
        <v>0</v>
      </c>
    </row>
    <row r="335" spans="3:28" s="11" customFormat="1">
      <c r="C335" s="98" t="s">
        <v>26</v>
      </c>
      <c r="D335" s="29">
        <f>'MModule+onboard_volatile'!C33</f>
        <v>0</v>
      </c>
      <c r="E335" s="29">
        <f>'MModule+onboard_volatile'!D33</f>
        <v>0</v>
      </c>
      <c r="F335" s="29">
        <f>'MModule+onboard_volatile'!E33</f>
        <v>0</v>
      </c>
      <c r="G335" s="29" t="str">
        <f>'MModule+onboard_volatile'!F33</f>
        <v>X515JA</v>
      </c>
      <c r="H335" s="29" t="str">
        <f>'MModule+onboard_volatile'!G33</f>
        <v>Core i5-1035G1</v>
      </c>
      <c r="I335" s="29" t="str">
        <f>'MModule+onboard_volatile'!H33</f>
        <v>Local</v>
      </c>
      <c r="J335" s="29" t="str">
        <f>'MModule+onboard_volatile'!I33</f>
        <v>DIGITRON</v>
      </c>
      <c r="K335" s="29" t="str">
        <f>'MModule+onboard_volatile'!J33</f>
        <v>Mmodule</v>
      </c>
      <c r="L335" s="29" t="str">
        <f>'MModule+onboard_volatile'!K33</f>
        <v>8GB</v>
      </c>
      <c r="M335" s="29">
        <f>'MModule+onboard_volatile'!L33</f>
        <v>8</v>
      </c>
      <c r="N335" s="29" t="str">
        <f>'MModule+onboard_volatile'!M33</f>
        <v>03A08-00054400</v>
      </c>
      <c r="O335" s="29">
        <f>'MModule+onboard_volatile'!N33</f>
        <v>0</v>
      </c>
      <c r="P335" s="29">
        <f>'MModule+onboard_volatile'!P33</f>
        <v>0</v>
      </c>
      <c r="Q335" s="29">
        <f>'MModule+onboard_volatile'!Q33</f>
        <v>0</v>
      </c>
      <c r="R335" s="29">
        <f>'MModule+onboard_volatile'!R33</f>
        <v>0</v>
      </c>
      <c r="S335" s="29">
        <f>'MModule+onboard_volatile'!S33</f>
        <v>0</v>
      </c>
      <c r="T335" s="29">
        <f>'MModule+onboard_volatile'!T33</f>
        <v>0</v>
      </c>
      <c r="U335" s="29">
        <f>'MModule+onboard_volatile'!U33</f>
        <v>0</v>
      </c>
      <c r="V335" s="29">
        <f>'MModule+onboard_volatile'!V33</f>
        <v>0</v>
      </c>
      <c r="W335" s="29">
        <f>'MModule+onboard_volatile'!W33</f>
        <v>0</v>
      </c>
      <c r="X335" s="29">
        <f>'MModule+onboard_volatile'!X33</f>
        <v>0</v>
      </c>
      <c r="Y335" s="29">
        <f>'MModule+onboard_volatile'!Y33</f>
        <v>0</v>
      </c>
      <c r="Z335" s="29" t="e">
        <f>'MModule+onboard_volatile'!#REF!</f>
        <v>#REF!</v>
      </c>
      <c r="AA335" s="29">
        <f>'MModule+onboard_volatile'!Z33</f>
        <v>0</v>
      </c>
      <c r="AB335" s="29">
        <f>'MModule+onboard_volatile'!AA33</f>
        <v>0</v>
      </c>
    </row>
    <row r="336" spans="3:28" s="11" customFormat="1">
      <c r="C336" s="98" t="s">
        <v>26</v>
      </c>
      <c r="D336" s="29">
        <f>'MModule+onboard_volatile'!C35</f>
        <v>0</v>
      </c>
      <c r="E336" s="29">
        <f>'MModule+onboard_volatile'!D35</f>
        <v>0</v>
      </c>
      <c r="F336" s="29">
        <f>'MModule+onboard_volatile'!E35</f>
        <v>0</v>
      </c>
      <c r="G336" s="29" t="str">
        <f>'MModule+onboard_volatile'!F35</f>
        <v>X515JA</v>
      </c>
      <c r="H336" s="29" t="str">
        <f>'MModule+onboard_volatile'!G35</f>
        <v>Core i5-1035G1</v>
      </c>
      <c r="I336" s="29" t="str">
        <f>'MModule+onboard_volatile'!H35</f>
        <v>Local</v>
      </c>
      <c r="J336" s="29" t="str">
        <f>'MModule+onboard_volatile'!I35</f>
        <v>TBD</v>
      </c>
      <c r="K336" s="29" t="str">
        <f>'MModule+onboard_volatile'!J35</f>
        <v>Mmodule</v>
      </c>
      <c r="L336" s="29" t="str">
        <f>'MModule+onboard_volatile'!K35</f>
        <v>8GB</v>
      </c>
      <c r="M336" s="29">
        <f>'MModule+onboard_volatile'!L35</f>
        <v>8</v>
      </c>
      <c r="N336" s="29">
        <f>'MModule+onboard_volatile'!M35</f>
        <v>0</v>
      </c>
      <c r="O336" s="29">
        <f>'MModule+onboard_volatile'!N35</f>
        <v>0</v>
      </c>
      <c r="P336" s="29">
        <f>'MModule+onboard_volatile'!P35</f>
        <v>0</v>
      </c>
      <c r="Q336" s="29">
        <f>'MModule+onboard_volatile'!Q35</f>
        <v>0</v>
      </c>
      <c r="R336" s="29">
        <f>'MModule+onboard_volatile'!R35</f>
        <v>0</v>
      </c>
      <c r="S336" s="29">
        <f>'MModule+onboard_volatile'!S35</f>
        <v>0</v>
      </c>
      <c r="T336" s="29">
        <f>'MModule+onboard_volatile'!T35</f>
        <v>0</v>
      </c>
      <c r="U336" s="29">
        <f>'MModule+onboard_volatile'!U35</f>
        <v>0</v>
      </c>
      <c r="V336" s="29">
        <f>'MModule+onboard_volatile'!V35</f>
        <v>0</v>
      </c>
      <c r="W336" s="29">
        <f>'MModule+onboard_volatile'!W35</f>
        <v>0</v>
      </c>
      <c r="X336" s="29">
        <f>'MModule+onboard_volatile'!X35</f>
        <v>0</v>
      </c>
      <c r="Y336" s="29">
        <f>'MModule+onboard_volatile'!Y35</f>
        <v>0</v>
      </c>
      <c r="Z336" s="29" t="e">
        <f>'MModule+onboard_volatile'!#REF!</f>
        <v>#REF!</v>
      </c>
      <c r="AA336" s="29">
        <f>'MModule+onboard_volatile'!Z35</f>
        <v>0</v>
      </c>
      <c r="AB336" s="29">
        <f>'MModule+onboard_volatile'!AA35</f>
        <v>0</v>
      </c>
    </row>
    <row r="337" spans="3:28" s="11" customFormat="1">
      <c r="C337" s="98" t="s">
        <v>26</v>
      </c>
      <c r="D337" s="29">
        <f>'MModule+onboard_volatile'!C36</f>
        <v>0</v>
      </c>
      <c r="E337" s="29" t="str">
        <f>'MModule+onboard_volatile'!D36</f>
        <v>FCST</v>
      </c>
      <c r="F337" s="29">
        <f>'MModule+onboard_volatile'!E36</f>
        <v>2650</v>
      </c>
      <c r="G337" s="29" t="str">
        <f>'MModule+onboard_volatile'!F36</f>
        <v>X515JF</v>
      </c>
      <c r="H337" s="29" t="str">
        <f>'MModule+onboard_volatile'!G36</f>
        <v>Core i5-1035G1</v>
      </c>
      <c r="I337" s="29">
        <f>'MModule+onboard_volatile'!H36</f>
        <v>0</v>
      </c>
      <c r="J337" s="29">
        <f>'MModule+onboard_volatile'!I36</f>
        <v>0</v>
      </c>
      <c r="K337" s="29">
        <f>'MModule+onboard_volatile'!J36</f>
        <v>0</v>
      </c>
      <c r="L337" s="29" t="str">
        <f>'MModule+onboard_volatile'!K36</f>
        <v>8GB</v>
      </c>
      <c r="M337" s="29">
        <f>'MModule+onboard_volatile'!L36</f>
        <v>0</v>
      </c>
      <c r="N337" s="29">
        <f>'MModule+onboard_volatile'!M36</f>
        <v>0</v>
      </c>
      <c r="O337" s="29">
        <f>'MModule+onboard_volatile'!N36</f>
        <v>700</v>
      </c>
      <c r="P337" s="29">
        <f>'MModule+onboard_volatile'!P36</f>
        <v>950</v>
      </c>
      <c r="Q337" s="29">
        <f>'MModule+onboard_volatile'!Q36</f>
        <v>0</v>
      </c>
      <c r="R337" s="29">
        <f>'MModule+onboard_volatile'!R36</f>
        <v>0</v>
      </c>
      <c r="S337" s="29">
        <f>'MModule+onboard_volatile'!S36</f>
        <v>0</v>
      </c>
      <c r="T337" s="29">
        <f>'MModule+onboard_volatile'!T36</f>
        <v>0</v>
      </c>
      <c r="U337" s="29">
        <f>'MModule+onboard_volatile'!U36</f>
        <v>0</v>
      </c>
      <c r="V337" s="29">
        <f>'MModule+onboard_volatile'!V36</f>
        <v>0</v>
      </c>
      <c r="W337" s="29">
        <f>'MModule+onboard_volatile'!W36</f>
        <v>0</v>
      </c>
      <c r="X337" s="29">
        <f>'MModule+onboard_volatile'!X36</f>
        <v>0</v>
      </c>
      <c r="Y337" s="29">
        <f>'MModule+onboard_volatile'!Y36</f>
        <v>0</v>
      </c>
      <c r="Z337" s="29" t="e">
        <f>'MModule+onboard_volatile'!#REF!</f>
        <v>#REF!</v>
      </c>
      <c r="AA337" s="29">
        <f>'MModule+onboard_volatile'!Z36</f>
        <v>0</v>
      </c>
      <c r="AB337" s="29">
        <f>'MModule+onboard_volatile'!AA36</f>
        <v>0</v>
      </c>
    </row>
    <row r="338" spans="3:28" s="11" customFormat="1">
      <c r="C338" s="98" t="s">
        <v>26</v>
      </c>
      <c r="D338" s="29">
        <f>'MModule+onboard_volatile'!C37</f>
        <v>0</v>
      </c>
      <c r="E338" s="29">
        <f>'MModule+onboard_volatile'!D37</f>
        <v>0</v>
      </c>
      <c r="F338" s="29">
        <f>'MModule+onboard_volatile'!E37</f>
        <v>0</v>
      </c>
      <c r="G338" s="29" t="str">
        <f>'MModule+onboard_volatile'!F37</f>
        <v>X515JF</v>
      </c>
      <c r="H338" s="29" t="str">
        <f>'MModule+onboard_volatile'!G37</f>
        <v>Core i5-1035G1</v>
      </c>
      <c r="I338" s="29" t="str">
        <f>'MModule+onboard_volatile'!H37</f>
        <v>Imported</v>
      </c>
      <c r="J338" s="29" t="str">
        <f>'MModule+onboard_volatile'!I37</f>
        <v>Asus</v>
      </c>
      <c r="K338" s="29" t="str">
        <f>'MModule+onboard_volatile'!J37</f>
        <v>GPU VRAM</v>
      </c>
      <c r="L338" s="29" t="str">
        <f>'MModule+onboard_volatile'!K37</f>
        <v>V2G</v>
      </c>
      <c r="M338" s="29">
        <f>'MModule+onboard_volatile'!L37</f>
        <v>2</v>
      </c>
      <c r="N338" s="29" t="str">
        <f>'MModule+onboard_volatile'!M37</f>
        <v>03008-00052100</v>
      </c>
      <c r="O338" s="29">
        <f>'MModule+onboard_volatile'!N37</f>
        <v>1400</v>
      </c>
      <c r="P338" s="29">
        <f>'MModule+onboard_volatile'!P37</f>
        <v>1900</v>
      </c>
      <c r="Q338" s="29">
        <f>'MModule+onboard_volatile'!Q37</f>
        <v>0</v>
      </c>
      <c r="R338" s="29">
        <f>'MModule+onboard_volatile'!R37</f>
        <v>0</v>
      </c>
      <c r="S338" s="29">
        <f>'MModule+onboard_volatile'!S37</f>
        <v>0</v>
      </c>
      <c r="T338" s="29">
        <f>'MModule+onboard_volatile'!T37</f>
        <v>0</v>
      </c>
      <c r="U338" s="29">
        <f>'MModule+onboard_volatile'!U37</f>
        <v>0</v>
      </c>
      <c r="V338" s="29">
        <f>'MModule+onboard_volatile'!V37</f>
        <v>0</v>
      </c>
      <c r="W338" s="29">
        <f>'MModule+onboard_volatile'!W37</f>
        <v>0</v>
      </c>
      <c r="X338" s="29">
        <f>'MModule+onboard_volatile'!X37</f>
        <v>0</v>
      </c>
      <c r="Y338" s="29">
        <f>'MModule+onboard_volatile'!Y37</f>
        <v>0</v>
      </c>
      <c r="Z338" s="29" t="e">
        <f>'MModule+onboard_volatile'!#REF!</f>
        <v>#REF!</v>
      </c>
      <c r="AA338" s="29">
        <f>'MModule+onboard_volatile'!Z37</f>
        <v>5300</v>
      </c>
      <c r="AB338" s="29" t="str">
        <f>'MModule+onboard_volatile'!AA37</f>
        <v>n/a</v>
      </c>
    </row>
    <row r="339" spans="3:28" s="11" customFormat="1">
      <c r="C339" s="98" t="s">
        <v>26</v>
      </c>
      <c r="D339" s="29">
        <f>'MModule+onboard_volatile'!C38</f>
        <v>0</v>
      </c>
      <c r="E339" s="29">
        <f>'MModule+onboard_volatile'!D38</f>
        <v>0</v>
      </c>
      <c r="F339" s="29">
        <f>'MModule+onboard_volatile'!E38</f>
        <v>0</v>
      </c>
      <c r="G339" s="29" t="str">
        <f>'MModule+onboard_volatile'!F38</f>
        <v>X515JF</v>
      </c>
      <c r="H339" s="29" t="str">
        <f>'MModule+onboard_volatile'!G38</f>
        <v>Core i5-1035G1</v>
      </c>
      <c r="I339" s="29" t="str">
        <f>'MModule+onboard_volatile'!H38</f>
        <v>Imported</v>
      </c>
      <c r="J339" s="29" t="str">
        <f>'MModule+onboard_volatile'!I38</f>
        <v>Asus</v>
      </c>
      <c r="K339" s="29" t="str">
        <f>'MModule+onboard_volatile'!J38</f>
        <v>Mmodule</v>
      </c>
      <c r="L339" s="29" t="str">
        <f>'MModule+onboard_volatile'!K38</f>
        <v>8GB (3200)</v>
      </c>
      <c r="M339" s="29">
        <f>'MModule+onboard_volatile'!L38</f>
        <v>8</v>
      </c>
      <c r="N339" s="29" t="str">
        <f>'MModule+onboard_volatile'!M38</f>
        <v>03A08-00052400
03A08-00052700</v>
      </c>
      <c r="O339" s="29">
        <f>'MModule+onboard_volatile'!N38</f>
        <v>700</v>
      </c>
      <c r="P339" s="29">
        <f>'MModule+onboard_volatile'!P38</f>
        <v>0</v>
      </c>
      <c r="Q339" s="29">
        <f>'MModule+onboard_volatile'!Q38</f>
        <v>0</v>
      </c>
      <c r="R339" s="29">
        <f>'MModule+onboard_volatile'!R38</f>
        <v>0</v>
      </c>
      <c r="S339" s="29">
        <f>'MModule+onboard_volatile'!S38</f>
        <v>0</v>
      </c>
      <c r="T339" s="29">
        <f>'MModule+onboard_volatile'!T38</f>
        <v>0</v>
      </c>
      <c r="U339" s="29">
        <f>'MModule+onboard_volatile'!U38</f>
        <v>0</v>
      </c>
      <c r="V339" s="29">
        <f>'MModule+onboard_volatile'!V38</f>
        <v>0</v>
      </c>
      <c r="W339" s="29">
        <f>'MModule+onboard_volatile'!W38</f>
        <v>0</v>
      </c>
      <c r="X339" s="29">
        <f>'MModule+onboard_volatile'!X38</f>
        <v>0</v>
      </c>
      <c r="Y339" s="29">
        <f>'MModule+onboard_volatile'!Y38</f>
        <v>0</v>
      </c>
      <c r="Z339" s="29" t="e">
        <f>'MModule+onboard_volatile'!#REF!</f>
        <v>#REF!</v>
      </c>
      <c r="AA339" s="29">
        <f>'MModule+onboard_volatile'!Z38</f>
        <v>6080</v>
      </c>
      <c r="AB339" s="29">
        <f>'MModule+onboard_volatile'!AA38</f>
        <v>760</v>
      </c>
    </row>
    <row r="340" spans="3:28" s="11" customFormat="1">
      <c r="C340" s="98" t="s">
        <v>26</v>
      </c>
      <c r="D340" s="29">
        <f>'MModule+onboard_volatile'!C39</f>
        <v>0</v>
      </c>
      <c r="E340" s="29">
        <f>'MModule+onboard_volatile'!D39</f>
        <v>0</v>
      </c>
      <c r="F340" s="29">
        <f>'MModule+onboard_volatile'!E39</f>
        <v>0</v>
      </c>
      <c r="G340" s="29" t="str">
        <f>'MModule+onboard_volatile'!F39</f>
        <v>X515JF</v>
      </c>
      <c r="H340" s="29" t="str">
        <f>'MModule+onboard_volatile'!G39</f>
        <v>Core i5-1035G1</v>
      </c>
      <c r="I340" s="29" t="str">
        <f>'MModule+onboard_volatile'!H39</f>
        <v>Local</v>
      </c>
      <c r="J340" s="29" t="str">
        <f>'MModule+onboard_volatile'!I39</f>
        <v>ADATA</v>
      </c>
      <c r="K340" s="29" t="str">
        <f>'MModule+onboard_volatile'!J39</f>
        <v>Mmodule</v>
      </c>
      <c r="L340" s="29" t="str">
        <f>'MModule+onboard_volatile'!K39</f>
        <v>8GB</v>
      </c>
      <c r="M340" s="29">
        <f>'MModule+onboard_volatile'!L39</f>
        <v>8</v>
      </c>
      <c r="N340" s="29" t="str">
        <f>'MModule+onboard_volatile'!M39</f>
        <v>03A08-00053000</v>
      </c>
      <c r="O340" s="29">
        <f>'MModule+onboard_volatile'!N39</f>
        <v>0</v>
      </c>
      <c r="P340" s="29">
        <f>'MModule+onboard_volatile'!P39</f>
        <v>0</v>
      </c>
      <c r="Q340" s="29">
        <f>'MModule+onboard_volatile'!Q39</f>
        <v>0</v>
      </c>
      <c r="R340" s="29">
        <f>'MModule+onboard_volatile'!R39</f>
        <v>0</v>
      </c>
      <c r="S340" s="29">
        <f>'MModule+onboard_volatile'!S39</f>
        <v>0</v>
      </c>
      <c r="T340" s="29">
        <f>'MModule+onboard_volatile'!T39</f>
        <v>0</v>
      </c>
      <c r="U340" s="29">
        <f>'MModule+onboard_volatile'!U39</f>
        <v>0</v>
      </c>
      <c r="V340" s="29">
        <f>'MModule+onboard_volatile'!V39</f>
        <v>0</v>
      </c>
      <c r="W340" s="29">
        <f>'MModule+onboard_volatile'!W39</f>
        <v>0</v>
      </c>
      <c r="X340" s="29">
        <f>'MModule+onboard_volatile'!X39</f>
        <v>0</v>
      </c>
      <c r="Y340" s="29">
        <f>'MModule+onboard_volatile'!Y39</f>
        <v>0</v>
      </c>
      <c r="Z340" s="29" t="e">
        <f>'MModule+onboard_volatile'!#REF!</f>
        <v>#REF!</v>
      </c>
      <c r="AA340" s="29">
        <f>'MModule+onboard_volatile'!Z39</f>
        <v>0</v>
      </c>
      <c r="AB340" s="29">
        <f>'MModule+onboard_volatile'!AA39</f>
        <v>0</v>
      </c>
    </row>
    <row r="341" spans="3:28" s="11" customFormat="1">
      <c r="C341" s="98" t="s">
        <v>26</v>
      </c>
      <c r="D341" s="29">
        <f>'MModule+onboard_volatile'!C40</f>
        <v>0</v>
      </c>
      <c r="E341" s="29">
        <f>'MModule+onboard_volatile'!D40</f>
        <v>0</v>
      </c>
      <c r="F341" s="29">
        <f>'MModule+onboard_volatile'!E40</f>
        <v>0</v>
      </c>
      <c r="G341" s="29" t="str">
        <f>'MModule+onboard_volatile'!F40</f>
        <v>X515JF</v>
      </c>
      <c r="H341" s="29" t="str">
        <f>'MModule+onboard_volatile'!G40</f>
        <v>Core i5-1035G1</v>
      </c>
      <c r="I341" s="29" t="str">
        <f>'MModule+onboard_volatile'!H40</f>
        <v>Local</v>
      </c>
      <c r="J341" s="29" t="str">
        <f>'MModule+onboard_volatile'!I40</f>
        <v>DIGITRON</v>
      </c>
      <c r="K341" s="29" t="str">
        <f>'MModule+onboard_volatile'!J40</f>
        <v>Mmodule</v>
      </c>
      <c r="L341" s="29" t="str">
        <f>'MModule+onboard_volatile'!K40</f>
        <v>8GB</v>
      </c>
      <c r="M341" s="29">
        <f>'MModule+onboard_volatile'!L40</f>
        <v>8</v>
      </c>
      <c r="N341" s="29" t="str">
        <f>'MModule+onboard_volatile'!M40</f>
        <v>03A08-00054400</v>
      </c>
      <c r="O341" s="29">
        <f>'MModule+onboard_volatile'!N40</f>
        <v>0</v>
      </c>
      <c r="P341" s="29">
        <f>'MModule+onboard_volatile'!P40</f>
        <v>0</v>
      </c>
      <c r="Q341" s="29">
        <f>'MModule+onboard_volatile'!Q40</f>
        <v>0</v>
      </c>
      <c r="R341" s="29">
        <f>'MModule+onboard_volatile'!R40</f>
        <v>0</v>
      </c>
      <c r="S341" s="29">
        <f>'MModule+onboard_volatile'!S40</f>
        <v>0</v>
      </c>
      <c r="T341" s="29">
        <f>'MModule+onboard_volatile'!T40</f>
        <v>0</v>
      </c>
      <c r="U341" s="29">
        <f>'MModule+onboard_volatile'!U40</f>
        <v>0</v>
      </c>
      <c r="V341" s="29">
        <f>'MModule+onboard_volatile'!V40</f>
        <v>0</v>
      </c>
      <c r="W341" s="29">
        <f>'MModule+onboard_volatile'!W40</f>
        <v>0</v>
      </c>
      <c r="X341" s="29">
        <f>'MModule+onboard_volatile'!X40</f>
        <v>0</v>
      </c>
      <c r="Y341" s="29">
        <f>'MModule+onboard_volatile'!Y40</f>
        <v>0</v>
      </c>
      <c r="Z341" s="29" t="e">
        <f>'MModule+onboard_volatile'!#REF!</f>
        <v>#REF!</v>
      </c>
      <c r="AA341" s="29">
        <f>'MModule+onboard_volatile'!Z40</f>
        <v>0</v>
      </c>
      <c r="AB341" s="29">
        <f>'MModule+onboard_volatile'!AA40</f>
        <v>0</v>
      </c>
    </row>
    <row r="342" spans="3:28" s="11" customFormat="1">
      <c r="C342" s="98" t="s">
        <v>26</v>
      </c>
      <c r="D342" s="29">
        <f>'MModule+onboard_volatile'!C42</f>
        <v>0</v>
      </c>
      <c r="E342" s="29">
        <f>'MModule+onboard_volatile'!D42</f>
        <v>0</v>
      </c>
      <c r="F342" s="29">
        <f>'MModule+onboard_volatile'!E42</f>
        <v>0</v>
      </c>
      <c r="G342" s="29" t="str">
        <f>'MModule+onboard_volatile'!F42</f>
        <v>X515JF</v>
      </c>
      <c r="H342" s="29" t="str">
        <f>'MModule+onboard_volatile'!G42</f>
        <v>Core i5-1035G1</v>
      </c>
      <c r="I342" s="29" t="str">
        <f>'MModule+onboard_volatile'!H42</f>
        <v>Local</v>
      </c>
      <c r="J342" s="29" t="str">
        <f>'MModule+onboard_volatile'!I42</f>
        <v>TBD</v>
      </c>
      <c r="K342" s="29" t="str">
        <f>'MModule+onboard_volatile'!J42</f>
        <v>Mmodule</v>
      </c>
      <c r="L342" s="29" t="str">
        <f>'MModule+onboard_volatile'!K42</f>
        <v>8GB</v>
      </c>
      <c r="M342" s="29">
        <f>'MModule+onboard_volatile'!L42</f>
        <v>8</v>
      </c>
      <c r="N342" s="29">
        <f>'MModule+onboard_volatile'!M42</f>
        <v>0</v>
      </c>
      <c r="O342" s="29">
        <f>'MModule+onboard_volatile'!N42</f>
        <v>0</v>
      </c>
      <c r="P342" s="29">
        <f>'MModule+onboard_volatile'!P42</f>
        <v>0</v>
      </c>
      <c r="Q342" s="29">
        <f>'MModule+onboard_volatile'!Q42</f>
        <v>0</v>
      </c>
      <c r="R342" s="29">
        <f>'MModule+onboard_volatile'!R42</f>
        <v>0</v>
      </c>
      <c r="S342" s="29">
        <f>'MModule+onboard_volatile'!S42</f>
        <v>0</v>
      </c>
      <c r="T342" s="29">
        <f>'MModule+onboard_volatile'!T42</f>
        <v>0</v>
      </c>
      <c r="U342" s="29">
        <f>'MModule+onboard_volatile'!U42</f>
        <v>0</v>
      </c>
      <c r="V342" s="29">
        <f>'MModule+onboard_volatile'!V42</f>
        <v>0</v>
      </c>
      <c r="W342" s="29">
        <f>'MModule+onboard_volatile'!W42</f>
        <v>0</v>
      </c>
      <c r="X342" s="29">
        <f>'MModule+onboard_volatile'!X42</f>
        <v>0</v>
      </c>
      <c r="Y342" s="29">
        <f>'MModule+onboard_volatile'!Y42</f>
        <v>0</v>
      </c>
      <c r="Z342" s="29" t="e">
        <f>'MModule+onboard_volatile'!#REF!</f>
        <v>#REF!</v>
      </c>
      <c r="AA342" s="29">
        <f>'MModule+onboard_volatile'!Z42</f>
        <v>0</v>
      </c>
      <c r="AB342" s="29">
        <f>'MModule+onboard_volatile'!AA42</f>
        <v>0</v>
      </c>
    </row>
    <row r="343" spans="3:28" s="11" customFormat="1">
      <c r="C343" s="98" t="s">
        <v>26</v>
      </c>
      <c r="D343" s="29">
        <f>'MModule+onboard_volatile'!C43</f>
        <v>0</v>
      </c>
      <c r="E343" s="29" t="str">
        <f>'MModule+onboard_volatile'!D43</f>
        <v>FCST</v>
      </c>
      <c r="F343" s="29">
        <f>'MModule+onboard_volatile'!E43</f>
        <v>150</v>
      </c>
      <c r="G343" s="29" t="str">
        <f>'MModule+onboard_volatile'!F43</f>
        <v>X515JF</v>
      </c>
      <c r="H343" s="29" t="str">
        <f>'MModule+onboard_volatile'!G43</f>
        <v>Core i5-1035G1</v>
      </c>
      <c r="I343" s="29">
        <f>'MModule+onboard_volatile'!H43</f>
        <v>0</v>
      </c>
      <c r="J343" s="29">
        <f>'MModule+onboard_volatile'!I43</f>
        <v>0</v>
      </c>
      <c r="K343" s="29">
        <f>'MModule+onboard_volatile'!J43</f>
        <v>0</v>
      </c>
      <c r="L343" s="29" t="str">
        <f>'MModule+onboard_volatile'!K43</f>
        <v>16GB</v>
      </c>
      <c r="M343" s="29">
        <f>'MModule+onboard_volatile'!L43</f>
        <v>0</v>
      </c>
      <c r="N343" s="29">
        <f>'MModule+onboard_volatile'!M43</f>
        <v>0</v>
      </c>
      <c r="O343" s="29">
        <f>'MModule+onboard_volatile'!N43</f>
        <v>0</v>
      </c>
      <c r="P343" s="29">
        <f>'MModule+onboard_volatile'!P43</f>
        <v>100</v>
      </c>
      <c r="Q343" s="29">
        <f>'MModule+onboard_volatile'!Q43</f>
        <v>0</v>
      </c>
      <c r="R343" s="29">
        <f>'MModule+onboard_volatile'!R43</f>
        <v>0</v>
      </c>
      <c r="S343" s="29">
        <f>'MModule+onboard_volatile'!S43</f>
        <v>0</v>
      </c>
      <c r="T343" s="29">
        <f>'MModule+onboard_volatile'!T43</f>
        <v>0</v>
      </c>
      <c r="U343" s="29">
        <f>'MModule+onboard_volatile'!U43</f>
        <v>0</v>
      </c>
      <c r="V343" s="29">
        <f>'MModule+onboard_volatile'!V43</f>
        <v>0</v>
      </c>
      <c r="W343" s="29">
        <f>'MModule+onboard_volatile'!W43</f>
        <v>0</v>
      </c>
      <c r="X343" s="29">
        <f>'MModule+onboard_volatile'!X43</f>
        <v>0</v>
      </c>
      <c r="Y343" s="29">
        <f>'MModule+onboard_volatile'!Y43</f>
        <v>0</v>
      </c>
      <c r="Z343" s="29" t="e">
        <f>'MModule+onboard_volatile'!#REF!</f>
        <v>#REF!</v>
      </c>
      <c r="AA343" s="29">
        <f>'MModule+onboard_volatile'!Z43</f>
        <v>0</v>
      </c>
      <c r="AB343" s="29">
        <f>'MModule+onboard_volatile'!AA43</f>
        <v>0</v>
      </c>
    </row>
    <row r="344" spans="3:28" s="11" customFormat="1">
      <c r="C344" s="98" t="s">
        <v>26</v>
      </c>
      <c r="D344" s="29">
        <f>'MModule+onboard_volatile'!C44</f>
        <v>0</v>
      </c>
      <c r="E344" s="29">
        <f>'MModule+onboard_volatile'!D44</f>
        <v>0</v>
      </c>
      <c r="F344" s="29">
        <f>'MModule+onboard_volatile'!E44</f>
        <v>0</v>
      </c>
      <c r="G344" s="29" t="str">
        <f>'MModule+onboard_volatile'!F44</f>
        <v>X515JF</v>
      </c>
      <c r="H344" s="29" t="str">
        <f>'MModule+onboard_volatile'!G44</f>
        <v>Core i5-1035G1</v>
      </c>
      <c r="I344" s="29" t="str">
        <f>'MModule+onboard_volatile'!H44</f>
        <v>Imported</v>
      </c>
      <c r="J344" s="29" t="str">
        <f>'MModule+onboard_volatile'!I44</f>
        <v>Asus</v>
      </c>
      <c r="K344" s="29" t="str">
        <f>'MModule+onboard_volatile'!J44</f>
        <v>GPU VRAM</v>
      </c>
      <c r="L344" s="29" t="str">
        <f>'MModule+onboard_volatile'!K44</f>
        <v>V2G</v>
      </c>
      <c r="M344" s="29">
        <f>'MModule+onboard_volatile'!L44</f>
        <v>2</v>
      </c>
      <c r="N344" s="29" t="str">
        <f>'MModule+onboard_volatile'!M44</f>
        <v>03008-00052100</v>
      </c>
      <c r="O344" s="29">
        <f>'MModule+onboard_volatile'!N44</f>
        <v>0</v>
      </c>
      <c r="P344" s="29">
        <f>'MModule+onboard_volatile'!P44</f>
        <v>200</v>
      </c>
      <c r="Q344" s="29">
        <f>'MModule+onboard_volatile'!Q44</f>
        <v>0</v>
      </c>
      <c r="R344" s="29">
        <f>'MModule+onboard_volatile'!R44</f>
        <v>0</v>
      </c>
      <c r="S344" s="29">
        <f>'MModule+onboard_volatile'!S44</f>
        <v>0</v>
      </c>
      <c r="T344" s="29">
        <f>'MModule+onboard_volatile'!T44</f>
        <v>0</v>
      </c>
      <c r="U344" s="29">
        <f>'MModule+onboard_volatile'!U44</f>
        <v>0</v>
      </c>
      <c r="V344" s="29">
        <f>'MModule+onboard_volatile'!V44</f>
        <v>0</v>
      </c>
      <c r="W344" s="29">
        <f>'MModule+onboard_volatile'!W44</f>
        <v>0</v>
      </c>
      <c r="X344" s="29">
        <f>'MModule+onboard_volatile'!X44</f>
        <v>0</v>
      </c>
      <c r="Y344" s="29">
        <f>'MModule+onboard_volatile'!Y44</f>
        <v>0</v>
      </c>
      <c r="Z344" s="29" t="e">
        <f>'MModule+onboard_volatile'!#REF!</f>
        <v>#REF!</v>
      </c>
      <c r="AA344" s="29">
        <f>'MModule+onboard_volatile'!Z44</f>
        <v>300</v>
      </c>
      <c r="AB344" s="29" t="str">
        <f>'MModule+onboard_volatile'!AA44</f>
        <v>n/a</v>
      </c>
    </row>
    <row r="345" spans="3:28" s="11" customFormat="1">
      <c r="C345" s="98" t="s">
        <v>26</v>
      </c>
      <c r="D345" s="29">
        <f>'MModule+onboard_volatile'!C45</f>
        <v>0</v>
      </c>
      <c r="E345" s="29">
        <f>'MModule+onboard_volatile'!D45</f>
        <v>0</v>
      </c>
      <c r="F345" s="29">
        <f>'MModule+onboard_volatile'!E45</f>
        <v>0</v>
      </c>
      <c r="G345" s="29" t="str">
        <f>'MModule+onboard_volatile'!F45</f>
        <v>X515JF</v>
      </c>
      <c r="H345" s="29" t="str">
        <f>'MModule+onboard_volatile'!G45</f>
        <v>Core i5-1035G1</v>
      </c>
      <c r="I345" s="29" t="str">
        <f>'MModule+onboard_volatile'!H45</f>
        <v>Imported</v>
      </c>
      <c r="J345" s="29" t="str">
        <f>'MModule+onboard_volatile'!I45</f>
        <v>Asus</v>
      </c>
      <c r="K345" s="29" t="str">
        <f>'MModule+onboard_volatile'!J45</f>
        <v>Mmodule</v>
      </c>
      <c r="L345" s="29" t="str">
        <f>'MModule+onboard_volatile'!K45</f>
        <v>8GB (3200)</v>
      </c>
      <c r="M345" s="29">
        <f>'MModule+onboard_volatile'!L45</f>
        <v>8</v>
      </c>
      <c r="N345" s="29" t="str">
        <f>'MModule+onboard_volatile'!M45</f>
        <v>03A08-00052400
03A08-00052700</v>
      </c>
      <c r="O345" s="29">
        <f>'MModule+onboard_volatile'!N45</f>
        <v>0</v>
      </c>
      <c r="P345" s="29">
        <f>'MModule+onboard_volatile'!P45</f>
        <v>100</v>
      </c>
      <c r="Q345" s="29">
        <f>'MModule+onboard_volatile'!Q45</f>
        <v>0</v>
      </c>
      <c r="R345" s="29">
        <f>'MModule+onboard_volatile'!R45</f>
        <v>0</v>
      </c>
      <c r="S345" s="29">
        <f>'MModule+onboard_volatile'!S45</f>
        <v>0</v>
      </c>
      <c r="T345" s="29">
        <f>'MModule+onboard_volatile'!T45</f>
        <v>0</v>
      </c>
      <c r="U345" s="29">
        <f>'MModule+onboard_volatile'!U45</f>
        <v>0</v>
      </c>
      <c r="V345" s="29">
        <f>'MModule+onboard_volatile'!V45</f>
        <v>0</v>
      </c>
      <c r="W345" s="29">
        <f>'MModule+onboard_volatile'!W45</f>
        <v>0</v>
      </c>
      <c r="X345" s="29">
        <f>'MModule+onboard_volatile'!X45</f>
        <v>0</v>
      </c>
      <c r="Y345" s="29">
        <f>'MModule+onboard_volatile'!Y45</f>
        <v>0</v>
      </c>
      <c r="Z345" s="29" t="e">
        <f>'MModule+onboard_volatile'!#REF!</f>
        <v>#REF!</v>
      </c>
      <c r="AA345" s="29">
        <f>'MModule+onboard_volatile'!Z45</f>
        <v>1200</v>
      </c>
      <c r="AB345" s="29">
        <f>'MModule+onboard_volatile'!AA45</f>
        <v>150</v>
      </c>
    </row>
    <row r="346" spans="3:28" s="11" customFormat="1">
      <c r="C346" s="98" t="s">
        <v>26</v>
      </c>
      <c r="D346" s="29">
        <f>'MModule+onboard_volatile'!C46</f>
        <v>0</v>
      </c>
      <c r="E346" s="29">
        <f>'MModule+onboard_volatile'!D46</f>
        <v>0</v>
      </c>
      <c r="F346" s="29">
        <f>'MModule+onboard_volatile'!E46</f>
        <v>0</v>
      </c>
      <c r="G346" s="29" t="str">
        <f>'MModule+onboard_volatile'!F46</f>
        <v>X515JF</v>
      </c>
      <c r="H346" s="29" t="str">
        <f>'MModule+onboard_volatile'!G46</f>
        <v>Core i5-1035G1</v>
      </c>
      <c r="I346" s="29" t="str">
        <f>'MModule+onboard_volatile'!H46</f>
        <v>Local</v>
      </c>
      <c r="J346" s="29" t="str">
        <f>'MModule+onboard_volatile'!I46</f>
        <v>DIGITRON</v>
      </c>
      <c r="K346" s="29" t="str">
        <f>'MModule+onboard_volatile'!J46</f>
        <v>Mmodule</v>
      </c>
      <c r="L346" s="29" t="str">
        <f>'MModule+onboard_volatile'!K46</f>
        <v>8GB</v>
      </c>
      <c r="M346" s="29">
        <f>'MModule+onboard_volatile'!L46</f>
        <v>8</v>
      </c>
      <c r="N346" s="29" t="str">
        <f>'MModule+onboard_volatile'!M46</f>
        <v>03A08-00054400</v>
      </c>
      <c r="O346" s="29">
        <f>'MModule+onboard_volatile'!N46</f>
        <v>0</v>
      </c>
      <c r="P346" s="29">
        <f>'MModule+onboard_volatile'!P46</f>
        <v>0</v>
      </c>
      <c r="Q346" s="29">
        <f>'MModule+onboard_volatile'!Q46</f>
        <v>0</v>
      </c>
      <c r="R346" s="29">
        <f>'MModule+onboard_volatile'!R46</f>
        <v>0</v>
      </c>
      <c r="S346" s="29">
        <f>'MModule+onboard_volatile'!S46</f>
        <v>0</v>
      </c>
      <c r="T346" s="29">
        <f>'MModule+onboard_volatile'!T46</f>
        <v>0</v>
      </c>
      <c r="U346" s="29">
        <f>'MModule+onboard_volatile'!U46</f>
        <v>0</v>
      </c>
      <c r="V346" s="29">
        <f>'MModule+onboard_volatile'!V46</f>
        <v>0</v>
      </c>
      <c r="W346" s="29">
        <f>'MModule+onboard_volatile'!W46</f>
        <v>0</v>
      </c>
      <c r="X346" s="29">
        <f>'MModule+onboard_volatile'!X46</f>
        <v>0</v>
      </c>
      <c r="Y346" s="29">
        <f>'MModule+onboard_volatile'!Y46</f>
        <v>0</v>
      </c>
      <c r="Z346" s="29" t="e">
        <f>'MModule+onboard_volatile'!#REF!</f>
        <v>#REF!</v>
      </c>
      <c r="AA346" s="29">
        <f>'MModule+onboard_volatile'!Z46</f>
        <v>0</v>
      </c>
      <c r="AB346" s="29">
        <f>'MModule+onboard_volatile'!AA46</f>
        <v>0</v>
      </c>
    </row>
    <row r="347" spans="3:28" s="11" customFormat="1">
      <c r="C347" s="98" t="s">
        <v>26</v>
      </c>
      <c r="D347" s="29">
        <f>'MModule+onboard_volatile'!C47</f>
        <v>0</v>
      </c>
      <c r="E347" s="29">
        <f>'MModule+onboard_volatile'!D47</f>
        <v>0</v>
      </c>
      <c r="F347" s="29">
        <f>'MModule+onboard_volatile'!E47</f>
        <v>0</v>
      </c>
      <c r="G347" s="29" t="str">
        <f>'MModule+onboard_volatile'!F47</f>
        <v>X515JF</v>
      </c>
      <c r="H347" s="29" t="str">
        <f>'MModule+onboard_volatile'!G47</f>
        <v>Core i5-1035G1</v>
      </c>
      <c r="I347" s="29" t="str">
        <f>'MModule+onboard_volatile'!H47</f>
        <v>Imported</v>
      </c>
      <c r="J347" s="29" t="str">
        <f>'MModule+onboard_volatile'!I47</f>
        <v>Asus</v>
      </c>
      <c r="K347" s="29" t="str">
        <f>'MModule+onboard_volatile'!J47</f>
        <v>M on board</v>
      </c>
      <c r="L347" s="29" t="str">
        <f>'MModule+onboard_volatile'!K47</f>
        <v>8GB OB</v>
      </c>
      <c r="M347" s="29">
        <f>'MModule+onboard_volatile'!L47</f>
        <v>4</v>
      </c>
      <c r="N347" s="29" t="str">
        <f>'MModule+onboard_volatile'!M47</f>
        <v>03012-00040600
03012-00040700</v>
      </c>
      <c r="O347" s="29">
        <f>'MModule+onboard_volatile'!N47</f>
        <v>0</v>
      </c>
      <c r="P347" s="29">
        <f>'MModule+onboard_volatile'!P47</f>
        <v>400</v>
      </c>
      <c r="Q347" s="29">
        <f>'MModule+onboard_volatile'!Q47</f>
        <v>0</v>
      </c>
      <c r="R347" s="29">
        <f>'MModule+onboard_volatile'!R47</f>
        <v>0</v>
      </c>
      <c r="S347" s="29">
        <f>'MModule+onboard_volatile'!S47</f>
        <v>0</v>
      </c>
      <c r="T347" s="29">
        <f>'MModule+onboard_volatile'!T47</f>
        <v>0</v>
      </c>
      <c r="U347" s="29">
        <f>'MModule+onboard_volatile'!U47</f>
        <v>0</v>
      </c>
      <c r="V347" s="29">
        <f>'MModule+onboard_volatile'!V47</f>
        <v>0</v>
      </c>
      <c r="W347" s="29">
        <f>'MModule+onboard_volatile'!W47</f>
        <v>0</v>
      </c>
      <c r="X347" s="29">
        <f>'MModule+onboard_volatile'!X47</f>
        <v>0</v>
      </c>
      <c r="Y347" s="29">
        <f>'MModule+onboard_volatile'!Y47</f>
        <v>0</v>
      </c>
      <c r="Z347" s="29" t="e">
        <f>'MModule+onboard_volatile'!#REF!</f>
        <v>#REF!</v>
      </c>
      <c r="AA347" s="29">
        <f>'MModule+onboard_volatile'!Z47</f>
        <v>600</v>
      </c>
      <c r="AB347" s="29" t="str">
        <f>'MModule+onboard_volatile'!AA47</f>
        <v>n/a</v>
      </c>
    </row>
    <row r="348" spans="3:28" s="11" customFormat="1">
      <c r="C348" s="98" t="s">
        <v>26</v>
      </c>
      <c r="D348" s="29">
        <f>'MModule+onboard_volatile'!C48</f>
        <v>0</v>
      </c>
      <c r="E348" s="29" t="str">
        <f>'MModule+onboard_volatile'!D48</f>
        <v>FCST</v>
      </c>
      <c r="F348" s="29">
        <f>'MModule+onboard_volatile'!E48</f>
        <v>0</v>
      </c>
      <c r="G348" s="29" t="str">
        <f>'MModule+onboard_volatile'!F48</f>
        <v>X515EA</v>
      </c>
      <c r="H348" s="29" t="str">
        <f>'MModule+onboard_volatile'!G48</f>
        <v>Core I3-1115G4</v>
      </c>
      <c r="I348" s="29">
        <f>'MModule+onboard_volatile'!H48</f>
        <v>0</v>
      </c>
      <c r="J348" s="29">
        <f>'MModule+onboard_volatile'!I48</f>
        <v>0</v>
      </c>
      <c r="K348" s="29">
        <f>'MModule+onboard_volatile'!J48</f>
        <v>0</v>
      </c>
      <c r="L348" s="29" t="str">
        <f>'MModule+onboard_volatile'!K48</f>
        <v xml:space="preserve">4GB </v>
      </c>
      <c r="M348" s="29">
        <f>'MModule+onboard_volatile'!L48</f>
        <v>0</v>
      </c>
      <c r="N348" s="29">
        <f>'MModule+onboard_volatile'!M48</f>
        <v>0</v>
      </c>
      <c r="O348" s="29">
        <f>'MModule+onboard_volatile'!N48</f>
        <v>0</v>
      </c>
      <c r="P348" s="29">
        <f>'MModule+onboard_volatile'!P48</f>
        <v>0</v>
      </c>
      <c r="Q348" s="29">
        <f>'MModule+onboard_volatile'!Q48</f>
        <v>0</v>
      </c>
      <c r="R348" s="29">
        <f>'MModule+onboard_volatile'!R48</f>
        <v>0</v>
      </c>
      <c r="S348" s="29">
        <f>'MModule+onboard_volatile'!S48</f>
        <v>0</v>
      </c>
      <c r="T348" s="29">
        <f>'MModule+onboard_volatile'!T48</f>
        <v>0</v>
      </c>
      <c r="U348" s="29">
        <f>'MModule+onboard_volatile'!U48</f>
        <v>0</v>
      </c>
      <c r="V348" s="29">
        <f>'MModule+onboard_volatile'!V48</f>
        <v>0</v>
      </c>
      <c r="W348" s="29">
        <f>'MModule+onboard_volatile'!W48</f>
        <v>0</v>
      </c>
      <c r="X348" s="29">
        <f>'MModule+onboard_volatile'!X48</f>
        <v>0</v>
      </c>
      <c r="Y348" s="29">
        <f>'MModule+onboard_volatile'!Y48</f>
        <v>0</v>
      </c>
      <c r="Z348" s="29" t="e">
        <f>'MModule+onboard_volatile'!#REF!</f>
        <v>#REF!</v>
      </c>
      <c r="AA348" s="29">
        <f>'MModule+onboard_volatile'!Z48</f>
        <v>0</v>
      </c>
      <c r="AB348" s="29">
        <f>'MModule+onboard_volatile'!AA48</f>
        <v>0</v>
      </c>
    </row>
    <row r="349" spans="3:28" s="11" customFormat="1">
      <c r="C349" s="98" t="s">
        <v>26</v>
      </c>
      <c r="D349" s="29">
        <f>'MModule+onboard_volatile'!C49</f>
        <v>0</v>
      </c>
      <c r="E349" s="29">
        <f>'MModule+onboard_volatile'!D49</f>
        <v>0</v>
      </c>
      <c r="F349" s="29">
        <f>'MModule+onboard_volatile'!E49</f>
        <v>0</v>
      </c>
      <c r="G349" s="29" t="str">
        <f>'MModule+onboard_volatile'!F49</f>
        <v>X515EA</v>
      </c>
      <c r="H349" s="29" t="str">
        <f>'MModule+onboard_volatile'!G49</f>
        <v>Core I3-1115G4</v>
      </c>
      <c r="I349" s="29" t="str">
        <f>'MModule+onboard_volatile'!H49</f>
        <v>Imported</v>
      </c>
      <c r="J349" s="29" t="str">
        <f>'MModule+onboard_volatile'!I49</f>
        <v>Asus</v>
      </c>
      <c r="K349" s="29" t="str">
        <f>'MModule+onboard_volatile'!J49</f>
        <v>M on board</v>
      </c>
      <c r="L349" s="29" t="str">
        <f>'MModule+onboard_volatile'!K49</f>
        <v>4GB OB (3200)</v>
      </c>
      <c r="M349" s="29">
        <f>'MModule+onboard_volatile'!L49</f>
        <v>4</v>
      </c>
      <c r="N349" s="29" t="str">
        <f>'MModule+onboard_volatile'!M49</f>
        <v>03012-00020800
03012-00020900
03012-00021000</v>
      </c>
      <c r="O349" s="29">
        <f>'MModule+onboard_volatile'!N49</f>
        <v>0</v>
      </c>
      <c r="P349" s="29">
        <f>'MModule+onboard_volatile'!P49</f>
        <v>0</v>
      </c>
      <c r="Q349" s="29">
        <f>'MModule+onboard_volatile'!Q49</f>
        <v>0</v>
      </c>
      <c r="R349" s="29">
        <f>'MModule+onboard_volatile'!R49</f>
        <v>0</v>
      </c>
      <c r="S349" s="29">
        <f>'MModule+onboard_volatile'!S49</f>
        <v>0</v>
      </c>
      <c r="T349" s="29">
        <f>'MModule+onboard_volatile'!T49</f>
        <v>0</v>
      </c>
      <c r="U349" s="29">
        <f>'MModule+onboard_volatile'!U49</f>
        <v>0</v>
      </c>
      <c r="V349" s="29">
        <f>'MModule+onboard_volatile'!V49</f>
        <v>0</v>
      </c>
      <c r="W349" s="29">
        <f>'MModule+onboard_volatile'!W49</f>
        <v>0</v>
      </c>
      <c r="X349" s="29">
        <f>'MModule+onboard_volatile'!X49</f>
        <v>0</v>
      </c>
      <c r="Y349" s="29">
        <f>'MModule+onboard_volatile'!Y49</f>
        <v>0</v>
      </c>
      <c r="Z349" s="29" t="e">
        <f>'MModule+onboard_volatile'!#REF!</f>
        <v>#REF!</v>
      </c>
      <c r="AA349" s="29">
        <f>'MModule+onboard_volatile'!Z49</f>
        <v>0</v>
      </c>
      <c r="AB349" s="29" t="str">
        <f>'MModule+onboard_volatile'!AA49</f>
        <v>n/a</v>
      </c>
    </row>
    <row r="350" spans="3:28" s="11" customFormat="1">
      <c r="C350" s="98" t="s">
        <v>26</v>
      </c>
      <c r="D350" s="29">
        <f>'MModule+onboard_volatile'!C50</f>
        <v>0</v>
      </c>
      <c r="E350" s="29">
        <f>'MModule+onboard_volatile'!D50</f>
        <v>0</v>
      </c>
      <c r="F350" s="29">
        <f>'MModule+onboard_volatile'!E50</f>
        <v>0</v>
      </c>
      <c r="G350" s="29" t="str">
        <f>'MModule+onboard_volatile'!F50</f>
        <v>X515EA</v>
      </c>
      <c r="H350" s="29" t="str">
        <f>'MModule+onboard_volatile'!G50</f>
        <v>Core I3-1115G4</v>
      </c>
      <c r="I350" s="29" t="str">
        <f>'MModule+onboard_volatile'!H50</f>
        <v>Imported</v>
      </c>
      <c r="J350" s="29" t="str">
        <f>'MModule+onboard_volatile'!I50</f>
        <v>Asus</v>
      </c>
      <c r="K350" s="29" t="str">
        <f>'MModule+onboard_volatile'!J50</f>
        <v>Mmodule</v>
      </c>
      <c r="L350" s="29" t="str">
        <f>'MModule+onboard_volatile'!K50</f>
        <v>4GB (3200)</v>
      </c>
      <c r="M350" s="29">
        <f>'MModule+onboard_volatile'!L50</f>
        <v>4</v>
      </c>
      <c r="N350" s="29" t="str">
        <f>'MModule+onboard_volatile'!M50</f>
        <v>03A08-00042300
03A08-00042400
03A08-00043300</v>
      </c>
      <c r="O350" s="29">
        <f>'MModule+onboard_volatile'!N50</f>
        <v>0</v>
      </c>
      <c r="P350" s="29">
        <f>'MModule+onboard_volatile'!P50</f>
        <v>0</v>
      </c>
      <c r="Q350" s="29">
        <f>'MModule+onboard_volatile'!Q50</f>
        <v>0</v>
      </c>
      <c r="R350" s="29">
        <f>'MModule+onboard_volatile'!R50</f>
        <v>0</v>
      </c>
      <c r="S350" s="29">
        <f>'MModule+onboard_volatile'!S50</f>
        <v>0</v>
      </c>
      <c r="T350" s="29">
        <f>'MModule+onboard_volatile'!T50</f>
        <v>0</v>
      </c>
      <c r="U350" s="29">
        <f>'MModule+onboard_volatile'!U50</f>
        <v>0</v>
      </c>
      <c r="V350" s="29">
        <f>'MModule+onboard_volatile'!V50</f>
        <v>0</v>
      </c>
      <c r="W350" s="29">
        <f>'MModule+onboard_volatile'!W50</f>
        <v>0</v>
      </c>
      <c r="X350" s="29">
        <f>'MModule+onboard_volatile'!X50</f>
        <v>0</v>
      </c>
      <c r="Y350" s="29">
        <f>'MModule+onboard_volatile'!Y50</f>
        <v>0</v>
      </c>
      <c r="Z350" s="29" t="e">
        <f>'MModule+onboard_volatile'!#REF!</f>
        <v>#REF!</v>
      </c>
      <c r="AA350" s="29">
        <f>'MModule+onboard_volatile'!Z50</f>
        <v>0</v>
      </c>
      <c r="AB350" s="29">
        <f>'MModule+onboard_volatile'!AA50</f>
        <v>0</v>
      </c>
    </row>
    <row r="351" spans="3:28" s="11" customFormat="1">
      <c r="C351" s="98" t="s">
        <v>26</v>
      </c>
      <c r="D351" s="29">
        <f>'MModule+onboard_volatile'!C51</f>
        <v>0</v>
      </c>
      <c r="E351" s="29">
        <f>'MModule+onboard_volatile'!D51</f>
        <v>0</v>
      </c>
      <c r="F351" s="29">
        <f>'MModule+onboard_volatile'!E51</f>
        <v>0</v>
      </c>
      <c r="G351" s="29" t="str">
        <f>'MModule+onboard_volatile'!F51</f>
        <v>X515EA</v>
      </c>
      <c r="H351" s="29" t="str">
        <f>'MModule+onboard_volatile'!G51</f>
        <v>Core I3-1115G4</v>
      </c>
      <c r="I351" s="29" t="str">
        <f>'MModule+onboard_volatile'!H51</f>
        <v>Local</v>
      </c>
      <c r="J351" s="29" t="str">
        <f>'MModule+onboard_volatile'!I51</f>
        <v>DIGITRON</v>
      </c>
      <c r="K351" s="29" t="str">
        <f>'MModule+onboard_volatile'!J51</f>
        <v>Mmodule</v>
      </c>
      <c r="L351" s="29" t="str">
        <f>'MModule+onboard_volatile'!K51</f>
        <v>4GB</v>
      </c>
      <c r="M351" s="29">
        <f>'MModule+onboard_volatile'!L51</f>
        <v>4</v>
      </c>
      <c r="N351" s="29" t="str">
        <f>'MModule+onboard_volatile'!M51</f>
        <v>03A08-00043700</v>
      </c>
      <c r="O351" s="29">
        <f>'MModule+onboard_volatile'!N51</f>
        <v>0</v>
      </c>
      <c r="P351" s="29">
        <f>'MModule+onboard_volatile'!P51</f>
        <v>0</v>
      </c>
      <c r="Q351" s="29">
        <f>'MModule+onboard_volatile'!Q51</f>
        <v>0</v>
      </c>
      <c r="R351" s="29">
        <f>'MModule+onboard_volatile'!R51</f>
        <v>0</v>
      </c>
      <c r="S351" s="29">
        <f>'MModule+onboard_volatile'!S51</f>
        <v>0</v>
      </c>
      <c r="T351" s="29">
        <f>'MModule+onboard_volatile'!T51</f>
        <v>0</v>
      </c>
      <c r="U351" s="29">
        <f>'MModule+onboard_volatile'!U51</f>
        <v>0</v>
      </c>
      <c r="V351" s="29">
        <f>'MModule+onboard_volatile'!V51</f>
        <v>0</v>
      </c>
      <c r="W351" s="29">
        <f>'MModule+onboard_volatile'!W51</f>
        <v>0</v>
      </c>
      <c r="X351" s="29">
        <f>'MModule+onboard_volatile'!X51</f>
        <v>0</v>
      </c>
      <c r="Y351" s="29">
        <f>'MModule+onboard_volatile'!Y51</f>
        <v>0</v>
      </c>
      <c r="Z351" s="29" t="e">
        <f>'MModule+onboard_volatile'!#REF!</f>
        <v>#REF!</v>
      </c>
      <c r="AA351" s="29">
        <f>'MModule+onboard_volatile'!Z51</f>
        <v>0</v>
      </c>
      <c r="AB351" s="29">
        <f>'MModule+onboard_volatile'!AA51</f>
        <v>0</v>
      </c>
    </row>
    <row r="352" spans="3:28" s="11" customFormat="1">
      <c r="C352" s="98" t="s">
        <v>26</v>
      </c>
      <c r="D352" s="29">
        <f>'MModule+onboard_volatile'!C52</f>
        <v>0</v>
      </c>
      <c r="E352" s="29">
        <f>'MModule+onboard_volatile'!D52</f>
        <v>0</v>
      </c>
      <c r="F352" s="29">
        <f>'MModule+onboard_volatile'!E52</f>
        <v>0</v>
      </c>
      <c r="G352" s="29" t="str">
        <f>'MModule+onboard_volatile'!F52</f>
        <v>X515EA</v>
      </c>
      <c r="H352" s="29" t="str">
        <f>'MModule+onboard_volatile'!G52</f>
        <v>Core I3-1115G4</v>
      </c>
      <c r="I352" s="29" t="str">
        <f>'MModule+onboard_volatile'!H52</f>
        <v>Local</v>
      </c>
      <c r="J352" s="29" t="str">
        <f>'MModule+onboard_volatile'!I52</f>
        <v>TBD</v>
      </c>
      <c r="K352" s="29" t="str">
        <f>'MModule+onboard_volatile'!J52</f>
        <v>Mmodule</v>
      </c>
      <c r="L352" s="29" t="str">
        <f>'MModule+onboard_volatile'!K52</f>
        <v xml:space="preserve">4GB </v>
      </c>
      <c r="M352" s="29">
        <f>'MModule+onboard_volatile'!L52</f>
        <v>4</v>
      </c>
      <c r="N352" s="29">
        <f>'MModule+onboard_volatile'!M52</f>
        <v>0</v>
      </c>
      <c r="O352" s="29">
        <f>'MModule+onboard_volatile'!N52</f>
        <v>0</v>
      </c>
      <c r="P352" s="29">
        <f>'MModule+onboard_volatile'!P52</f>
        <v>0</v>
      </c>
      <c r="Q352" s="29">
        <f>'MModule+onboard_volatile'!Q52</f>
        <v>0</v>
      </c>
      <c r="R352" s="29">
        <f>'MModule+onboard_volatile'!R52</f>
        <v>0</v>
      </c>
      <c r="S352" s="29">
        <f>'MModule+onboard_volatile'!S52</f>
        <v>0</v>
      </c>
      <c r="T352" s="29">
        <f>'MModule+onboard_volatile'!T52</f>
        <v>0</v>
      </c>
      <c r="U352" s="29">
        <f>'MModule+onboard_volatile'!U52</f>
        <v>0</v>
      </c>
      <c r="V352" s="29">
        <f>'MModule+onboard_volatile'!V52</f>
        <v>0</v>
      </c>
      <c r="W352" s="29">
        <f>'MModule+onboard_volatile'!W52</f>
        <v>0</v>
      </c>
      <c r="X352" s="29">
        <f>'MModule+onboard_volatile'!X52</f>
        <v>0</v>
      </c>
      <c r="Y352" s="29">
        <f>'MModule+onboard_volatile'!Y52</f>
        <v>0</v>
      </c>
      <c r="Z352" s="29" t="e">
        <f>'MModule+onboard_volatile'!#REF!</f>
        <v>#REF!</v>
      </c>
      <c r="AA352" s="29">
        <f>'MModule+onboard_volatile'!Z52</f>
        <v>0</v>
      </c>
      <c r="AB352" s="29">
        <f>'MModule+onboard_volatile'!AA52</f>
        <v>0</v>
      </c>
    </row>
    <row r="353" spans="3:29">
      <c r="C353" s="98" t="s">
        <v>26</v>
      </c>
      <c r="D353" s="29">
        <f>'MModule+onboard_volatile'!C53</f>
        <v>0</v>
      </c>
      <c r="E353" s="29" t="str">
        <f>'MModule+onboard_volatile'!D53</f>
        <v>FCST</v>
      </c>
      <c r="F353" s="29">
        <f>'MModule+onboard_volatile'!E53</f>
        <v>0</v>
      </c>
      <c r="G353" s="29" t="str">
        <f>'MModule+onboard_volatile'!F53</f>
        <v>X515EA</v>
      </c>
      <c r="H353" s="29" t="str">
        <f>'MModule+onboard_volatile'!G53</f>
        <v>Core I3-1115G4</v>
      </c>
      <c r="I353" s="29">
        <f>'MModule+onboard_volatile'!H53</f>
        <v>0</v>
      </c>
      <c r="J353" s="29">
        <f>'MModule+onboard_volatile'!I53</f>
        <v>0</v>
      </c>
      <c r="K353" s="29">
        <f>'MModule+onboard_volatile'!J53</f>
        <v>0</v>
      </c>
      <c r="L353" s="29" t="str">
        <f>'MModule+onboard_volatile'!K53</f>
        <v xml:space="preserve">8GB </v>
      </c>
      <c r="M353" s="29">
        <f>'MModule+onboard_volatile'!L53</f>
        <v>0</v>
      </c>
      <c r="N353" s="29">
        <f>'MModule+onboard_volatile'!M53</f>
        <v>0</v>
      </c>
      <c r="O353" s="29">
        <f>'MModule+onboard_volatile'!N53</f>
        <v>0</v>
      </c>
      <c r="P353" s="29">
        <f>'MModule+onboard_volatile'!P53</f>
        <v>0</v>
      </c>
      <c r="Q353" s="29">
        <f>'MModule+onboard_volatile'!Q53</f>
        <v>0</v>
      </c>
      <c r="R353" s="29">
        <f>'MModule+onboard_volatile'!R53</f>
        <v>0</v>
      </c>
      <c r="S353" s="29">
        <f>'MModule+onboard_volatile'!S53</f>
        <v>0</v>
      </c>
      <c r="T353" s="29">
        <f>'MModule+onboard_volatile'!T53</f>
        <v>0</v>
      </c>
      <c r="U353" s="29">
        <f>'MModule+onboard_volatile'!U53</f>
        <v>0</v>
      </c>
      <c r="V353" s="29">
        <f>'MModule+onboard_volatile'!V53</f>
        <v>0</v>
      </c>
      <c r="W353" s="29">
        <f>'MModule+onboard_volatile'!W53</f>
        <v>0</v>
      </c>
      <c r="X353" s="29">
        <f>'MModule+onboard_volatile'!X53</f>
        <v>0</v>
      </c>
      <c r="Y353" s="29">
        <f>'MModule+onboard_volatile'!Y53</f>
        <v>0</v>
      </c>
      <c r="Z353" s="29" t="e">
        <f>'MModule+onboard_volatile'!#REF!</f>
        <v>#REF!</v>
      </c>
      <c r="AA353" s="29">
        <f>'MModule+onboard_volatile'!Z53</f>
        <v>0</v>
      </c>
      <c r="AB353" s="29">
        <f>'MModule+onboard_volatile'!AA53</f>
        <v>0</v>
      </c>
      <c r="AC353" s="11"/>
    </row>
    <row r="354" spans="3:29">
      <c r="C354" s="98" t="s">
        <v>26</v>
      </c>
      <c r="D354" s="29">
        <f>'MModule+onboard_volatile'!C54</f>
        <v>0</v>
      </c>
      <c r="E354" s="29">
        <f>'MModule+onboard_volatile'!D54</f>
        <v>0</v>
      </c>
      <c r="F354" s="29">
        <f>'MModule+onboard_volatile'!E54</f>
        <v>0</v>
      </c>
      <c r="G354" s="29" t="str">
        <f>'MModule+onboard_volatile'!F54</f>
        <v>X515EA</v>
      </c>
      <c r="H354" s="29" t="str">
        <f>'MModule+onboard_volatile'!G54</f>
        <v>Core I3-1115G4</v>
      </c>
      <c r="I354" s="29" t="str">
        <f>'MModule+onboard_volatile'!H54</f>
        <v>Imported</v>
      </c>
      <c r="J354" s="29" t="str">
        <f>'MModule+onboard_volatile'!I54</f>
        <v>Asus</v>
      </c>
      <c r="K354" s="29" t="str">
        <f>'MModule+onboard_volatile'!J54</f>
        <v>M on board</v>
      </c>
      <c r="L354" s="29" t="str">
        <f>'MModule+onboard_volatile'!K54</f>
        <v>8GB OB</v>
      </c>
      <c r="M354" s="29">
        <f>'MModule+onboard_volatile'!L54</f>
        <v>4</v>
      </c>
      <c r="N354" s="29" t="str">
        <f>'MModule+onboard_volatile'!M54</f>
        <v>03012-00040600
03012-00040700
03012-00040800(導入ing)</v>
      </c>
      <c r="O354" s="29">
        <f>'MModule+onboard_volatile'!N54</f>
        <v>0</v>
      </c>
      <c r="P354" s="29">
        <f>'MModule+onboard_volatile'!P54</f>
        <v>0</v>
      </c>
      <c r="Q354" s="29">
        <f>'MModule+onboard_volatile'!Q54</f>
        <v>0</v>
      </c>
      <c r="R354" s="29">
        <f>'MModule+onboard_volatile'!R54</f>
        <v>0</v>
      </c>
      <c r="S354" s="29">
        <f>'MModule+onboard_volatile'!S54</f>
        <v>0</v>
      </c>
      <c r="T354" s="29">
        <f>'MModule+onboard_volatile'!T54</f>
        <v>0</v>
      </c>
      <c r="U354" s="29">
        <f>'MModule+onboard_volatile'!U54</f>
        <v>0</v>
      </c>
      <c r="V354" s="29">
        <f>'MModule+onboard_volatile'!V54</f>
        <v>0</v>
      </c>
      <c r="W354" s="29">
        <f>'MModule+onboard_volatile'!W54</f>
        <v>0</v>
      </c>
      <c r="X354" s="29">
        <f>'MModule+onboard_volatile'!X54</f>
        <v>0</v>
      </c>
      <c r="Y354" s="29">
        <f>'MModule+onboard_volatile'!Y54</f>
        <v>0</v>
      </c>
      <c r="Z354" s="29" t="e">
        <f>'MModule+onboard_volatile'!#REF!</f>
        <v>#REF!</v>
      </c>
      <c r="AA354" s="29">
        <f>'MModule+onboard_volatile'!Z54</f>
        <v>0</v>
      </c>
      <c r="AB354" s="29" t="str">
        <f>'MModule+onboard_volatile'!AA54</f>
        <v>n/a</v>
      </c>
      <c r="AC354" s="11"/>
    </row>
    <row r="355" spans="3:29">
      <c r="C355" s="98" t="s">
        <v>26</v>
      </c>
      <c r="D355" s="29">
        <f>'MModule+onboard_volatile'!C55</f>
        <v>0</v>
      </c>
      <c r="E355" s="29">
        <f>'MModule+onboard_volatile'!D55</f>
        <v>0</v>
      </c>
      <c r="F355" s="29">
        <f>'MModule+onboard_volatile'!E55</f>
        <v>0</v>
      </c>
      <c r="G355" s="29" t="str">
        <f>'MModule+onboard_volatile'!F55</f>
        <v>X515EA</v>
      </c>
      <c r="H355" s="29" t="str">
        <f>'MModule+onboard_volatile'!G55</f>
        <v>Core I3-1115G4</v>
      </c>
      <c r="I355" s="29" t="str">
        <f>'MModule+onboard_volatile'!H55</f>
        <v>Local</v>
      </c>
      <c r="J355" s="29" t="str">
        <f>'MModule+onboard_volatile'!I55</f>
        <v>DIGITRON</v>
      </c>
      <c r="K355" s="29" t="str">
        <f>'MModule+onboard_volatile'!J55</f>
        <v>Mmodule</v>
      </c>
      <c r="L355" s="29" t="str">
        <f>'MModule+onboard_volatile'!K55</f>
        <v>4GB</v>
      </c>
      <c r="M355" s="29">
        <f>'MModule+onboard_volatile'!L55</f>
        <v>4</v>
      </c>
      <c r="N355" s="29" t="str">
        <f>'MModule+onboard_volatile'!M55</f>
        <v>03A08-00043700</v>
      </c>
      <c r="O355" s="29">
        <f>'MModule+onboard_volatile'!N55</f>
        <v>0</v>
      </c>
      <c r="P355" s="29">
        <f>'MModule+onboard_volatile'!P55</f>
        <v>0</v>
      </c>
      <c r="Q355" s="29">
        <f>'MModule+onboard_volatile'!Q55</f>
        <v>0</v>
      </c>
      <c r="R355" s="29">
        <f>'MModule+onboard_volatile'!R55</f>
        <v>0</v>
      </c>
      <c r="S355" s="29">
        <f>'MModule+onboard_volatile'!S55</f>
        <v>0</v>
      </c>
      <c r="T355" s="29">
        <f>'MModule+onboard_volatile'!T55</f>
        <v>0</v>
      </c>
      <c r="U355" s="29">
        <f>'MModule+onboard_volatile'!U55</f>
        <v>0</v>
      </c>
      <c r="V355" s="29">
        <f>'MModule+onboard_volatile'!V55</f>
        <v>0</v>
      </c>
      <c r="W355" s="29">
        <f>'MModule+onboard_volatile'!W55</f>
        <v>0</v>
      </c>
      <c r="X355" s="29">
        <f>'MModule+onboard_volatile'!X55</f>
        <v>0</v>
      </c>
      <c r="Y355" s="29">
        <f>'MModule+onboard_volatile'!Y55</f>
        <v>0</v>
      </c>
      <c r="Z355" s="29" t="e">
        <f>'MModule+onboard_volatile'!#REF!</f>
        <v>#REF!</v>
      </c>
      <c r="AA355" s="29">
        <f>'MModule+onboard_volatile'!Z55</f>
        <v>0</v>
      </c>
      <c r="AB355" s="29">
        <f>'MModule+onboard_volatile'!AA55</f>
        <v>0</v>
      </c>
      <c r="AC355" s="11"/>
    </row>
    <row r="356" spans="3:29">
      <c r="C356" s="98" t="s">
        <v>26</v>
      </c>
      <c r="D356" s="29">
        <f>'MModule+onboard_volatile'!C56</f>
        <v>0</v>
      </c>
      <c r="E356" s="29">
        <f>'MModule+onboard_volatile'!D56</f>
        <v>0</v>
      </c>
      <c r="F356" s="29">
        <f>'MModule+onboard_volatile'!E56</f>
        <v>0</v>
      </c>
      <c r="G356" s="29" t="str">
        <f>'MModule+onboard_volatile'!F56</f>
        <v>X515EA</v>
      </c>
      <c r="H356" s="29" t="str">
        <f>'MModule+onboard_volatile'!G56</f>
        <v>Core I3-1115G4</v>
      </c>
      <c r="I356" s="29" t="str">
        <f>'MModule+onboard_volatile'!H56</f>
        <v>Imported</v>
      </c>
      <c r="J356" s="29" t="str">
        <f>'MModule+onboard_volatile'!I56</f>
        <v>Asus</v>
      </c>
      <c r="K356" s="29" t="str">
        <f>'MModule+onboard_volatile'!J56</f>
        <v>M on board</v>
      </c>
      <c r="L356" s="29" t="str">
        <f>'MModule+onboard_volatile'!K56</f>
        <v>4GB OB (3200)</v>
      </c>
      <c r="M356" s="29">
        <f>'MModule+onboard_volatile'!L56</f>
        <v>4</v>
      </c>
      <c r="N356" s="29" t="str">
        <f>'MModule+onboard_volatile'!M56</f>
        <v>03012-00020800
03012-00020900
03012-00021000</v>
      </c>
      <c r="O356" s="29">
        <f>'MModule+onboard_volatile'!N56</f>
        <v>0</v>
      </c>
      <c r="P356" s="29">
        <f>'MModule+onboard_volatile'!P56</f>
        <v>0</v>
      </c>
      <c r="Q356" s="29">
        <f>'MModule+onboard_volatile'!Q56</f>
        <v>0</v>
      </c>
      <c r="R356" s="29">
        <f>'MModule+onboard_volatile'!R56</f>
        <v>0</v>
      </c>
      <c r="S356" s="29">
        <f>'MModule+onboard_volatile'!S56</f>
        <v>0</v>
      </c>
      <c r="T356" s="29">
        <f>'MModule+onboard_volatile'!T56</f>
        <v>0</v>
      </c>
      <c r="U356" s="29">
        <f>'MModule+onboard_volatile'!U56</f>
        <v>0</v>
      </c>
      <c r="V356" s="29">
        <f>'MModule+onboard_volatile'!V56</f>
        <v>0</v>
      </c>
      <c r="W356" s="29">
        <f>'MModule+onboard_volatile'!W56</f>
        <v>0</v>
      </c>
      <c r="X356" s="29">
        <f>'MModule+onboard_volatile'!X56</f>
        <v>0</v>
      </c>
      <c r="Y356" s="29">
        <f>'MModule+onboard_volatile'!Y56</f>
        <v>0</v>
      </c>
      <c r="Z356" s="29" t="e">
        <f>'MModule+onboard_volatile'!#REF!</f>
        <v>#REF!</v>
      </c>
      <c r="AA356" s="29">
        <f>'MModule+onboard_volatile'!Z56</f>
        <v>0</v>
      </c>
      <c r="AB356" s="29" t="str">
        <f>'MModule+onboard_volatile'!AA56</f>
        <v>n/a</v>
      </c>
      <c r="AC356" s="11"/>
    </row>
    <row r="357" spans="3:29">
      <c r="C357" s="98" t="s">
        <v>26</v>
      </c>
      <c r="D357" s="29">
        <f>'MModule+onboard_volatile'!C57</f>
        <v>0</v>
      </c>
      <c r="E357" s="29" t="str">
        <f>'MModule+onboard_volatile'!D57</f>
        <v>FCST</v>
      </c>
      <c r="F357" s="29">
        <f>'MModule+onboard_volatile'!E57</f>
        <v>14100</v>
      </c>
      <c r="G357" s="29" t="str">
        <f>'MModule+onboard_volatile'!F57</f>
        <v>X515MA</v>
      </c>
      <c r="H357" s="29" t="str">
        <f>'MModule+onboard_volatile'!G57</f>
        <v>Celeron N4020</v>
      </c>
      <c r="I357" s="29">
        <f>'MModule+onboard_volatile'!H57</f>
        <v>0</v>
      </c>
      <c r="J357" s="29">
        <f>'MModule+onboard_volatile'!I57</f>
        <v>0</v>
      </c>
      <c r="K357" s="29">
        <f>'MModule+onboard_volatile'!J57</f>
        <v>0</v>
      </c>
      <c r="L357" s="29" t="str">
        <f>'MModule+onboard_volatile'!K57</f>
        <v>4GB OB</v>
      </c>
      <c r="M357" s="29">
        <f>'MModule+onboard_volatile'!L57</f>
        <v>0</v>
      </c>
      <c r="N357" s="29">
        <f>'MModule+onboard_volatile'!M57</f>
        <v>0</v>
      </c>
      <c r="O357" s="29">
        <f>'MModule+onboard_volatile'!N57</f>
        <v>4000</v>
      </c>
      <c r="P357" s="29">
        <f>'MModule+onboard_volatile'!P57</f>
        <v>0</v>
      </c>
      <c r="Q357" s="29">
        <f>'MModule+onboard_volatile'!Q57</f>
        <v>0</v>
      </c>
      <c r="R357" s="29">
        <f>'MModule+onboard_volatile'!R57</f>
        <v>0</v>
      </c>
      <c r="S357" s="29">
        <f>'MModule+onboard_volatile'!S57</f>
        <v>0</v>
      </c>
      <c r="T357" s="29">
        <f>'MModule+onboard_volatile'!T57</f>
        <v>2000</v>
      </c>
      <c r="U357" s="29">
        <f>'MModule+onboard_volatile'!U57</f>
        <v>2000</v>
      </c>
      <c r="V357" s="29">
        <f>'MModule+onboard_volatile'!V57</f>
        <v>1000</v>
      </c>
      <c r="W357" s="29">
        <f>'MModule+onboard_volatile'!W57</f>
        <v>0</v>
      </c>
      <c r="X357" s="29">
        <f>'MModule+onboard_volatile'!X57</f>
        <v>0</v>
      </c>
      <c r="Y357" s="29">
        <f>'MModule+onboard_volatile'!Y57</f>
        <v>0</v>
      </c>
      <c r="Z357" s="29" t="e">
        <f>'MModule+onboard_volatile'!#REF!</f>
        <v>#REF!</v>
      </c>
      <c r="AA357" s="29">
        <f>'MModule+onboard_volatile'!Z57</f>
        <v>0</v>
      </c>
      <c r="AB357" s="29">
        <f>'MModule+onboard_volatile'!AA57</f>
        <v>0</v>
      </c>
      <c r="AC357" s="11"/>
    </row>
    <row r="358" spans="3:29">
      <c r="C358" s="98" t="s">
        <v>26</v>
      </c>
      <c r="D358" s="29">
        <f>'MModule+onboard_volatile'!C58</f>
        <v>0</v>
      </c>
      <c r="E358" s="29">
        <f>'MModule+onboard_volatile'!D58</f>
        <v>0</v>
      </c>
      <c r="F358" s="29">
        <f>'MModule+onboard_volatile'!E58</f>
        <v>0</v>
      </c>
      <c r="G358" s="29" t="str">
        <f>'MModule+onboard_volatile'!F58</f>
        <v>X515MA</v>
      </c>
      <c r="H358" s="29" t="str">
        <f>'MModule+onboard_volatile'!G58</f>
        <v>Celeron N4020</v>
      </c>
      <c r="I358" s="29" t="str">
        <f>'MModule+onboard_volatile'!H58</f>
        <v>Imported</v>
      </c>
      <c r="J358" s="29" t="str">
        <f>'MModule+onboard_volatile'!I58</f>
        <v>Asus</v>
      </c>
      <c r="K358" s="29" t="str">
        <f>'MModule+onboard_volatile'!J58</f>
        <v>Mmodule</v>
      </c>
      <c r="L358" s="29" t="str">
        <f>'MModule+onboard_volatile'!K58</f>
        <v>4GB (3200)</v>
      </c>
      <c r="M358" s="29">
        <f>'MModule+onboard_volatile'!L58</f>
        <v>4</v>
      </c>
      <c r="N358" s="29" t="str">
        <f>'MModule+onboard_volatile'!M58</f>
        <v>03A08-00042300
03A08-00042400</v>
      </c>
      <c r="O358" s="29">
        <f>'MModule+onboard_volatile'!N58</f>
        <v>60</v>
      </c>
      <c r="P358" s="29">
        <f>'MModule+onboard_volatile'!P58</f>
        <v>0</v>
      </c>
      <c r="Q358" s="29">
        <f>'MModule+onboard_volatile'!Q58</f>
        <v>0</v>
      </c>
      <c r="R358" s="29">
        <f>'MModule+onboard_volatile'!R58</f>
        <v>0</v>
      </c>
      <c r="S358" s="29">
        <f>'MModule+onboard_volatile'!S58</f>
        <v>0</v>
      </c>
      <c r="T358" s="29">
        <f>'MModule+onboard_volatile'!T58</f>
        <v>0</v>
      </c>
      <c r="U358" s="29">
        <f>'MModule+onboard_volatile'!U58</f>
        <v>0</v>
      </c>
      <c r="V358" s="29">
        <f>'MModule+onboard_volatile'!V58</f>
        <v>0</v>
      </c>
      <c r="W358" s="29">
        <f>'MModule+onboard_volatile'!W58</f>
        <v>0</v>
      </c>
      <c r="X358" s="29">
        <f>'MModule+onboard_volatile'!X58</f>
        <v>0</v>
      </c>
      <c r="Y358" s="29">
        <f>'MModule+onboard_volatile'!Y58</f>
        <v>0</v>
      </c>
      <c r="Z358" s="29" t="e">
        <f>'MModule+onboard_volatile'!#REF!</f>
        <v>#REF!</v>
      </c>
      <c r="AA358" s="29">
        <f>'MModule+onboard_volatile'!Z58</f>
        <v>240</v>
      </c>
      <c r="AB358" s="29">
        <f>'MModule+onboard_volatile'!AA58</f>
        <v>60</v>
      </c>
      <c r="AC358" s="11"/>
    </row>
    <row r="359" spans="3:29">
      <c r="C359" s="98" t="s">
        <v>26</v>
      </c>
      <c r="D359" s="29">
        <f>'MModule+onboard_volatile'!C59</f>
        <v>0</v>
      </c>
      <c r="E359" s="29">
        <f>'MModule+onboard_volatile'!D59</f>
        <v>0</v>
      </c>
      <c r="F359" s="29">
        <f>'MModule+onboard_volatile'!E59</f>
        <v>0</v>
      </c>
      <c r="G359" s="29" t="str">
        <f>'MModule+onboard_volatile'!F59</f>
        <v>X515MA</v>
      </c>
      <c r="H359" s="29" t="str">
        <f>'MModule+onboard_volatile'!G59</f>
        <v>Celeron N4020</v>
      </c>
      <c r="I359" s="29" t="str">
        <f>'MModule+onboard_volatile'!H59</f>
        <v>Local</v>
      </c>
      <c r="J359" s="29" t="str">
        <f>'MModule+onboard_volatile'!I59</f>
        <v>ADATA</v>
      </c>
      <c r="K359" s="29" t="str">
        <f>'MModule+onboard_volatile'!J59</f>
        <v>Mmodule</v>
      </c>
      <c r="L359" s="29" t="str">
        <f>'MModule+onboard_volatile'!K59</f>
        <v xml:space="preserve">4GB </v>
      </c>
      <c r="M359" s="29">
        <f>'MModule+onboard_volatile'!L59</f>
        <v>4</v>
      </c>
      <c r="N359" s="29" t="str">
        <f>'MModule+onboard_volatile'!M59</f>
        <v>03A08-00042800</v>
      </c>
      <c r="O359" s="29">
        <f>'MModule+onboard_volatile'!N59</f>
        <v>0</v>
      </c>
      <c r="P359" s="29">
        <f>'MModule+onboard_volatile'!P59</f>
        <v>0</v>
      </c>
      <c r="Q359" s="29">
        <f>'MModule+onboard_volatile'!Q59</f>
        <v>0</v>
      </c>
      <c r="R359" s="29">
        <f>'MModule+onboard_volatile'!R59</f>
        <v>0</v>
      </c>
      <c r="S359" s="29">
        <f>'MModule+onboard_volatile'!S59</f>
        <v>0</v>
      </c>
      <c r="T359" s="29">
        <f>'MModule+onboard_volatile'!T59</f>
        <v>0</v>
      </c>
      <c r="U359" s="29">
        <f>'MModule+onboard_volatile'!U59</f>
        <v>0</v>
      </c>
      <c r="V359" s="29">
        <f>'MModule+onboard_volatile'!V59</f>
        <v>0</v>
      </c>
      <c r="W359" s="29">
        <f>'MModule+onboard_volatile'!W59</f>
        <v>0</v>
      </c>
      <c r="X359" s="29">
        <f>'MModule+onboard_volatile'!X59</f>
        <v>0</v>
      </c>
      <c r="Y359" s="29">
        <f>'MModule+onboard_volatile'!Y59</f>
        <v>0</v>
      </c>
      <c r="Z359" s="29" t="e">
        <f>'MModule+onboard_volatile'!#REF!</f>
        <v>#REF!</v>
      </c>
      <c r="AA359" s="29">
        <f>'MModule+onboard_volatile'!Z59</f>
        <v>0</v>
      </c>
      <c r="AB359" s="29">
        <f>'MModule+onboard_volatile'!AA59</f>
        <v>0</v>
      </c>
      <c r="AC359" s="11"/>
    </row>
    <row r="360" spans="3:29">
      <c r="C360" s="98" t="s">
        <v>26</v>
      </c>
      <c r="D360" s="29">
        <f>'MModule+onboard_volatile'!C60</f>
        <v>0</v>
      </c>
      <c r="E360" s="29">
        <f>'MModule+onboard_volatile'!D60</f>
        <v>0</v>
      </c>
      <c r="F360" s="29">
        <f>'MModule+onboard_volatile'!E60</f>
        <v>0</v>
      </c>
      <c r="G360" s="29" t="str">
        <f>'MModule+onboard_volatile'!F60</f>
        <v>X515MA</v>
      </c>
      <c r="H360" s="29" t="str">
        <f>'MModule+onboard_volatile'!G60</f>
        <v>Celeron N4020</v>
      </c>
      <c r="I360" s="29" t="str">
        <f>'MModule+onboard_volatile'!H60</f>
        <v>Local</v>
      </c>
      <c r="J360" s="29" t="str">
        <f>'MModule+onboard_volatile'!I60</f>
        <v>DIGITRON</v>
      </c>
      <c r="K360" s="29" t="str">
        <f>'MModule+onboard_volatile'!J60</f>
        <v>Mmodule</v>
      </c>
      <c r="L360" s="29" t="str">
        <f>'MModule+onboard_volatile'!K60</f>
        <v>4GB</v>
      </c>
      <c r="M360" s="29">
        <f>'MModule+onboard_volatile'!L60</f>
        <v>4</v>
      </c>
      <c r="N360" s="29" t="str">
        <f>'MModule+onboard_volatile'!M60</f>
        <v>03A08-00043700</v>
      </c>
      <c r="O360" s="29">
        <f>'MModule+onboard_volatile'!N60</f>
        <v>50</v>
      </c>
      <c r="P360" s="29">
        <f>'MModule+onboard_volatile'!P60</f>
        <v>0</v>
      </c>
      <c r="Q360" s="29">
        <f>'MModule+onboard_volatile'!Q60</f>
        <v>0</v>
      </c>
      <c r="R360" s="29">
        <f>'MModule+onboard_volatile'!R60</f>
        <v>0</v>
      </c>
      <c r="S360" s="29">
        <f>'MModule+onboard_volatile'!S60</f>
        <v>0</v>
      </c>
      <c r="T360" s="29">
        <f>'MModule+onboard_volatile'!T60</f>
        <v>0</v>
      </c>
      <c r="U360" s="29">
        <f>'MModule+onboard_volatile'!U60</f>
        <v>0</v>
      </c>
      <c r="V360" s="29">
        <f>'MModule+onboard_volatile'!V60</f>
        <v>0</v>
      </c>
      <c r="W360" s="29">
        <f>'MModule+onboard_volatile'!W60</f>
        <v>0</v>
      </c>
      <c r="X360" s="29">
        <f>'MModule+onboard_volatile'!X60</f>
        <v>0</v>
      </c>
      <c r="Y360" s="29">
        <f>'MModule+onboard_volatile'!Y60</f>
        <v>0</v>
      </c>
      <c r="Z360" s="29" t="e">
        <f>'MModule+onboard_volatile'!#REF!</f>
        <v>#REF!</v>
      </c>
      <c r="AA360" s="29">
        <f>'MModule+onboard_volatile'!Z60</f>
        <v>200</v>
      </c>
      <c r="AB360" s="29">
        <f>'MModule+onboard_volatile'!AA60</f>
        <v>50</v>
      </c>
      <c r="AC360" s="11"/>
    </row>
    <row r="361" spans="3:29">
      <c r="C361" s="98" t="s">
        <v>26</v>
      </c>
      <c r="D361" s="29">
        <f>'MModule+onboard_volatile'!C62</f>
        <v>0</v>
      </c>
      <c r="E361" s="29">
        <f>'MModule+onboard_volatile'!D62</f>
        <v>0</v>
      </c>
      <c r="F361" s="29">
        <f>'MModule+onboard_volatile'!E62</f>
        <v>0</v>
      </c>
      <c r="G361" s="29" t="str">
        <f>'MModule+onboard_volatile'!F62</f>
        <v>X515MA</v>
      </c>
      <c r="H361" s="29" t="str">
        <f>'MModule+onboard_volatile'!G62</f>
        <v>Celeron N4020</v>
      </c>
      <c r="I361" s="29" t="str">
        <f>'MModule+onboard_volatile'!H62</f>
        <v>Local</v>
      </c>
      <c r="J361" s="29" t="str">
        <f>'MModule+onboard_volatile'!I62</f>
        <v>TBD</v>
      </c>
      <c r="K361" s="29" t="str">
        <f>'MModule+onboard_volatile'!J62</f>
        <v>Mmodule</v>
      </c>
      <c r="L361" s="29" t="str">
        <f>'MModule+onboard_volatile'!K62</f>
        <v xml:space="preserve">4GB </v>
      </c>
      <c r="M361" s="29">
        <f>'MModule+onboard_volatile'!L62</f>
        <v>4</v>
      </c>
      <c r="N361" s="29">
        <f>'MModule+onboard_volatile'!M62</f>
        <v>0</v>
      </c>
      <c r="O361" s="29">
        <f>'MModule+onboard_volatile'!N62</f>
        <v>0</v>
      </c>
      <c r="P361" s="29">
        <f>'MModule+onboard_volatile'!P62</f>
        <v>0</v>
      </c>
      <c r="Q361" s="29">
        <f>'MModule+onboard_volatile'!Q62</f>
        <v>0</v>
      </c>
      <c r="R361" s="29">
        <f>'MModule+onboard_volatile'!R62</f>
        <v>0</v>
      </c>
      <c r="S361" s="29">
        <f>'MModule+onboard_volatile'!S62</f>
        <v>0</v>
      </c>
      <c r="T361" s="29">
        <f>'MModule+onboard_volatile'!T62</f>
        <v>0</v>
      </c>
      <c r="U361" s="29">
        <f>'MModule+onboard_volatile'!U62</f>
        <v>0</v>
      </c>
      <c r="V361" s="29">
        <f>'MModule+onboard_volatile'!V62</f>
        <v>0</v>
      </c>
      <c r="W361" s="29">
        <f>'MModule+onboard_volatile'!W62</f>
        <v>0</v>
      </c>
      <c r="X361" s="29">
        <f>'MModule+onboard_volatile'!X62</f>
        <v>0</v>
      </c>
      <c r="Y361" s="29">
        <f>'MModule+onboard_volatile'!Y62</f>
        <v>0</v>
      </c>
      <c r="Z361" s="29" t="e">
        <f>'MModule+onboard_volatile'!#REF!</f>
        <v>#REF!</v>
      </c>
      <c r="AA361" s="29">
        <f>'MModule+onboard_volatile'!Z62</f>
        <v>0</v>
      </c>
      <c r="AB361" s="29">
        <f>'MModule+onboard_volatile'!AA62</f>
        <v>0</v>
      </c>
      <c r="AC361" s="11"/>
    </row>
    <row r="362" spans="3:29">
      <c r="C362" s="98" t="s">
        <v>26</v>
      </c>
      <c r="D362" s="29">
        <f>'MModule+onboard_volatile'!C63</f>
        <v>0</v>
      </c>
      <c r="E362" s="29" t="str">
        <f>'MModule+onboard_volatile'!D63</f>
        <v>FCST</v>
      </c>
      <c r="F362" s="29">
        <f>'MModule+onboard_volatile'!E63</f>
        <v>17000</v>
      </c>
      <c r="G362" s="29" t="str">
        <f>'MModule+onboard_volatile'!F63</f>
        <v>M515DA</v>
      </c>
      <c r="H362" s="29" t="str">
        <f>'MModule+onboard_volatile'!G63</f>
        <v>Ryzen 5 3500U</v>
      </c>
      <c r="I362" s="29">
        <f>'MModule+onboard_volatile'!H63</f>
        <v>0</v>
      </c>
      <c r="J362" s="29">
        <f>'MModule+onboard_volatile'!I63</f>
        <v>0</v>
      </c>
      <c r="K362" s="29">
        <f>'MModule+onboard_volatile'!J63</f>
        <v>0</v>
      </c>
      <c r="L362" s="29" t="str">
        <f>'MModule+onboard_volatile'!K63</f>
        <v>8GB</v>
      </c>
      <c r="M362" s="29">
        <f>'MModule+onboard_volatile'!L63</f>
        <v>0</v>
      </c>
      <c r="N362" s="29">
        <f>'MModule+onboard_volatile'!M63</f>
        <v>0</v>
      </c>
      <c r="O362" s="29">
        <f>'MModule+onboard_volatile'!N63</f>
        <v>1500</v>
      </c>
      <c r="P362" s="29">
        <f>'MModule+onboard_volatile'!P63</f>
        <v>4000</v>
      </c>
      <c r="Q362" s="29">
        <f>'MModule+onboard_volatile'!Q63</f>
        <v>4000</v>
      </c>
      <c r="R362" s="29">
        <f>'MModule+onboard_volatile'!R63</f>
        <v>3800</v>
      </c>
      <c r="S362" s="29">
        <f>'MModule+onboard_volatile'!S63</f>
        <v>0</v>
      </c>
      <c r="T362" s="29">
        <f>'MModule+onboard_volatile'!T63</f>
        <v>0</v>
      </c>
      <c r="U362" s="29">
        <f>'MModule+onboard_volatile'!U63</f>
        <v>0</v>
      </c>
      <c r="V362" s="29">
        <f>'MModule+onboard_volatile'!V63</f>
        <v>0</v>
      </c>
      <c r="W362" s="29">
        <f>'MModule+onboard_volatile'!W63</f>
        <v>0</v>
      </c>
      <c r="X362" s="29">
        <f>'MModule+onboard_volatile'!X63</f>
        <v>0</v>
      </c>
      <c r="Y362" s="29">
        <f>'MModule+onboard_volatile'!Y63</f>
        <v>0</v>
      </c>
      <c r="Z362" s="29" t="e">
        <f>'MModule+onboard_volatile'!#REF!</f>
        <v>#REF!</v>
      </c>
      <c r="AA362" s="29">
        <f>'MModule+onboard_volatile'!Z63</f>
        <v>0</v>
      </c>
      <c r="AB362" s="29">
        <f>'MModule+onboard_volatile'!AA63</f>
        <v>0</v>
      </c>
      <c r="AC362" s="11"/>
    </row>
    <row r="363" spans="3:29">
      <c r="C363" s="98" t="s">
        <v>26</v>
      </c>
      <c r="D363" s="29">
        <f>'MModule+onboard_volatile'!C64</f>
        <v>0</v>
      </c>
      <c r="E363" s="29">
        <f>'MModule+onboard_volatile'!D64</f>
        <v>0</v>
      </c>
      <c r="F363" s="29">
        <f>'MModule+onboard_volatile'!E64</f>
        <v>0</v>
      </c>
      <c r="G363" s="29" t="str">
        <f>'MModule+onboard_volatile'!F64</f>
        <v>M515DA</v>
      </c>
      <c r="H363" s="29" t="str">
        <f>'MModule+onboard_volatile'!G64</f>
        <v>Ryzen 5 3500U</v>
      </c>
      <c r="I363" s="29" t="str">
        <f>'MModule+onboard_volatile'!H64</f>
        <v>Imported</v>
      </c>
      <c r="J363" s="29" t="str">
        <f>'MModule+onboard_volatile'!I64</f>
        <v>Asus</v>
      </c>
      <c r="K363" s="29" t="str">
        <f>'MModule+onboard_volatile'!J64</f>
        <v>Mmodule</v>
      </c>
      <c r="L363" s="29" t="str">
        <f>'MModule+onboard_volatile'!K64</f>
        <v>8GB (3200)</v>
      </c>
      <c r="M363" s="29">
        <f>'MModule+onboard_volatile'!L64</f>
        <v>8</v>
      </c>
      <c r="N363" s="29" t="str">
        <f>'MModule+onboard_volatile'!M64</f>
        <v>03A08-00052400
03A08-00052700</v>
      </c>
      <c r="O363" s="29">
        <f>'MModule+onboard_volatile'!N64</f>
        <v>1500</v>
      </c>
      <c r="P363" s="29">
        <f>'MModule+onboard_volatile'!P64</f>
        <v>0</v>
      </c>
      <c r="Q363" s="29">
        <f>'MModule+onboard_volatile'!Q64</f>
        <v>0</v>
      </c>
      <c r="R363" s="29">
        <f>'MModule+onboard_volatile'!R64</f>
        <v>0</v>
      </c>
      <c r="S363" s="29">
        <f>'MModule+onboard_volatile'!S64</f>
        <v>0</v>
      </c>
      <c r="T363" s="29">
        <f>'MModule+onboard_volatile'!T64</f>
        <v>0</v>
      </c>
      <c r="U363" s="29">
        <f>'MModule+onboard_volatile'!U64</f>
        <v>0</v>
      </c>
      <c r="V363" s="29">
        <f>'MModule+onboard_volatile'!V64</f>
        <v>0</v>
      </c>
      <c r="W363" s="29">
        <f>'MModule+onboard_volatile'!W64</f>
        <v>0</v>
      </c>
      <c r="X363" s="29">
        <f>'MModule+onboard_volatile'!X64</f>
        <v>0</v>
      </c>
      <c r="Y363" s="29">
        <f>'MModule+onboard_volatile'!Y64</f>
        <v>0</v>
      </c>
      <c r="Z363" s="29" t="e">
        <f>'MModule+onboard_volatile'!#REF!</f>
        <v>#REF!</v>
      </c>
      <c r="AA363" s="29">
        <f>'MModule+onboard_volatile'!Z64</f>
        <v>12480</v>
      </c>
      <c r="AB363" s="29">
        <f>'MModule+onboard_volatile'!AA64</f>
        <v>1560</v>
      </c>
      <c r="AC363" s="11"/>
    </row>
    <row r="364" spans="3:29">
      <c r="C364" s="98" t="s">
        <v>26</v>
      </c>
      <c r="D364" s="29">
        <f>'MModule+onboard_volatile'!C65</f>
        <v>0</v>
      </c>
      <c r="E364" s="29">
        <f>'MModule+onboard_volatile'!D65</f>
        <v>0</v>
      </c>
      <c r="F364" s="29">
        <f>'MModule+onboard_volatile'!E65</f>
        <v>0</v>
      </c>
      <c r="G364" s="29" t="str">
        <f>'MModule+onboard_volatile'!F65</f>
        <v>M515DA</v>
      </c>
      <c r="H364" s="29" t="str">
        <f>'MModule+onboard_volatile'!G65</f>
        <v>Ryzen 5 3500U</v>
      </c>
      <c r="I364" s="29" t="str">
        <f>'MModule+onboard_volatile'!H65</f>
        <v>Local</v>
      </c>
      <c r="J364" s="29" t="str">
        <f>'MModule+onboard_volatile'!I65</f>
        <v>ADATA</v>
      </c>
      <c r="K364" s="29" t="str">
        <f>'MModule+onboard_volatile'!J65</f>
        <v>Mmodule</v>
      </c>
      <c r="L364" s="29" t="str">
        <f>'MModule+onboard_volatile'!K65</f>
        <v>8GB</v>
      </c>
      <c r="M364" s="29">
        <f>'MModule+onboard_volatile'!L65</f>
        <v>8</v>
      </c>
      <c r="N364" s="29" t="str">
        <f>'MModule+onboard_volatile'!M65</f>
        <v>03A08-00053000</v>
      </c>
      <c r="O364" s="29">
        <f>'MModule+onboard_volatile'!N65</f>
        <v>0</v>
      </c>
      <c r="P364" s="29">
        <f>'MModule+onboard_volatile'!P65</f>
        <v>0</v>
      </c>
      <c r="Q364" s="29">
        <f>'MModule+onboard_volatile'!Q65</f>
        <v>0</v>
      </c>
      <c r="R364" s="29">
        <f>'MModule+onboard_volatile'!R65</f>
        <v>0</v>
      </c>
      <c r="S364" s="29">
        <f>'MModule+onboard_volatile'!S65</f>
        <v>0</v>
      </c>
      <c r="T364" s="29">
        <f>'MModule+onboard_volatile'!T65</f>
        <v>0</v>
      </c>
      <c r="U364" s="29">
        <f>'MModule+onboard_volatile'!U65</f>
        <v>0</v>
      </c>
      <c r="V364" s="29">
        <f>'MModule+onboard_volatile'!V65</f>
        <v>0</v>
      </c>
      <c r="W364" s="29">
        <f>'MModule+onboard_volatile'!W65</f>
        <v>0</v>
      </c>
      <c r="X364" s="29">
        <f>'MModule+onboard_volatile'!X65</f>
        <v>0</v>
      </c>
      <c r="Y364" s="29">
        <f>'MModule+onboard_volatile'!Y65</f>
        <v>0</v>
      </c>
      <c r="Z364" s="29" t="e">
        <f>'MModule+onboard_volatile'!#REF!</f>
        <v>#REF!</v>
      </c>
      <c r="AA364" s="29">
        <f>'MModule+onboard_volatile'!Z65</f>
        <v>0</v>
      </c>
      <c r="AB364" s="29">
        <f>'MModule+onboard_volatile'!AA65</f>
        <v>0</v>
      </c>
      <c r="AC364" s="11"/>
    </row>
    <row r="365" spans="3:29">
      <c r="C365" s="98" t="s">
        <v>26</v>
      </c>
      <c r="D365" s="29">
        <f>'MModule+onboard_volatile'!C66</f>
        <v>0</v>
      </c>
      <c r="E365" s="29">
        <f>'MModule+onboard_volatile'!D66</f>
        <v>0</v>
      </c>
      <c r="F365" s="29">
        <f>'MModule+onboard_volatile'!E66</f>
        <v>0</v>
      </c>
      <c r="G365" s="29" t="str">
        <f>'MModule+onboard_volatile'!F66</f>
        <v>M515DA</v>
      </c>
      <c r="H365" s="29" t="str">
        <f>'MModule+onboard_volatile'!G66</f>
        <v>Ryzen 5 3500U</v>
      </c>
      <c r="I365" s="29" t="str">
        <f>'MModule+onboard_volatile'!H66</f>
        <v>Local</v>
      </c>
      <c r="J365" s="29" t="str">
        <f>'MModule+onboard_volatile'!I66</f>
        <v>DIGITRON</v>
      </c>
      <c r="K365" s="29" t="str">
        <f>'MModule+onboard_volatile'!J66</f>
        <v>Mmodule</v>
      </c>
      <c r="L365" s="29" t="str">
        <f>'MModule+onboard_volatile'!K66</f>
        <v>8GB</v>
      </c>
      <c r="M365" s="29">
        <f>'MModule+onboard_volatile'!L66</f>
        <v>8</v>
      </c>
      <c r="N365" s="29" t="str">
        <f>'MModule+onboard_volatile'!M66</f>
        <v>03A08-00054400</v>
      </c>
      <c r="O365" s="29">
        <f>'MModule+onboard_volatile'!N66</f>
        <v>0</v>
      </c>
      <c r="P365" s="29">
        <f>'MModule+onboard_volatile'!P66</f>
        <v>0</v>
      </c>
      <c r="Q365" s="29">
        <f>'MModule+onboard_volatile'!Q66</f>
        <v>0</v>
      </c>
      <c r="R365" s="29">
        <f>'MModule+onboard_volatile'!R66</f>
        <v>0</v>
      </c>
      <c r="S365" s="29">
        <f>'MModule+onboard_volatile'!S66</f>
        <v>0</v>
      </c>
      <c r="T365" s="29">
        <f>'MModule+onboard_volatile'!T66</f>
        <v>0</v>
      </c>
      <c r="U365" s="29">
        <f>'MModule+onboard_volatile'!U66</f>
        <v>0</v>
      </c>
      <c r="V365" s="29">
        <f>'MModule+onboard_volatile'!V66</f>
        <v>0</v>
      </c>
      <c r="W365" s="29">
        <f>'MModule+onboard_volatile'!W66</f>
        <v>0</v>
      </c>
      <c r="X365" s="29">
        <f>'MModule+onboard_volatile'!X66</f>
        <v>0</v>
      </c>
      <c r="Y365" s="29">
        <f>'MModule+onboard_volatile'!Y66</f>
        <v>0</v>
      </c>
      <c r="Z365" s="29" t="e">
        <f>'MModule+onboard_volatile'!#REF!</f>
        <v>#REF!</v>
      </c>
      <c r="AA365" s="29">
        <f>'MModule+onboard_volatile'!Z66</f>
        <v>0</v>
      </c>
      <c r="AB365" s="29">
        <f>'MModule+onboard_volatile'!AA66</f>
        <v>0</v>
      </c>
      <c r="AC365" s="11"/>
    </row>
    <row r="366" spans="3:29">
      <c r="C366" s="98" t="s">
        <v>26</v>
      </c>
      <c r="D366" s="29">
        <f>'MModule+onboard_volatile'!C68</f>
        <v>0</v>
      </c>
      <c r="E366" s="29">
        <f>'MModule+onboard_volatile'!D68</f>
        <v>0</v>
      </c>
      <c r="F366" s="29">
        <f>'MModule+onboard_volatile'!E68</f>
        <v>0</v>
      </c>
      <c r="G366" s="29" t="str">
        <f>'MModule+onboard_volatile'!F68</f>
        <v>M515DA</v>
      </c>
      <c r="H366" s="29" t="str">
        <f>'MModule+onboard_volatile'!G68</f>
        <v>Ryzen 5 3500U</v>
      </c>
      <c r="I366" s="29" t="str">
        <f>'MModule+onboard_volatile'!H68</f>
        <v>Local</v>
      </c>
      <c r="J366" s="29" t="str">
        <f>'MModule+onboard_volatile'!I68</f>
        <v>TBD</v>
      </c>
      <c r="K366" s="29" t="str">
        <f>'MModule+onboard_volatile'!J68</f>
        <v>Mmodule</v>
      </c>
      <c r="L366" s="29" t="str">
        <f>'MModule+onboard_volatile'!K68</f>
        <v>8GB</v>
      </c>
      <c r="M366" s="29">
        <f>'MModule+onboard_volatile'!L68</f>
        <v>8</v>
      </c>
      <c r="N366" s="29">
        <f>'MModule+onboard_volatile'!M68</f>
        <v>0</v>
      </c>
      <c r="O366" s="29">
        <f>'MModule+onboard_volatile'!N68</f>
        <v>0</v>
      </c>
      <c r="P366" s="29">
        <f>'MModule+onboard_volatile'!P68</f>
        <v>0</v>
      </c>
      <c r="Q366" s="29">
        <f>'MModule+onboard_volatile'!Q68</f>
        <v>0</v>
      </c>
      <c r="R366" s="29">
        <f>'MModule+onboard_volatile'!R68</f>
        <v>0</v>
      </c>
      <c r="S366" s="29">
        <f>'MModule+onboard_volatile'!S68</f>
        <v>0</v>
      </c>
      <c r="T366" s="29">
        <f>'MModule+onboard_volatile'!T68</f>
        <v>0</v>
      </c>
      <c r="U366" s="29">
        <f>'MModule+onboard_volatile'!U68</f>
        <v>0</v>
      </c>
      <c r="V366" s="29">
        <f>'MModule+onboard_volatile'!V68</f>
        <v>0</v>
      </c>
      <c r="W366" s="29">
        <f>'MModule+onboard_volatile'!W68</f>
        <v>0</v>
      </c>
      <c r="X366" s="29">
        <f>'MModule+onboard_volatile'!X68</f>
        <v>0</v>
      </c>
      <c r="Y366" s="29">
        <f>'MModule+onboard_volatile'!Y68</f>
        <v>0</v>
      </c>
      <c r="Z366" s="29" t="e">
        <f>'MModule+onboard_volatile'!#REF!</f>
        <v>#REF!</v>
      </c>
      <c r="AA366" s="29">
        <f>'MModule+onboard_volatile'!Z68</f>
        <v>0</v>
      </c>
      <c r="AB366" s="29">
        <f>'MModule+onboard_volatile'!AA68</f>
        <v>0</v>
      </c>
      <c r="AC366" s="11"/>
    </row>
    <row r="367" spans="3:29">
      <c r="C367" s="98" t="s">
        <v>26</v>
      </c>
      <c r="D367" s="29">
        <f>'MModule+onboard_volatile'!C75</f>
        <v>0</v>
      </c>
      <c r="E367" s="29" t="str">
        <f>'MModule+onboard_volatile'!D75</f>
        <v>FCST</v>
      </c>
      <c r="F367" s="29">
        <f>'MModule+onboard_volatile'!E75</f>
        <v>0</v>
      </c>
      <c r="G367" s="29" t="str">
        <f>'MModule+onboard_volatile'!F75</f>
        <v>X543MA</v>
      </c>
      <c r="H367" s="29" t="str">
        <f>'MModule+onboard_volatile'!G75</f>
        <v>Celeron N4020</v>
      </c>
      <c r="I367" s="29">
        <f>'MModule+onboard_volatile'!H75</f>
        <v>0</v>
      </c>
      <c r="J367" s="29">
        <f>'MModule+onboard_volatile'!I75</f>
        <v>0</v>
      </c>
      <c r="K367" s="29">
        <f>'MModule+onboard_volatile'!J75</f>
        <v>0</v>
      </c>
      <c r="L367" s="29" t="str">
        <f>'MModule+onboard_volatile'!K75</f>
        <v>4GB OB</v>
      </c>
      <c r="M367" s="29">
        <f>'MModule+onboard_volatile'!L75</f>
        <v>0</v>
      </c>
      <c r="N367" s="29">
        <f>'MModule+onboard_volatile'!M75</f>
        <v>0</v>
      </c>
      <c r="O367" s="29">
        <f>'MModule+onboard_volatile'!N75</f>
        <v>0</v>
      </c>
      <c r="P367" s="29">
        <f>'MModule+onboard_volatile'!P75</f>
        <v>0</v>
      </c>
      <c r="Q367" s="29">
        <f>'MModule+onboard_volatile'!Q75</f>
        <v>0</v>
      </c>
      <c r="R367" s="29">
        <f>'MModule+onboard_volatile'!R75</f>
        <v>0</v>
      </c>
      <c r="S367" s="29">
        <f>'MModule+onboard_volatile'!S75</f>
        <v>0</v>
      </c>
      <c r="T367" s="29">
        <f>'MModule+onboard_volatile'!T75</f>
        <v>0</v>
      </c>
      <c r="U367" s="29">
        <f>'MModule+onboard_volatile'!U75</f>
        <v>0</v>
      </c>
      <c r="V367" s="29">
        <f>'MModule+onboard_volatile'!V75</f>
        <v>0</v>
      </c>
      <c r="W367" s="29">
        <f>'MModule+onboard_volatile'!W75</f>
        <v>0</v>
      </c>
      <c r="X367" s="29">
        <f>'MModule+onboard_volatile'!X75</f>
        <v>0</v>
      </c>
      <c r="Y367" s="29">
        <f>'MModule+onboard_volatile'!Y75</f>
        <v>0</v>
      </c>
      <c r="Z367" s="29" t="e">
        <f>'MModule+onboard_volatile'!#REF!</f>
        <v>#REF!</v>
      </c>
      <c r="AA367" s="29">
        <f>'MModule+onboard_volatile'!Z75</f>
        <v>0</v>
      </c>
      <c r="AB367" s="29">
        <f>'MModule+onboard_volatile'!AA75</f>
        <v>0</v>
      </c>
      <c r="AC367" s="11"/>
    </row>
    <row r="368" spans="3:29">
      <c r="C368" s="98" t="s">
        <v>26</v>
      </c>
      <c r="D368" s="29">
        <f>'MModule+onboard_volatile'!C76</f>
        <v>0</v>
      </c>
      <c r="E368" s="29">
        <f>'MModule+onboard_volatile'!D76</f>
        <v>0</v>
      </c>
      <c r="F368" s="29">
        <f>'MModule+onboard_volatile'!E76</f>
        <v>0</v>
      </c>
      <c r="G368" s="29" t="str">
        <f>'MModule+onboard_volatile'!F76</f>
        <v>X543MA</v>
      </c>
      <c r="H368" s="29" t="str">
        <f>'MModule+onboard_volatile'!G76</f>
        <v>Celeron N4020</v>
      </c>
      <c r="I368" s="29" t="str">
        <f>'MModule+onboard_volatile'!H76</f>
        <v>Imported</v>
      </c>
      <c r="J368" s="29" t="str">
        <f>'MModule+onboard_volatile'!I76</f>
        <v>Asus</v>
      </c>
      <c r="K368" s="29" t="str">
        <f>'MModule+onboard_volatile'!J76</f>
        <v>M on board</v>
      </c>
      <c r="L368" s="29" t="str">
        <f>'MModule+onboard_volatile'!K76</f>
        <v>4GB OB</v>
      </c>
      <c r="M368" s="29">
        <f>'MModule+onboard_volatile'!L76</f>
        <v>4</v>
      </c>
      <c r="N368" s="29" t="str">
        <f>'MModule+onboard_volatile'!M76</f>
        <v>03013-00060000
03013-00060200</v>
      </c>
      <c r="O368" s="29">
        <f>'MModule+onboard_volatile'!N76</f>
        <v>0</v>
      </c>
      <c r="P368" s="29">
        <f>'MModule+onboard_volatile'!P76</f>
        <v>0</v>
      </c>
      <c r="Q368" s="29">
        <f>'MModule+onboard_volatile'!Q76</f>
        <v>0</v>
      </c>
      <c r="R368" s="29">
        <f>'MModule+onboard_volatile'!R76</f>
        <v>0</v>
      </c>
      <c r="S368" s="29">
        <f>'MModule+onboard_volatile'!S76</f>
        <v>0</v>
      </c>
      <c r="T368" s="29">
        <f>'MModule+onboard_volatile'!T76</f>
        <v>0</v>
      </c>
      <c r="U368" s="29">
        <f>'MModule+onboard_volatile'!U76</f>
        <v>0</v>
      </c>
      <c r="V368" s="29">
        <f>'MModule+onboard_volatile'!V76</f>
        <v>0</v>
      </c>
      <c r="W368" s="29">
        <f>'MModule+onboard_volatile'!W76</f>
        <v>0</v>
      </c>
      <c r="X368" s="29">
        <f>'MModule+onboard_volatile'!X76</f>
        <v>0</v>
      </c>
      <c r="Y368" s="29">
        <f>'MModule+onboard_volatile'!Y76</f>
        <v>0</v>
      </c>
      <c r="Z368" s="29" t="e">
        <f>'MModule+onboard_volatile'!#REF!</f>
        <v>#REF!</v>
      </c>
      <c r="AA368" s="29">
        <f>'MModule+onboard_volatile'!Z76</f>
        <v>0</v>
      </c>
      <c r="AB368" s="29" t="str">
        <f>'MModule+onboard_volatile'!AA76</f>
        <v>n/a</v>
      </c>
      <c r="AC368" s="11"/>
    </row>
    <row r="369" spans="3:29">
      <c r="C369" s="98" t="s">
        <v>26</v>
      </c>
      <c r="D369" s="29">
        <f>'MModule+onboard_volatile'!C77</f>
        <v>0</v>
      </c>
      <c r="E369" s="29">
        <f>'MModule+onboard_volatile'!D77</f>
        <v>0</v>
      </c>
      <c r="F369" s="29">
        <f>'MModule+onboard_volatile'!E77</f>
        <v>0</v>
      </c>
      <c r="G369" s="29" t="str">
        <f>'MModule+onboard_volatile'!F77</f>
        <v>X543MA</v>
      </c>
      <c r="H369" s="29" t="str">
        <f>'MModule+onboard_volatile'!G77</f>
        <v>Celeron N4020</v>
      </c>
      <c r="I369" s="29" t="str">
        <f>'MModule+onboard_volatile'!H77</f>
        <v>Local</v>
      </c>
      <c r="J369" s="29" t="str">
        <f>'MModule+onboard_volatile'!I77</f>
        <v>Multilaser</v>
      </c>
      <c r="K369" s="29" t="str">
        <f>'MModule+onboard_volatile'!J77</f>
        <v>M on board</v>
      </c>
      <c r="L369" s="29" t="str">
        <f>'MModule+onboard_volatile'!K77</f>
        <v>4GB &gt;&gt; LPDDR4 Samsung</v>
      </c>
      <c r="M369" s="29">
        <f>'MModule+onboard_volatile'!L77</f>
        <v>4</v>
      </c>
      <c r="N369" s="29" t="str">
        <f>'MModule+onboard_volatile'!M77</f>
        <v>03013-00060300</v>
      </c>
      <c r="O369" s="29">
        <f>'MModule+onboard_volatile'!N77</f>
        <v>0</v>
      </c>
      <c r="P369" s="29">
        <f>'MModule+onboard_volatile'!P77</f>
        <v>0</v>
      </c>
      <c r="Q369" s="29">
        <f>'MModule+onboard_volatile'!Q77</f>
        <v>0</v>
      </c>
      <c r="R369" s="29">
        <f>'MModule+onboard_volatile'!R77</f>
        <v>0</v>
      </c>
      <c r="S369" s="29">
        <f>'MModule+onboard_volatile'!S77</f>
        <v>0</v>
      </c>
      <c r="T369" s="29">
        <f>'MModule+onboard_volatile'!T77</f>
        <v>0</v>
      </c>
      <c r="U369" s="29">
        <f>'MModule+onboard_volatile'!U77</f>
        <v>0</v>
      </c>
      <c r="V369" s="29">
        <f>'MModule+onboard_volatile'!V77</f>
        <v>0</v>
      </c>
      <c r="W369" s="29">
        <f>'MModule+onboard_volatile'!W77</f>
        <v>0</v>
      </c>
      <c r="X369" s="29">
        <f>'MModule+onboard_volatile'!X77</f>
        <v>0</v>
      </c>
      <c r="Y369" s="29">
        <f>'MModule+onboard_volatile'!Y77</f>
        <v>0</v>
      </c>
      <c r="Z369" s="29" t="e">
        <f>'MModule+onboard_volatile'!#REF!</f>
        <v>#REF!</v>
      </c>
      <c r="AA369" s="29">
        <f>'MModule+onboard_volatile'!Z77</f>
        <v>0</v>
      </c>
      <c r="AB369" s="29" t="str">
        <f>'MModule+onboard_volatile'!AA77</f>
        <v>n/a</v>
      </c>
      <c r="AC369" s="11"/>
    </row>
    <row r="370" spans="3:29">
      <c r="C370" s="98" t="s">
        <v>26</v>
      </c>
      <c r="D370" s="29">
        <f>'MModule+onboard_volatile'!C78</f>
        <v>0</v>
      </c>
      <c r="E370" s="29" t="str">
        <f>'MModule+onboard_volatile'!D78</f>
        <v>FCST</v>
      </c>
      <c r="F370" s="29">
        <f>'MModule+onboard_volatile'!E78</f>
        <v>2600</v>
      </c>
      <c r="G370" s="29" t="str">
        <f>'MModule+onboard_volatile'!F78</f>
        <v>E510MA</v>
      </c>
      <c r="H370" s="29" t="str">
        <f>'MModule+onboard_volatile'!G78</f>
        <v>Celeron N4020</v>
      </c>
      <c r="I370" s="29">
        <f>'MModule+onboard_volatile'!H78</f>
        <v>0</v>
      </c>
      <c r="J370" s="29">
        <f>'MModule+onboard_volatile'!I78</f>
        <v>0</v>
      </c>
      <c r="K370" s="29">
        <f>'MModule+onboard_volatile'!J78</f>
        <v>0</v>
      </c>
      <c r="L370" s="29" t="str">
        <f>'MModule+onboard_volatile'!K78</f>
        <v>4GB OB</v>
      </c>
      <c r="M370" s="29">
        <f>'MModule+onboard_volatile'!L78</f>
        <v>0</v>
      </c>
      <c r="N370" s="29">
        <f>'MModule+onboard_volatile'!M78</f>
        <v>0</v>
      </c>
      <c r="O370" s="29">
        <f>'MModule+onboard_volatile'!N78</f>
        <v>200</v>
      </c>
      <c r="P370" s="29">
        <f>'MModule+onboard_volatile'!P78</f>
        <v>0</v>
      </c>
      <c r="Q370" s="29">
        <f>'MModule+onboard_volatile'!Q78</f>
        <v>0</v>
      </c>
      <c r="R370" s="29">
        <f>'MModule+onboard_volatile'!R78</f>
        <v>600</v>
      </c>
      <c r="S370" s="29">
        <f>'MModule+onboard_volatile'!S78</f>
        <v>600</v>
      </c>
      <c r="T370" s="29">
        <f>'MModule+onboard_volatile'!T78</f>
        <v>0</v>
      </c>
      <c r="U370" s="29">
        <f>'MModule+onboard_volatile'!U78</f>
        <v>0</v>
      </c>
      <c r="V370" s="29">
        <f>'MModule+onboard_volatile'!V78</f>
        <v>0</v>
      </c>
      <c r="W370" s="29">
        <f>'MModule+onboard_volatile'!W78</f>
        <v>0</v>
      </c>
      <c r="X370" s="29">
        <f>'MModule+onboard_volatile'!X78</f>
        <v>0</v>
      </c>
      <c r="Y370" s="29">
        <f>'MModule+onboard_volatile'!Y78</f>
        <v>0</v>
      </c>
      <c r="Z370" s="29" t="e">
        <f>'MModule+onboard_volatile'!#REF!</f>
        <v>#REF!</v>
      </c>
      <c r="AA370" s="29">
        <f>'MModule+onboard_volatile'!Z78</f>
        <v>0</v>
      </c>
      <c r="AB370" s="29">
        <f>'MModule+onboard_volatile'!AA78</f>
        <v>0</v>
      </c>
      <c r="AC370" s="11"/>
    </row>
    <row r="371" spans="3:29">
      <c r="C371" s="98" t="s">
        <v>26</v>
      </c>
      <c r="D371" s="29">
        <f>'MModule+onboard_volatile'!C79</f>
        <v>0</v>
      </c>
      <c r="E371" s="29">
        <f>'MModule+onboard_volatile'!D79</f>
        <v>0</v>
      </c>
      <c r="F371" s="29">
        <f>'MModule+onboard_volatile'!E79</f>
        <v>0</v>
      </c>
      <c r="G371" s="29" t="str">
        <f>'MModule+onboard_volatile'!F79</f>
        <v>E510MA</v>
      </c>
      <c r="H371" s="29" t="str">
        <f>'MModule+onboard_volatile'!G79</f>
        <v>Celeron N4020</v>
      </c>
      <c r="I371" s="29" t="str">
        <f>'MModule+onboard_volatile'!H79</f>
        <v>Imported</v>
      </c>
      <c r="J371" s="29" t="str">
        <f>'MModule+onboard_volatile'!I79</f>
        <v>Asus</v>
      </c>
      <c r="K371" s="29" t="str">
        <f>'MModule+onboard_volatile'!J79</f>
        <v>M on board</v>
      </c>
      <c r="L371" s="29" t="str">
        <f>'MModule+onboard_volatile'!K79</f>
        <v>4GB OB (3200)</v>
      </c>
      <c r="M371" s="29">
        <f>'MModule+onboard_volatile'!L79</f>
        <v>4</v>
      </c>
      <c r="N371" s="29" t="str">
        <f>'MModule+onboard_volatile'!M79</f>
        <v>03012-00020500(2666)
03012-00020700(2666)
03012-00020800
03012-00021000(導入ing)</v>
      </c>
      <c r="O371" s="29">
        <f>'MModule+onboard_volatile'!N79</f>
        <v>0</v>
      </c>
      <c r="P371" s="29">
        <f>'MModule+onboard_volatile'!P79</f>
        <v>0</v>
      </c>
      <c r="Q371" s="29">
        <f>'MModule+onboard_volatile'!Q79</f>
        <v>0</v>
      </c>
      <c r="R371" s="29">
        <f>'MModule+onboard_volatile'!R79</f>
        <v>0</v>
      </c>
      <c r="S371" s="29">
        <f>'MModule+onboard_volatile'!S79</f>
        <v>0</v>
      </c>
      <c r="T371" s="29">
        <f>'MModule+onboard_volatile'!T79</f>
        <v>0</v>
      </c>
      <c r="U371" s="29">
        <f>'MModule+onboard_volatile'!U79</f>
        <v>0</v>
      </c>
      <c r="V371" s="29">
        <f>'MModule+onboard_volatile'!V79</f>
        <v>0</v>
      </c>
      <c r="W371" s="29">
        <f>'MModule+onboard_volatile'!W79</f>
        <v>0</v>
      </c>
      <c r="X371" s="29">
        <f>'MModule+onboard_volatile'!X79</f>
        <v>0</v>
      </c>
      <c r="Y371" s="29">
        <f>'MModule+onboard_volatile'!Y79</f>
        <v>0</v>
      </c>
      <c r="Z371" s="29" t="e">
        <f>'MModule+onboard_volatile'!#REF!</f>
        <v>#REF!</v>
      </c>
      <c r="AA371" s="29">
        <f>'MModule+onboard_volatile'!Z79</f>
        <v>0</v>
      </c>
      <c r="AB371" s="29" t="str">
        <f>'MModule+onboard_volatile'!AA79</f>
        <v>n/a</v>
      </c>
      <c r="AC371" s="11"/>
    </row>
    <row r="372" spans="3:29">
      <c r="C372" s="98" t="s">
        <v>26</v>
      </c>
      <c r="D372" s="29">
        <f>'MModule+onboard_volatile'!C80</f>
        <v>0</v>
      </c>
      <c r="E372" s="29">
        <f>'MModule+onboard_volatile'!D80</f>
        <v>0</v>
      </c>
      <c r="F372" s="29">
        <f>'MModule+onboard_volatile'!E80</f>
        <v>0</v>
      </c>
      <c r="G372" s="29" t="str">
        <f>'MModule+onboard_volatile'!F80</f>
        <v>E510MA</v>
      </c>
      <c r="H372" s="29" t="str">
        <f>'MModule+onboard_volatile'!G80</f>
        <v>Celeron N4020</v>
      </c>
      <c r="I372" s="29" t="str">
        <f>'MModule+onboard_volatile'!H80</f>
        <v>Local</v>
      </c>
      <c r="J372" s="29" t="str">
        <f>'MModule+onboard_volatile'!I80</f>
        <v>SMART</v>
      </c>
      <c r="K372" s="29" t="str">
        <f>'MModule+onboard_volatile'!J80</f>
        <v>M on board</v>
      </c>
      <c r="L372" s="29" t="str">
        <f>'MModule+onboard_volatile'!K80</f>
        <v>4GB OB</v>
      </c>
      <c r="M372" s="29">
        <f>'MModule+onboard_volatile'!L80</f>
        <v>4</v>
      </c>
      <c r="N372" s="29" t="str">
        <f>'MModule+onboard_volatile'!M80</f>
        <v>03012-00021500</v>
      </c>
      <c r="O372" s="29">
        <f>'MModule+onboard_volatile'!N80</f>
        <v>800</v>
      </c>
      <c r="P372" s="29">
        <f>'MModule+onboard_volatile'!P80</f>
        <v>0</v>
      </c>
      <c r="Q372" s="29">
        <f>'MModule+onboard_volatile'!Q80</f>
        <v>0</v>
      </c>
      <c r="R372" s="29">
        <f>'MModule+onboard_volatile'!R80</f>
        <v>2400</v>
      </c>
      <c r="S372" s="29">
        <f>'MModule+onboard_volatile'!S80</f>
        <v>2400</v>
      </c>
      <c r="T372" s="29">
        <f>'MModule+onboard_volatile'!T80</f>
        <v>0</v>
      </c>
      <c r="U372" s="29">
        <f>'MModule+onboard_volatile'!U80</f>
        <v>0</v>
      </c>
      <c r="V372" s="29">
        <f>'MModule+onboard_volatile'!V80</f>
        <v>0</v>
      </c>
      <c r="W372" s="29">
        <f>'MModule+onboard_volatile'!W80</f>
        <v>0</v>
      </c>
      <c r="X372" s="29">
        <f>'MModule+onboard_volatile'!X80</f>
        <v>0</v>
      </c>
      <c r="Y372" s="29">
        <f>'MModule+onboard_volatile'!Y80</f>
        <v>0</v>
      </c>
      <c r="Z372" s="29" t="e">
        <f>'MModule+onboard_volatile'!#REF!</f>
        <v>#REF!</v>
      </c>
      <c r="AA372" s="29">
        <f>'MModule+onboard_volatile'!Z80</f>
        <v>10400</v>
      </c>
      <c r="AB372" s="29" t="str">
        <f>'MModule+onboard_volatile'!AA80</f>
        <v>n/a</v>
      </c>
      <c r="AC372" s="11"/>
    </row>
    <row r="373" spans="3:29">
      <c r="C373" s="98" t="s">
        <v>26</v>
      </c>
      <c r="D373" s="29">
        <f>'MModule+onboard_volatile'!C81</f>
        <v>0</v>
      </c>
      <c r="E373" s="29" t="str">
        <f>'MModule+onboard_volatile'!D81</f>
        <v>FCST</v>
      </c>
      <c r="F373" s="29">
        <f>'MModule+onboard_volatile'!E81</f>
        <v>0</v>
      </c>
      <c r="G373" s="29" t="str">
        <f>'MModule+onboard_volatile'!F81</f>
        <v>E410MA</v>
      </c>
      <c r="H373" s="29" t="str">
        <f>'MModule+onboard_volatile'!G81</f>
        <v>Celeron N4020</v>
      </c>
      <c r="I373" s="29">
        <f>'MModule+onboard_volatile'!H81</f>
        <v>0</v>
      </c>
      <c r="J373" s="29">
        <f>'MModule+onboard_volatile'!I81</f>
        <v>0</v>
      </c>
      <c r="K373" s="29">
        <f>'MModule+onboard_volatile'!J81</f>
        <v>0</v>
      </c>
      <c r="L373" s="29" t="str">
        <f>'MModule+onboard_volatile'!K81</f>
        <v>4GB OB</v>
      </c>
      <c r="M373" s="29">
        <f>'MModule+onboard_volatile'!L81</f>
        <v>0</v>
      </c>
      <c r="N373" s="29">
        <f>'MModule+onboard_volatile'!M81</f>
        <v>0</v>
      </c>
      <c r="O373" s="29">
        <f>'MModule+onboard_volatile'!N81</f>
        <v>0</v>
      </c>
      <c r="P373" s="29">
        <f>'MModule+onboard_volatile'!P81</f>
        <v>0</v>
      </c>
      <c r="Q373" s="29">
        <f>'MModule+onboard_volatile'!Q81</f>
        <v>0</v>
      </c>
      <c r="R373" s="29">
        <f>'MModule+onboard_volatile'!R81</f>
        <v>0</v>
      </c>
      <c r="S373" s="29">
        <f>'MModule+onboard_volatile'!S81</f>
        <v>0</v>
      </c>
      <c r="T373" s="29">
        <f>'MModule+onboard_volatile'!T81</f>
        <v>0</v>
      </c>
      <c r="U373" s="29">
        <f>'MModule+onboard_volatile'!U81</f>
        <v>0</v>
      </c>
      <c r="V373" s="29">
        <f>'MModule+onboard_volatile'!V81</f>
        <v>0</v>
      </c>
      <c r="W373" s="29">
        <f>'MModule+onboard_volatile'!W81</f>
        <v>0</v>
      </c>
      <c r="X373" s="29">
        <f>'MModule+onboard_volatile'!X81</f>
        <v>0</v>
      </c>
      <c r="Y373" s="29">
        <f>'MModule+onboard_volatile'!Y81</f>
        <v>0</v>
      </c>
      <c r="Z373" s="29" t="e">
        <f>'MModule+onboard_volatile'!#REF!</f>
        <v>#REF!</v>
      </c>
      <c r="AA373" s="29">
        <f>'MModule+onboard_volatile'!Z81</f>
        <v>0</v>
      </c>
      <c r="AB373" s="29">
        <f>'MModule+onboard_volatile'!AA81</f>
        <v>0</v>
      </c>
      <c r="AC373" s="11"/>
    </row>
    <row r="374" spans="3:29">
      <c r="C374" s="98" t="s">
        <v>26</v>
      </c>
      <c r="D374" s="29">
        <f>'MModule+onboard_volatile'!C82</f>
        <v>0</v>
      </c>
      <c r="E374" s="29">
        <f>'MModule+onboard_volatile'!D82</f>
        <v>0</v>
      </c>
      <c r="F374" s="29">
        <f>'MModule+onboard_volatile'!E82</f>
        <v>0</v>
      </c>
      <c r="G374" s="29" t="str">
        <f>'MModule+onboard_volatile'!F82</f>
        <v>E410MA</v>
      </c>
      <c r="H374" s="29" t="str">
        <f>'MModule+onboard_volatile'!G82</f>
        <v>Celeron N4020</v>
      </c>
      <c r="I374" s="29" t="str">
        <f>'MModule+onboard_volatile'!H82</f>
        <v>Imported</v>
      </c>
      <c r="J374" s="29" t="str">
        <f>'MModule+onboard_volatile'!I82</f>
        <v>Asus</v>
      </c>
      <c r="K374" s="29" t="str">
        <f>'MModule+onboard_volatile'!J82</f>
        <v>M on board</v>
      </c>
      <c r="L374" s="29" t="str">
        <f>'MModule+onboard_volatile'!K82</f>
        <v>4GB OB (3200)</v>
      </c>
      <c r="M374" s="29">
        <f>'MModule+onboard_volatile'!L82</f>
        <v>4</v>
      </c>
      <c r="N374" s="29" t="str">
        <f>'MModule+onboard_volatile'!M82</f>
        <v>03012-00020500(2666)
03012-00020700(2666)
03012-00020800
03012-00021000(導入ing)</v>
      </c>
      <c r="O374" s="29">
        <f>'MModule+onboard_volatile'!N82</f>
        <v>0</v>
      </c>
      <c r="P374" s="29">
        <f>'MModule+onboard_volatile'!P82</f>
        <v>0</v>
      </c>
      <c r="Q374" s="29">
        <f>'MModule+onboard_volatile'!Q82</f>
        <v>0</v>
      </c>
      <c r="R374" s="29">
        <f>'MModule+onboard_volatile'!R82</f>
        <v>0</v>
      </c>
      <c r="S374" s="29">
        <f>'MModule+onboard_volatile'!S82</f>
        <v>0</v>
      </c>
      <c r="T374" s="29">
        <f>'MModule+onboard_volatile'!T82</f>
        <v>0</v>
      </c>
      <c r="U374" s="29">
        <f>'MModule+onboard_volatile'!U82</f>
        <v>0</v>
      </c>
      <c r="V374" s="29">
        <f>'MModule+onboard_volatile'!V82</f>
        <v>0</v>
      </c>
      <c r="W374" s="29">
        <f>'MModule+onboard_volatile'!W82</f>
        <v>0</v>
      </c>
      <c r="X374" s="29">
        <f>'MModule+onboard_volatile'!X82</f>
        <v>0</v>
      </c>
      <c r="Y374" s="29">
        <f>'MModule+onboard_volatile'!Y82</f>
        <v>0</v>
      </c>
      <c r="Z374" s="29" t="e">
        <f>'MModule+onboard_volatile'!#REF!</f>
        <v>#REF!</v>
      </c>
      <c r="AA374" s="29">
        <f>'MModule+onboard_volatile'!Z82</f>
        <v>0</v>
      </c>
      <c r="AB374" s="29" t="str">
        <f>'MModule+onboard_volatile'!AA82</f>
        <v>n/a</v>
      </c>
      <c r="AC374" s="11"/>
    </row>
    <row r="375" spans="3:29">
      <c r="C375" s="98" t="s">
        <v>26</v>
      </c>
      <c r="D375" s="29">
        <f>'MModule+onboard_volatile'!C83</f>
        <v>0</v>
      </c>
      <c r="E375" s="29">
        <f>'MModule+onboard_volatile'!D83</f>
        <v>0</v>
      </c>
      <c r="F375" s="29">
        <f>'MModule+onboard_volatile'!E83</f>
        <v>0</v>
      </c>
      <c r="G375" s="29" t="str">
        <f>'MModule+onboard_volatile'!F83</f>
        <v>E410MA</v>
      </c>
      <c r="H375" s="29" t="str">
        <f>'MModule+onboard_volatile'!G83</f>
        <v>Celeron N4020</v>
      </c>
      <c r="I375" s="29" t="str">
        <f>'MModule+onboard_volatile'!H83</f>
        <v>Local</v>
      </c>
      <c r="J375" s="29" t="str">
        <f>'MModule+onboard_volatile'!I83</f>
        <v>TBD</v>
      </c>
      <c r="K375" s="29" t="str">
        <f>'MModule+onboard_volatile'!J83</f>
        <v>M on board</v>
      </c>
      <c r="L375" s="29" t="str">
        <f>'MModule+onboard_volatile'!K83</f>
        <v>4GB OB</v>
      </c>
      <c r="M375" s="29">
        <f>'MModule+onboard_volatile'!L83</f>
        <v>4</v>
      </c>
      <c r="N375" s="29">
        <f>'MModule+onboard_volatile'!M83</f>
        <v>0</v>
      </c>
      <c r="O375" s="29">
        <f>'MModule+onboard_volatile'!N83</f>
        <v>0</v>
      </c>
      <c r="P375" s="29">
        <f>'MModule+onboard_volatile'!P83</f>
        <v>0</v>
      </c>
      <c r="Q375" s="29">
        <f>'MModule+onboard_volatile'!Q83</f>
        <v>0</v>
      </c>
      <c r="R375" s="29">
        <f>'MModule+onboard_volatile'!R83</f>
        <v>0</v>
      </c>
      <c r="S375" s="29">
        <f>'MModule+onboard_volatile'!S83</f>
        <v>0</v>
      </c>
      <c r="T375" s="29">
        <f>'MModule+onboard_volatile'!T83</f>
        <v>0</v>
      </c>
      <c r="U375" s="29">
        <f>'MModule+onboard_volatile'!U83</f>
        <v>0</v>
      </c>
      <c r="V375" s="29">
        <f>'MModule+onboard_volatile'!V83</f>
        <v>0</v>
      </c>
      <c r="W375" s="29">
        <f>'MModule+onboard_volatile'!W83</f>
        <v>0</v>
      </c>
      <c r="X375" s="29">
        <f>'MModule+onboard_volatile'!X83</f>
        <v>0</v>
      </c>
      <c r="Y375" s="29">
        <f>'MModule+onboard_volatile'!Y83</f>
        <v>0</v>
      </c>
      <c r="Z375" s="29" t="e">
        <f>'MModule+onboard_volatile'!#REF!</f>
        <v>#REF!</v>
      </c>
      <c r="AA375" s="29">
        <f>'MModule+onboard_volatile'!Z83</f>
        <v>0</v>
      </c>
      <c r="AB375" s="29" t="str">
        <f>'MModule+onboard_volatile'!AA83</f>
        <v>n/a</v>
      </c>
      <c r="AC375" s="11"/>
    </row>
    <row r="376" spans="3:29">
      <c r="C376" s="98" t="s">
        <v>26</v>
      </c>
      <c r="D376" s="29">
        <f>'MModule+onboard_volatile'!C84</f>
        <v>0</v>
      </c>
      <c r="E376" s="29" t="str">
        <f>'MModule+onboard_volatile'!D84</f>
        <v>FCST</v>
      </c>
      <c r="F376" s="29">
        <f>'MModule+onboard_volatile'!E84</f>
        <v>900</v>
      </c>
      <c r="G376" s="29" t="str">
        <f>'MModule+onboard_volatile'!F84</f>
        <v>X513EA</v>
      </c>
      <c r="H376" s="29" t="str">
        <f>'MModule+onboard_volatile'!G84</f>
        <v>Core i5-1135G7</v>
      </c>
      <c r="I376" s="29">
        <f>'MModule+onboard_volatile'!H84</f>
        <v>0</v>
      </c>
      <c r="J376" s="29">
        <f>'MModule+onboard_volatile'!I84</f>
        <v>0</v>
      </c>
      <c r="K376" s="29">
        <f>'MModule+onboard_volatile'!J84</f>
        <v>0</v>
      </c>
      <c r="L376" s="29" t="str">
        <f>'MModule+onboard_volatile'!K84</f>
        <v>8GB</v>
      </c>
      <c r="M376" s="29">
        <f>'MModule+onboard_volatile'!L84</f>
        <v>0</v>
      </c>
      <c r="N376" s="29">
        <f>'MModule+onboard_volatile'!M84</f>
        <v>0</v>
      </c>
      <c r="O376" s="29">
        <f>'MModule+onboard_volatile'!N84</f>
        <v>130</v>
      </c>
      <c r="P376" s="29">
        <f>'MModule+onboard_volatile'!P84</f>
        <v>0</v>
      </c>
      <c r="Q376" s="29">
        <f>'MModule+onboard_volatile'!Q84</f>
        <v>0</v>
      </c>
      <c r="R376" s="29">
        <f>'MModule+onboard_volatile'!R84</f>
        <v>0</v>
      </c>
      <c r="S376" s="29">
        <f>'MModule+onboard_volatile'!S84</f>
        <v>0</v>
      </c>
      <c r="T376" s="29">
        <f>'MModule+onboard_volatile'!T84</f>
        <v>0</v>
      </c>
      <c r="U376" s="29">
        <f>'MModule+onboard_volatile'!U84</f>
        <v>0</v>
      </c>
      <c r="V376" s="29">
        <f>'MModule+onboard_volatile'!V84</f>
        <v>0</v>
      </c>
      <c r="W376" s="29">
        <f>'MModule+onboard_volatile'!W84</f>
        <v>0</v>
      </c>
      <c r="X376" s="29">
        <f>'MModule+onboard_volatile'!X84</f>
        <v>0</v>
      </c>
      <c r="Y376" s="29">
        <f>'MModule+onboard_volatile'!Y84</f>
        <v>0</v>
      </c>
      <c r="Z376" s="29" t="e">
        <f>'MModule+onboard_volatile'!#REF!</f>
        <v>#REF!</v>
      </c>
      <c r="AA376" s="29">
        <f>'MModule+onboard_volatile'!Z84</f>
        <v>0</v>
      </c>
      <c r="AB376" s="29">
        <f>'MModule+onboard_volatile'!AA84</f>
        <v>0</v>
      </c>
      <c r="AC376" s="11"/>
    </row>
    <row r="377" spans="3:29">
      <c r="C377" s="98" t="s">
        <v>26</v>
      </c>
      <c r="D377" s="29">
        <f>'MModule+onboard_volatile'!C85</f>
        <v>0</v>
      </c>
      <c r="E377" s="29">
        <f>'MModule+onboard_volatile'!D85</f>
        <v>0</v>
      </c>
      <c r="F377" s="29">
        <f>'MModule+onboard_volatile'!E85</f>
        <v>0</v>
      </c>
      <c r="G377" s="29" t="str">
        <f>'MModule+onboard_volatile'!F85</f>
        <v>X513EA</v>
      </c>
      <c r="H377" s="29" t="str">
        <f>'MModule+onboard_volatile'!G85</f>
        <v>Core i5-1135G7</v>
      </c>
      <c r="I377" s="29" t="str">
        <f>'MModule+onboard_volatile'!H85</f>
        <v>Imported</v>
      </c>
      <c r="J377" s="29" t="str">
        <f>'MModule+onboard_volatile'!I85</f>
        <v>Asus</v>
      </c>
      <c r="K377" s="29" t="str">
        <f>'MModule+onboard_volatile'!J85</f>
        <v>Mmodule</v>
      </c>
      <c r="L377" s="29" t="str">
        <f>'MModule+onboard_volatile'!K85</f>
        <v>4GB (3200)</v>
      </c>
      <c r="M377" s="29">
        <f>'MModule+onboard_volatile'!L85</f>
        <v>4</v>
      </c>
      <c r="N377" s="29" t="str">
        <f>'MModule+onboard_volatile'!M85</f>
        <v>03A08-00042300
03A08-00042400
03A08-00043300</v>
      </c>
      <c r="O377" s="29">
        <f>'MModule+onboard_volatile'!N85</f>
        <v>0</v>
      </c>
      <c r="P377" s="29">
        <f>'MModule+onboard_volatile'!P85</f>
        <v>0</v>
      </c>
      <c r="Q377" s="29">
        <f>'MModule+onboard_volatile'!Q85</f>
        <v>0</v>
      </c>
      <c r="R377" s="29">
        <f>'MModule+onboard_volatile'!R85</f>
        <v>0</v>
      </c>
      <c r="S377" s="29">
        <f>'MModule+onboard_volatile'!S85</f>
        <v>0</v>
      </c>
      <c r="T377" s="29">
        <f>'MModule+onboard_volatile'!T85</f>
        <v>0</v>
      </c>
      <c r="U377" s="29">
        <f>'MModule+onboard_volatile'!U85</f>
        <v>0</v>
      </c>
      <c r="V377" s="29">
        <f>'MModule+onboard_volatile'!V85</f>
        <v>0</v>
      </c>
      <c r="W377" s="29">
        <f>'MModule+onboard_volatile'!W85</f>
        <v>0</v>
      </c>
      <c r="X377" s="29">
        <f>'MModule+onboard_volatile'!X85</f>
        <v>0</v>
      </c>
      <c r="Y377" s="29">
        <f>'MModule+onboard_volatile'!Y85</f>
        <v>0</v>
      </c>
      <c r="Z377" s="29" t="e">
        <f>'MModule+onboard_volatile'!#REF!</f>
        <v>#REF!</v>
      </c>
      <c r="AA377" s="29">
        <f>'MModule+onboard_volatile'!Z85</f>
        <v>0</v>
      </c>
      <c r="AB377" s="29">
        <f>'MModule+onboard_volatile'!AA85</f>
        <v>0</v>
      </c>
      <c r="AC377" s="11"/>
    </row>
    <row r="378" spans="3:29">
      <c r="C378" s="98" t="s">
        <v>26</v>
      </c>
      <c r="D378" s="29">
        <f>'MModule+onboard_volatile'!C86</f>
        <v>0</v>
      </c>
      <c r="E378" s="29">
        <f>'MModule+onboard_volatile'!D86</f>
        <v>0</v>
      </c>
      <c r="F378" s="29">
        <f>'MModule+onboard_volatile'!E86</f>
        <v>0</v>
      </c>
      <c r="G378" s="29" t="str">
        <f>'MModule+onboard_volatile'!F86</f>
        <v>X513EA</v>
      </c>
      <c r="H378" s="29" t="str">
        <f>'MModule+onboard_volatile'!G86</f>
        <v>Core i5-1135G7</v>
      </c>
      <c r="I378" s="29" t="str">
        <f>'MModule+onboard_volatile'!H86</f>
        <v>Local</v>
      </c>
      <c r="J378" s="29" t="str">
        <f>'MModule+onboard_volatile'!I86</f>
        <v>SMART</v>
      </c>
      <c r="K378" s="29" t="str">
        <f>'MModule+onboard_volatile'!J86</f>
        <v>Mmodule</v>
      </c>
      <c r="L378" s="29" t="str">
        <f>'MModule+onboard_volatile'!K86</f>
        <v>4GB (3200)</v>
      </c>
      <c r="M378" s="29">
        <f>'MModule+onboard_volatile'!L86</f>
        <v>4</v>
      </c>
      <c r="N378" s="29" t="str">
        <f>'MModule+onboard_volatile'!M86</f>
        <v>03A08-00043900</v>
      </c>
      <c r="O378" s="29">
        <f>'MModule+onboard_volatile'!N86</f>
        <v>130</v>
      </c>
      <c r="P378" s="29">
        <f>'MModule+onboard_volatile'!P86</f>
        <v>0</v>
      </c>
      <c r="Q378" s="29">
        <f>'MModule+onboard_volatile'!Q86</f>
        <v>0</v>
      </c>
      <c r="R378" s="29">
        <f>'MModule+onboard_volatile'!R86</f>
        <v>0</v>
      </c>
      <c r="S378" s="29">
        <f>'MModule+onboard_volatile'!S86</f>
        <v>0</v>
      </c>
      <c r="T378" s="29">
        <f>'MModule+onboard_volatile'!T86</f>
        <v>0</v>
      </c>
      <c r="U378" s="29">
        <f>'MModule+onboard_volatile'!U86</f>
        <v>0</v>
      </c>
      <c r="V378" s="29">
        <f>'MModule+onboard_volatile'!V86</f>
        <v>0</v>
      </c>
      <c r="W378" s="29">
        <f>'MModule+onboard_volatile'!W86</f>
        <v>0</v>
      </c>
      <c r="X378" s="29">
        <f>'MModule+onboard_volatile'!X86</f>
        <v>0</v>
      </c>
      <c r="Y378" s="29">
        <f>'MModule+onboard_volatile'!Y86</f>
        <v>0</v>
      </c>
      <c r="Z378" s="29" t="e">
        <f>'MModule+onboard_volatile'!#REF!</f>
        <v>#REF!</v>
      </c>
      <c r="AA378" s="29">
        <f>'MModule+onboard_volatile'!Z86</f>
        <v>3600</v>
      </c>
      <c r="AB378" s="29">
        <f>'MModule+onboard_volatile'!AA86</f>
        <v>900</v>
      </c>
      <c r="AC378" s="11"/>
    </row>
    <row r="379" spans="3:29">
      <c r="C379" s="98" t="s">
        <v>26</v>
      </c>
      <c r="D379" s="29">
        <f>'MModule+onboard_volatile'!C87</f>
        <v>0</v>
      </c>
      <c r="E379" s="29">
        <f>'MModule+onboard_volatile'!D87</f>
        <v>0</v>
      </c>
      <c r="F379" s="29">
        <f>'MModule+onboard_volatile'!E87</f>
        <v>0</v>
      </c>
      <c r="G379" s="29" t="str">
        <f>'MModule+onboard_volatile'!F87</f>
        <v>X513EA</v>
      </c>
      <c r="H379" s="29" t="str">
        <f>'MModule+onboard_volatile'!G87</f>
        <v>Core i5-1135G7</v>
      </c>
      <c r="I379" s="29" t="str">
        <f>'MModule+onboard_volatile'!H87</f>
        <v>Local</v>
      </c>
      <c r="J379" s="29" t="str">
        <f>'MModule+onboard_volatile'!I87</f>
        <v>TBD</v>
      </c>
      <c r="K379" s="29" t="str">
        <f>'MModule+onboard_volatile'!J87</f>
        <v>Mmodule</v>
      </c>
      <c r="L379" s="29" t="str">
        <f>'MModule+onboard_volatile'!K87</f>
        <v>4GB (3200)</v>
      </c>
      <c r="M379" s="29">
        <f>'MModule+onboard_volatile'!L87</f>
        <v>4</v>
      </c>
      <c r="N379" s="29">
        <f>'MModule+onboard_volatile'!M87</f>
        <v>0</v>
      </c>
      <c r="O379" s="29">
        <f>'MModule+onboard_volatile'!N87</f>
        <v>0</v>
      </c>
      <c r="P379" s="29">
        <f>'MModule+onboard_volatile'!P87</f>
        <v>0</v>
      </c>
      <c r="Q379" s="29">
        <f>'MModule+onboard_volatile'!Q87</f>
        <v>0</v>
      </c>
      <c r="R379" s="29">
        <f>'MModule+onboard_volatile'!R87</f>
        <v>0</v>
      </c>
      <c r="S379" s="29">
        <f>'MModule+onboard_volatile'!S87</f>
        <v>0</v>
      </c>
      <c r="T379" s="29">
        <f>'MModule+onboard_volatile'!T87</f>
        <v>0</v>
      </c>
      <c r="U379" s="29">
        <f>'MModule+onboard_volatile'!U87</f>
        <v>0</v>
      </c>
      <c r="V379" s="29">
        <f>'MModule+onboard_volatile'!V87</f>
        <v>0</v>
      </c>
      <c r="W379" s="29">
        <f>'MModule+onboard_volatile'!W87</f>
        <v>0</v>
      </c>
      <c r="X379" s="29">
        <f>'MModule+onboard_volatile'!X87</f>
        <v>0</v>
      </c>
      <c r="Y379" s="29">
        <f>'MModule+onboard_volatile'!Y87</f>
        <v>0</v>
      </c>
      <c r="Z379" s="29" t="e">
        <f>'MModule+onboard_volatile'!#REF!</f>
        <v>#REF!</v>
      </c>
      <c r="AA379" s="29">
        <f>'MModule+onboard_volatile'!Z87</f>
        <v>0</v>
      </c>
      <c r="AB379" s="29">
        <f>'MModule+onboard_volatile'!AA87</f>
        <v>0</v>
      </c>
      <c r="AC379" s="11"/>
    </row>
    <row r="380" spans="3:29">
      <c r="C380" s="98" t="s">
        <v>26</v>
      </c>
      <c r="D380" s="29">
        <f>'MModule+onboard_volatile'!C88</f>
        <v>0</v>
      </c>
      <c r="E380" s="29">
        <f>'MModule+onboard_volatile'!D88</f>
        <v>0</v>
      </c>
      <c r="F380" s="29">
        <f>'MModule+onboard_volatile'!E88</f>
        <v>0</v>
      </c>
      <c r="G380" s="29" t="str">
        <f>'MModule+onboard_volatile'!F88</f>
        <v>X513EA</v>
      </c>
      <c r="H380" s="29" t="str">
        <f>'MModule+onboard_volatile'!G88</f>
        <v>Core i5-1135G7</v>
      </c>
      <c r="I380" s="29" t="str">
        <f>'MModule+onboard_volatile'!H88</f>
        <v>Imported</v>
      </c>
      <c r="J380" s="29" t="str">
        <f>'MModule+onboard_volatile'!I88</f>
        <v>Asus</v>
      </c>
      <c r="K380" s="29" t="str">
        <f>'MModule+onboard_volatile'!J88</f>
        <v>M on board</v>
      </c>
      <c r="L380" s="29" t="str">
        <f>'MModule+onboard_volatile'!K88</f>
        <v>4GB OB (3200)</v>
      </c>
      <c r="M380" s="29">
        <f>'MModule+onboard_volatile'!L88</f>
        <v>4</v>
      </c>
      <c r="N380" s="29" t="str">
        <f>'MModule+onboard_volatile'!M88</f>
        <v>03012-00020900
03012-00021000</v>
      </c>
      <c r="O380" s="29">
        <f>'MModule+onboard_volatile'!N88</f>
        <v>520</v>
      </c>
      <c r="P380" s="29">
        <f>'MModule+onboard_volatile'!P88</f>
        <v>0</v>
      </c>
      <c r="Q380" s="29">
        <f>'MModule+onboard_volatile'!Q88</f>
        <v>0</v>
      </c>
      <c r="R380" s="29">
        <f>'MModule+onboard_volatile'!R88</f>
        <v>0</v>
      </c>
      <c r="S380" s="29">
        <f>'MModule+onboard_volatile'!S88</f>
        <v>0</v>
      </c>
      <c r="T380" s="29">
        <f>'MModule+onboard_volatile'!T88</f>
        <v>0</v>
      </c>
      <c r="U380" s="29">
        <f>'MModule+onboard_volatile'!U88</f>
        <v>0</v>
      </c>
      <c r="V380" s="29">
        <f>'MModule+onboard_volatile'!V88</f>
        <v>0</v>
      </c>
      <c r="W380" s="29">
        <f>'MModule+onboard_volatile'!W88</f>
        <v>0</v>
      </c>
      <c r="X380" s="29">
        <f>'MModule+onboard_volatile'!X88</f>
        <v>0</v>
      </c>
      <c r="Y380" s="29">
        <f>'MModule+onboard_volatile'!Y88</f>
        <v>0</v>
      </c>
      <c r="Z380" s="29" t="e">
        <f>'MModule+onboard_volatile'!#REF!</f>
        <v>#REF!</v>
      </c>
      <c r="AA380" s="29">
        <f>'MModule+onboard_volatile'!Z88</f>
        <v>3600</v>
      </c>
      <c r="AB380" s="29" t="str">
        <f>'MModule+onboard_volatile'!AA88</f>
        <v>n/a</v>
      </c>
      <c r="AC380" s="11"/>
    </row>
    <row r="381" spans="3:29">
      <c r="C381" s="98" t="s">
        <v>26</v>
      </c>
      <c r="D381" s="29">
        <f>'MModule+onboard_volatile'!C89</f>
        <v>0</v>
      </c>
      <c r="E381" s="29" t="str">
        <f>'MModule+onboard_volatile'!D89</f>
        <v>FCST</v>
      </c>
      <c r="F381" s="29">
        <f>'MModule+onboard_volatile'!E89</f>
        <v>50</v>
      </c>
      <c r="G381" s="29" t="str">
        <f>'MModule+onboard_volatile'!F89</f>
        <v>X513EA</v>
      </c>
      <c r="H381" s="29" t="str">
        <f>'MModule+onboard_volatile'!G89</f>
        <v>Core i5-1135G7</v>
      </c>
      <c r="I381" s="29">
        <f>'MModule+onboard_volatile'!H89</f>
        <v>0</v>
      </c>
      <c r="J381" s="29">
        <f>'MModule+onboard_volatile'!I89</f>
        <v>0</v>
      </c>
      <c r="K381" s="29">
        <f>'MModule+onboard_volatile'!J89</f>
        <v>0</v>
      </c>
      <c r="L381" s="29" t="str">
        <f>'MModule+onboard_volatile'!K89</f>
        <v>16GB</v>
      </c>
      <c r="M381" s="29">
        <f>'MModule+onboard_volatile'!L89</f>
        <v>0</v>
      </c>
      <c r="N381" s="29">
        <f>'MModule+onboard_volatile'!M89</f>
        <v>0</v>
      </c>
      <c r="O381" s="29">
        <f>'MModule+onboard_volatile'!N89</f>
        <v>20</v>
      </c>
      <c r="P381" s="29">
        <f>'MModule+onboard_volatile'!P89</f>
        <v>0</v>
      </c>
      <c r="Q381" s="29">
        <f>'MModule+onboard_volatile'!Q89</f>
        <v>0</v>
      </c>
      <c r="R381" s="29">
        <f>'MModule+onboard_volatile'!R89</f>
        <v>0</v>
      </c>
      <c r="S381" s="29">
        <f>'MModule+onboard_volatile'!S89</f>
        <v>0</v>
      </c>
      <c r="T381" s="29">
        <f>'MModule+onboard_volatile'!T89</f>
        <v>0</v>
      </c>
      <c r="U381" s="29">
        <f>'MModule+onboard_volatile'!U89</f>
        <v>0</v>
      </c>
      <c r="V381" s="29">
        <f>'MModule+onboard_volatile'!V89</f>
        <v>0</v>
      </c>
      <c r="W381" s="29">
        <f>'MModule+onboard_volatile'!W89</f>
        <v>0</v>
      </c>
      <c r="X381" s="29">
        <f>'MModule+onboard_volatile'!X89</f>
        <v>0</v>
      </c>
      <c r="Y381" s="29">
        <f>'MModule+onboard_volatile'!Y89</f>
        <v>0</v>
      </c>
      <c r="Z381" s="29" t="e">
        <f>'MModule+onboard_volatile'!#REF!</f>
        <v>#REF!</v>
      </c>
      <c r="AA381" s="29">
        <f>'MModule+onboard_volatile'!Z89</f>
        <v>0</v>
      </c>
      <c r="AB381" s="29">
        <f>'MModule+onboard_volatile'!AA89</f>
        <v>0</v>
      </c>
      <c r="AC381" s="11"/>
    </row>
    <row r="382" spans="3:29">
      <c r="C382" s="98" t="s">
        <v>26</v>
      </c>
      <c r="D382" s="29">
        <f>'MModule+onboard_volatile'!C90</f>
        <v>0</v>
      </c>
      <c r="E382" s="29">
        <f>'MModule+onboard_volatile'!D90</f>
        <v>0</v>
      </c>
      <c r="F382" s="29">
        <f>'MModule+onboard_volatile'!E90</f>
        <v>0</v>
      </c>
      <c r="G382" s="29" t="str">
        <f>'MModule+onboard_volatile'!F90</f>
        <v>X513EA</v>
      </c>
      <c r="H382" s="29" t="str">
        <f>'MModule+onboard_volatile'!G90</f>
        <v>Core i5-1135G7</v>
      </c>
      <c r="I382" s="29" t="str">
        <f>'MModule+onboard_volatile'!H90</f>
        <v>Imported</v>
      </c>
      <c r="J382" s="29" t="str">
        <f>'MModule+onboard_volatile'!I90</f>
        <v>Asus</v>
      </c>
      <c r="K382" s="29" t="str">
        <f>'MModule+onboard_volatile'!J90</f>
        <v>Mmodule</v>
      </c>
      <c r="L382" s="29" t="str">
        <f>'MModule+onboard_volatile'!K90</f>
        <v>8GB (3200)</v>
      </c>
      <c r="M382" s="29">
        <f>'MModule+onboard_volatile'!L90</f>
        <v>8</v>
      </c>
      <c r="N382" s="29" t="str">
        <f>'MModule+onboard_volatile'!M90</f>
        <v>03A08-00052400
03A08-00052700
03A08-00053900</v>
      </c>
      <c r="O382" s="29">
        <f>'MModule+onboard_volatile'!N90</f>
        <v>0</v>
      </c>
      <c r="P382" s="29">
        <f>'MModule+onboard_volatile'!P90</f>
        <v>0</v>
      </c>
      <c r="Q382" s="29">
        <f>'MModule+onboard_volatile'!Q90</f>
        <v>0</v>
      </c>
      <c r="R382" s="29">
        <f>'MModule+onboard_volatile'!R90</f>
        <v>0</v>
      </c>
      <c r="S382" s="29">
        <f>'MModule+onboard_volatile'!S90</f>
        <v>0</v>
      </c>
      <c r="T382" s="29">
        <f>'MModule+onboard_volatile'!T90</f>
        <v>0</v>
      </c>
      <c r="U382" s="29">
        <f>'MModule+onboard_volatile'!U90</f>
        <v>0</v>
      </c>
      <c r="V382" s="29">
        <f>'MModule+onboard_volatile'!V90</f>
        <v>0</v>
      </c>
      <c r="W382" s="29">
        <f>'MModule+onboard_volatile'!W90</f>
        <v>0</v>
      </c>
      <c r="X382" s="29">
        <f>'MModule+onboard_volatile'!X90</f>
        <v>0</v>
      </c>
      <c r="Y382" s="29">
        <f>'MModule+onboard_volatile'!Y90</f>
        <v>0</v>
      </c>
      <c r="Z382" s="29" t="e">
        <f>'MModule+onboard_volatile'!#REF!</f>
        <v>#REF!</v>
      </c>
      <c r="AA382" s="29">
        <f>'MModule+onboard_volatile'!Z90</f>
        <v>0</v>
      </c>
      <c r="AB382" s="29">
        <f>'MModule+onboard_volatile'!AA90</f>
        <v>0</v>
      </c>
      <c r="AC382" s="11"/>
    </row>
    <row r="383" spans="3:29">
      <c r="C383" s="98" t="s">
        <v>26</v>
      </c>
      <c r="D383" s="29">
        <f>'MModule+onboard_volatile'!C91</f>
        <v>0</v>
      </c>
      <c r="E383" s="29">
        <f>'MModule+onboard_volatile'!D91</f>
        <v>0</v>
      </c>
      <c r="F383" s="29">
        <f>'MModule+onboard_volatile'!E91</f>
        <v>0</v>
      </c>
      <c r="G383" s="29" t="str">
        <f>'MModule+onboard_volatile'!F91</f>
        <v>X513EA</v>
      </c>
      <c r="H383" s="29" t="str">
        <f>'MModule+onboard_volatile'!G91</f>
        <v>Core i5-1135G7</v>
      </c>
      <c r="I383" s="29" t="str">
        <f>'MModule+onboard_volatile'!H91</f>
        <v>Local</v>
      </c>
      <c r="J383" s="29" t="str">
        <f>'MModule+onboard_volatile'!I91</f>
        <v>SMART</v>
      </c>
      <c r="K383" s="29" t="str">
        <f>'MModule+onboard_volatile'!J91</f>
        <v>Mmodule</v>
      </c>
      <c r="L383" s="29" t="str">
        <f>'MModule+onboard_volatile'!K91</f>
        <v>8GB (3200)</v>
      </c>
      <c r="M383" s="29">
        <f>'MModule+onboard_volatile'!L91</f>
        <v>8</v>
      </c>
      <c r="N383" s="29" t="str">
        <f>'MModule+onboard_volatile'!M91</f>
        <v>03A08-00054600</v>
      </c>
      <c r="O383" s="29">
        <f>'MModule+onboard_volatile'!N91</f>
        <v>20</v>
      </c>
      <c r="P383" s="29">
        <f>'MModule+onboard_volatile'!P91</f>
        <v>0</v>
      </c>
      <c r="Q383" s="29">
        <f>'MModule+onboard_volatile'!Q91</f>
        <v>0</v>
      </c>
      <c r="R383" s="29">
        <f>'MModule+onboard_volatile'!R91</f>
        <v>0</v>
      </c>
      <c r="S383" s="29">
        <f>'MModule+onboard_volatile'!S91</f>
        <v>0</v>
      </c>
      <c r="T383" s="29">
        <f>'MModule+onboard_volatile'!T91</f>
        <v>0</v>
      </c>
      <c r="U383" s="29">
        <f>'MModule+onboard_volatile'!U91</f>
        <v>0</v>
      </c>
      <c r="V383" s="29">
        <f>'MModule+onboard_volatile'!V91</f>
        <v>0</v>
      </c>
      <c r="W383" s="29">
        <f>'MModule+onboard_volatile'!W91</f>
        <v>0</v>
      </c>
      <c r="X383" s="29">
        <f>'MModule+onboard_volatile'!X91</f>
        <v>0</v>
      </c>
      <c r="Y383" s="29">
        <f>'MModule+onboard_volatile'!Y91</f>
        <v>0</v>
      </c>
      <c r="Z383" s="29" t="e">
        <f>'MModule+onboard_volatile'!#REF!</f>
        <v>#REF!</v>
      </c>
      <c r="AA383" s="29">
        <f>'MModule+onboard_volatile'!Z91</f>
        <v>400</v>
      </c>
      <c r="AB383" s="29">
        <f>'MModule+onboard_volatile'!AA91</f>
        <v>50</v>
      </c>
      <c r="AC383" s="11"/>
    </row>
    <row r="384" spans="3:29">
      <c r="C384" s="98" t="s">
        <v>26</v>
      </c>
      <c r="D384" s="29">
        <f>'MModule+onboard_volatile'!C92</f>
        <v>0</v>
      </c>
      <c r="E384" s="29">
        <f>'MModule+onboard_volatile'!D92</f>
        <v>0</v>
      </c>
      <c r="F384" s="29">
        <f>'MModule+onboard_volatile'!E92</f>
        <v>0</v>
      </c>
      <c r="G384" s="29" t="str">
        <f>'MModule+onboard_volatile'!F92</f>
        <v>X513EA</v>
      </c>
      <c r="H384" s="29" t="str">
        <f>'MModule+onboard_volatile'!G92</f>
        <v>Core i5-1135G7</v>
      </c>
      <c r="I384" s="29" t="str">
        <f>'MModule+onboard_volatile'!H92</f>
        <v>Local</v>
      </c>
      <c r="J384" s="29" t="str">
        <f>'MModule+onboard_volatile'!I92</f>
        <v>TBD</v>
      </c>
      <c r="K384" s="29" t="str">
        <f>'MModule+onboard_volatile'!J92</f>
        <v>Mmodule</v>
      </c>
      <c r="L384" s="29" t="str">
        <f>'MModule+onboard_volatile'!K92</f>
        <v>8GB (3200)</v>
      </c>
      <c r="M384" s="29">
        <f>'MModule+onboard_volatile'!L92</f>
        <v>8</v>
      </c>
      <c r="N384" s="29">
        <f>'MModule+onboard_volatile'!M92</f>
        <v>0</v>
      </c>
      <c r="O384" s="29">
        <f>'MModule+onboard_volatile'!N92</f>
        <v>0</v>
      </c>
      <c r="P384" s="29">
        <f>'MModule+onboard_volatile'!P92</f>
        <v>0</v>
      </c>
      <c r="Q384" s="29">
        <f>'MModule+onboard_volatile'!Q92</f>
        <v>0</v>
      </c>
      <c r="R384" s="29">
        <f>'MModule+onboard_volatile'!R92</f>
        <v>0</v>
      </c>
      <c r="S384" s="29">
        <f>'MModule+onboard_volatile'!S92</f>
        <v>0</v>
      </c>
      <c r="T384" s="29">
        <f>'MModule+onboard_volatile'!T92</f>
        <v>0</v>
      </c>
      <c r="U384" s="29">
        <f>'MModule+onboard_volatile'!U92</f>
        <v>0</v>
      </c>
      <c r="V384" s="29">
        <f>'MModule+onboard_volatile'!V92</f>
        <v>0</v>
      </c>
      <c r="W384" s="29">
        <f>'MModule+onboard_volatile'!W92</f>
        <v>0</v>
      </c>
      <c r="X384" s="29">
        <f>'MModule+onboard_volatile'!X92</f>
        <v>0</v>
      </c>
      <c r="Y384" s="29">
        <f>'MModule+onboard_volatile'!Y92</f>
        <v>0</v>
      </c>
      <c r="Z384" s="29" t="e">
        <f>'MModule+onboard_volatile'!#REF!</f>
        <v>#REF!</v>
      </c>
      <c r="AA384" s="29">
        <f>'MModule+onboard_volatile'!Z92</f>
        <v>0</v>
      </c>
      <c r="AB384" s="29">
        <f>'MModule+onboard_volatile'!AA92</f>
        <v>0</v>
      </c>
      <c r="AC384" s="11"/>
    </row>
    <row r="385" spans="3:29">
      <c r="C385" s="98" t="s">
        <v>26</v>
      </c>
      <c r="D385" s="29">
        <f>'MModule+onboard_volatile'!C93</f>
        <v>0</v>
      </c>
      <c r="E385" s="29">
        <f>'MModule+onboard_volatile'!D93</f>
        <v>0</v>
      </c>
      <c r="F385" s="29">
        <f>'MModule+onboard_volatile'!E93</f>
        <v>0</v>
      </c>
      <c r="G385" s="29" t="str">
        <f>'MModule+onboard_volatile'!F93</f>
        <v>X513EA</v>
      </c>
      <c r="H385" s="29" t="str">
        <f>'MModule+onboard_volatile'!G93</f>
        <v>Core i5-1135G7</v>
      </c>
      <c r="I385" s="29" t="str">
        <f>'MModule+onboard_volatile'!H93</f>
        <v>Imported</v>
      </c>
      <c r="J385" s="29" t="str">
        <f>'MModule+onboard_volatile'!I93</f>
        <v>Asus</v>
      </c>
      <c r="K385" s="29" t="str">
        <f>'MModule+onboard_volatile'!J93</f>
        <v>M on board</v>
      </c>
      <c r="L385" s="29" t="str">
        <f>'MModule+onboard_volatile'!K93</f>
        <v>8GB OB</v>
      </c>
      <c r="M385" s="29">
        <f>'MModule+onboard_volatile'!L93</f>
        <v>4</v>
      </c>
      <c r="N385" s="29" t="str">
        <f>'MModule+onboard_volatile'!M93</f>
        <v>03012-00040600
03012-00040700
03012-00040800(導入ing)</v>
      </c>
      <c r="O385" s="29">
        <f>'MModule+onboard_volatile'!N93</f>
        <v>80</v>
      </c>
      <c r="P385" s="29">
        <f>'MModule+onboard_volatile'!P93</f>
        <v>0</v>
      </c>
      <c r="Q385" s="29">
        <f>'MModule+onboard_volatile'!Q93</f>
        <v>0</v>
      </c>
      <c r="R385" s="29">
        <f>'MModule+onboard_volatile'!R93</f>
        <v>0</v>
      </c>
      <c r="S385" s="29">
        <f>'MModule+onboard_volatile'!S93</f>
        <v>0</v>
      </c>
      <c r="T385" s="29">
        <f>'MModule+onboard_volatile'!T93</f>
        <v>0</v>
      </c>
      <c r="U385" s="29">
        <f>'MModule+onboard_volatile'!U93</f>
        <v>0</v>
      </c>
      <c r="V385" s="29">
        <f>'MModule+onboard_volatile'!V93</f>
        <v>0</v>
      </c>
      <c r="W385" s="29">
        <f>'MModule+onboard_volatile'!W93</f>
        <v>0</v>
      </c>
      <c r="X385" s="29">
        <f>'MModule+onboard_volatile'!X93</f>
        <v>0</v>
      </c>
      <c r="Y385" s="29">
        <f>'MModule+onboard_volatile'!Y93</f>
        <v>0</v>
      </c>
      <c r="Z385" s="29" t="e">
        <f>'MModule+onboard_volatile'!#REF!</f>
        <v>#REF!</v>
      </c>
      <c r="AA385" s="29">
        <f>'MModule+onboard_volatile'!Z93</f>
        <v>200</v>
      </c>
      <c r="AB385" s="29" t="str">
        <f>'MModule+onboard_volatile'!AA93</f>
        <v>n/a</v>
      </c>
      <c r="AC385" s="11"/>
    </row>
    <row r="386" spans="3:29">
      <c r="C386" s="98" t="s">
        <v>26</v>
      </c>
      <c r="D386" s="29">
        <f>'MModule+onboard_volatile'!C94</f>
        <v>0</v>
      </c>
      <c r="E386" s="29" t="str">
        <f>'MModule+onboard_volatile'!D94</f>
        <v>FCST</v>
      </c>
      <c r="F386" s="29">
        <f>'MModule+onboard_volatile'!E94</f>
        <v>750</v>
      </c>
      <c r="G386" s="29" t="str">
        <f>'MModule+onboard_volatile'!F94</f>
        <v>X513EA</v>
      </c>
      <c r="H386" s="29" t="str">
        <f>'MModule+onboard_volatile'!G94</f>
        <v>Core i7-1165G7</v>
      </c>
      <c r="I386" s="29">
        <f>'MModule+onboard_volatile'!H94</f>
        <v>0</v>
      </c>
      <c r="J386" s="29">
        <f>'MModule+onboard_volatile'!I94</f>
        <v>0</v>
      </c>
      <c r="K386" s="29">
        <f>'MModule+onboard_volatile'!J94</f>
        <v>0</v>
      </c>
      <c r="L386" s="29" t="str">
        <f>'MModule+onboard_volatile'!K94</f>
        <v>8GB</v>
      </c>
      <c r="M386" s="29">
        <f>'MModule+onboard_volatile'!L94</f>
        <v>0</v>
      </c>
      <c r="N386" s="29">
        <f>'MModule+onboard_volatile'!M94</f>
        <v>0</v>
      </c>
      <c r="O386" s="29">
        <f>'MModule+onboard_volatile'!N94</f>
        <v>150</v>
      </c>
      <c r="P386" s="29">
        <f>'MModule+onboard_volatile'!P94</f>
        <v>0</v>
      </c>
      <c r="Q386" s="29">
        <f>'MModule+onboard_volatile'!Q94</f>
        <v>0</v>
      </c>
      <c r="R386" s="29">
        <f>'MModule+onboard_volatile'!R94</f>
        <v>0</v>
      </c>
      <c r="S386" s="29">
        <f>'MModule+onboard_volatile'!S94</f>
        <v>0</v>
      </c>
      <c r="T386" s="29">
        <f>'MModule+onboard_volatile'!T94</f>
        <v>0</v>
      </c>
      <c r="U386" s="29">
        <f>'MModule+onboard_volatile'!U94</f>
        <v>0</v>
      </c>
      <c r="V386" s="29">
        <f>'MModule+onboard_volatile'!V94</f>
        <v>0</v>
      </c>
      <c r="W386" s="29">
        <f>'MModule+onboard_volatile'!W94</f>
        <v>0</v>
      </c>
      <c r="X386" s="29">
        <f>'MModule+onboard_volatile'!X94</f>
        <v>0</v>
      </c>
      <c r="Y386" s="29">
        <f>'MModule+onboard_volatile'!Y94</f>
        <v>0</v>
      </c>
      <c r="Z386" s="29" t="e">
        <f>'MModule+onboard_volatile'!#REF!</f>
        <v>#REF!</v>
      </c>
      <c r="AA386" s="29">
        <f>'MModule+onboard_volatile'!Z94</f>
        <v>0</v>
      </c>
      <c r="AB386" s="29">
        <f>'MModule+onboard_volatile'!AA94</f>
        <v>0</v>
      </c>
      <c r="AC386" s="11"/>
    </row>
    <row r="387" spans="3:29">
      <c r="C387" s="98" t="s">
        <v>26</v>
      </c>
      <c r="D387" s="29">
        <f>'MModule+onboard_volatile'!C95</f>
        <v>0</v>
      </c>
      <c r="E387" s="29">
        <f>'MModule+onboard_volatile'!D95</f>
        <v>0</v>
      </c>
      <c r="F387" s="29">
        <f>'MModule+onboard_volatile'!E95</f>
        <v>0</v>
      </c>
      <c r="G387" s="29" t="str">
        <f>'MModule+onboard_volatile'!F95</f>
        <v>X513EA</v>
      </c>
      <c r="H387" s="29" t="str">
        <f>'MModule+onboard_volatile'!G95</f>
        <v>Core i7-1165G7</v>
      </c>
      <c r="I387" s="29" t="str">
        <f>'MModule+onboard_volatile'!H95</f>
        <v>Imported</v>
      </c>
      <c r="J387" s="29" t="str">
        <f>'MModule+onboard_volatile'!I95</f>
        <v>Asus</v>
      </c>
      <c r="K387" s="29" t="str">
        <f>'MModule+onboard_volatile'!J95</f>
        <v>Mmodule</v>
      </c>
      <c r="L387" s="29" t="str">
        <f>'MModule+onboard_volatile'!K95</f>
        <v>4GB (3200)</v>
      </c>
      <c r="M387" s="29">
        <f>'MModule+onboard_volatile'!L95</f>
        <v>4</v>
      </c>
      <c r="N387" s="29" t="str">
        <f>'MModule+onboard_volatile'!M95</f>
        <v>03A08-00042300
03A08-00042400
03A08-00043300</v>
      </c>
      <c r="O387" s="29">
        <f>'MModule+onboard_volatile'!N95</f>
        <v>0</v>
      </c>
      <c r="P387" s="29">
        <f>'MModule+onboard_volatile'!P95</f>
        <v>0</v>
      </c>
      <c r="Q387" s="29">
        <f>'MModule+onboard_volatile'!Q95</f>
        <v>0</v>
      </c>
      <c r="R387" s="29">
        <f>'MModule+onboard_volatile'!R95</f>
        <v>0</v>
      </c>
      <c r="S387" s="29">
        <f>'MModule+onboard_volatile'!S95</f>
        <v>0</v>
      </c>
      <c r="T387" s="29">
        <f>'MModule+onboard_volatile'!T95</f>
        <v>0</v>
      </c>
      <c r="U387" s="29">
        <f>'MModule+onboard_volatile'!U95</f>
        <v>0</v>
      </c>
      <c r="V387" s="29">
        <f>'MModule+onboard_volatile'!V95</f>
        <v>0</v>
      </c>
      <c r="W387" s="29">
        <f>'MModule+onboard_volatile'!W95</f>
        <v>0</v>
      </c>
      <c r="X387" s="29">
        <f>'MModule+onboard_volatile'!X95</f>
        <v>0</v>
      </c>
      <c r="Y387" s="29">
        <f>'MModule+onboard_volatile'!Y95</f>
        <v>0</v>
      </c>
      <c r="Z387" s="29" t="e">
        <f>'MModule+onboard_volatile'!#REF!</f>
        <v>#REF!</v>
      </c>
      <c r="AA387" s="29">
        <f>'MModule+onboard_volatile'!Z95</f>
        <v>0</v>
      </c>
      <c r="AB387" s="29">
        <f>'MModule+onboard_volatile'!AA95</f>
        <v>0</v>
      </c>
      <c r="AC387" s="11"/>
    </row>
    <row r="388" spans="3:29">
      <c r="C388" s="98" t="s">
        <v>26</v>
      </c>
      <c r="D388" s="29">
        <f>'MModule+onboard_volatile'!C96</f>
        <v>0</v>
      </c>
      <c r="E388" s="29">
        <f>'MModule+onboard_volatile'!D96</f>
        <v>0</v>
      </c>
      <c r="F388" s="29">
        <f>'MModule+onboard_volatile'!E96</f>
        <v>0</v>
      </c>
      <c r="G388" s="29" t="str">
        <f>'MModule+onboard_volatile'!F96</f>
        <v>X513EA</v>
      </c>
      <c r="H388" s="29" t="str">
        <f>'MModule+onboard_volatile'!G96</f>
        <v>Core i7-1165G7</v>
      </c>
      <c r="I388" s="29" t="str">
        <f>'MModule+onboard_volatile'!H96</f>
        <v>Local</v>
      </c>
      <c r="J388" s="29" t="str">
        <f>'MModule+onboard_volatile'!I96</f>
        <v>SMART</v>
      </c>
      <c r="K388" s="29" t="str">
        <f>'MModule+onboard_volatile'!J96</f>
        <v>Mmodule</v>
      </c>
      <c r="L388" s="29" t="str">
        <f>'MModule+onboard_volatile'!K96</f>
        <v>4GB (3200)</v>
      </c>
      <c r="M388" s="29">
        <f>'MModule+onboard_volatile'!L96</f>
        <v>4</v>
      </c>
      <c r="N388" s="29" t="str">
        <f>'MModule+onboard_volatile'!M96</f>
        <v>03A08-00043900</v>
      </c>
      <c r="O388" s="29">
        <f>'MModule+onboard_volatile'!N96</f>
        <v>150</v>
      </c>
      <c r="P388" s="29">
        <f>'MModule+onboard_volatile'!P96</f>
        <v>0</v>
      </c>
      <c r="Q388" s="29">
        <f>'MModule+onboard_volatile'!Q96</f>
        <v>0</v>
      </c>
      <c r="R388" s="29">
        <f>'MModule+onboard_volatile'!R96</f>
        <v>0</v>
      </c>
      <c r="S388" s="29">
        <f>'MModule+onboard_volatile'!S96</f>
        <v>0</v>
      </c>
      <c r="T388" s="29">
        <f>'MModule+onboard_volatile'!T96</f>
        <v>0</v>
      </c>
      <c r="U388" s="29">
        <f>'MModule+onboard_volatile'!U96</f>
        <v>0</v>
      </c>
      <c r="V388" s="29">
        <f>'MModule+onboard_volatile'!V96</f>
        <v>0</v>
      </c>
      <c r="W388" s="29">
        <f>'MModule+onboard_volatile'!W96</f>
        <v>0</v>
      </c>
      <c r="X388" s="29">
        <f>'MModule+onboard_volatile'!X96</f>
        <v>0</v>
      </c>
      <c r="Y388" s="29">
        <f>'MModule+onboard_volatile'!Y96</f>
        <v>0</v>
      </c>
      <c r="Z388" s="29" t="e">
        <f>'MModule+onboard_volatile'!#REF!</f>
        <v>#REF!</v>
      </c>
      <c r="AA388" s="29">
        <f>'MModule+onboard_volatile'!Z96</f>
        <v>3000</v>
      </c>
      <c r="AB388" s="29">
        <f>'MModule+onboard_volatile'!AA96</f>
        <v>750</v>
      </c>
      <c r="AC388" s="11"/>
    </row>
    <row r="389" spans="3:29">
      <c r="C389" s="98" t="s">
        <v>26</v>
      </c>
      <c r="D389" s="29">
        <f>'MModule+onboard_volatile'!C97</f>
        <v>0</v>
      </c>
      <c r="E389" s="29">
        <f>'MModule+onboard_volatile'!D97</f>
        <v>0</v>
      </c>
      <c r="F389" s="29">
        <f>'MModule+onboard_volatile'!E97</f>
        <v>0</v>
      </c>
      <c r="G389" s="29" t="str">
        <f>'MModule+onboard_volatile'!F97</f>
        <v>X513EA</v>
      </c>
      <c r="H389" s="29" t="str">
        <f>'MModule+onboard_volatile'!G97</f>
        <v>Core i7-1165G7</v>
      </c>
      <c r="I389" s="29" t="str">
        <f>'MModule+onboard_volatile'!H97</f>
        <v>Local</v>
      </c>
      <c r="J389" s="29" t="str">
        <f>'MModule+onboard_volatile'!I97</f>
        <v>TBD</v>
      </c>
      <c r="K389" s="29" t="str">
        <f>'MModule+onboard_volatile'!J97</f>
        <v>Mmodule</v>
      </c>
      <c r="L389" s="29" t="str">
        <f>'MModule+onboard_volatile'!K97</f>
        <v>4GB (3200)</v>
      </c>
      <c r="M389" s="29">
        <f>'MModule+onboard_volatile'!L97</f>
        <v>4</v>
      </c>
      <c r="N389" s="29">
        <f>'MModule+onboard_volatile'!M97</f>
        <v>0</v>
      </c>
      <c r="O389" s="29">
        <f>'MModule+onboard_volatile'!N97</f>
        <v>0</v>
      </c>
      <c r="P389" s="29">
        <f>'MModule+onboard_volatile'!P97</f>
        <v>0</v>
      </c>
      <c r="Q389" s="29">
        <f>'MModule+onboard_volatile'!Q97</f>
        <v>0</v>
      </c>
      <c r="R389" s="29">
        <f>'MModule+onboard_volatile'!R97</f>
        <v>0</v>
      </c>
      <c r="S389" s="29">
        <f>'MModule+onboard_volatile'!S97</f>
        <v>0</v>
      </c>
      <c r="T389" s="29">
        <f>'MModule+onboard_volatile'!T97</f>
        <v>0</v>
      </c>
      <c r="U389" s="29">
        <f>'MModule+onboard_volatile'!U97</f>
        <v>0</v>
      </c>
      <c r="V389" s="29">
        <f>'MModule+onboard_volatile'!V97</f>
        <v>0</v>
      </c>
      <c r="W389" s="29">
        <f>'MModule+onboard_volatile'!W97</f>
        <v>0</v>
      </c>
      <c r="X389" s="29">
        <f>'MModule+onboard_volatile'!X97</f>
        <v>0</v>
      </c>
      <c r="Y389" s="29">
        <f>'MModule+onboard_volatile'!Y97</f>
        <v>0</v>
      </c>
      <c r="Z389" s="29" t="e">
        <f>'MModule+onboard_volatile'!#REF!</f>
        <v>#REF!</v>
      </c>
      <c r="AA389" s="29">
        <f>'MModule+onboard_volatile'!Z97</f>
        <v>0</v>
      </c>
      <c r="AB389" s="29">
        <f>'MModule+onboard_volatile'!AA97</f>
        <v>0</v>
      </c>
      <c r="AC389" s="11"/>
    </row>
    <row r="390" spans="3:29">
      <c r="C390" s="98" t="s">
        <v>26</v>
      </c>
      <c r="D390" s="29">
        <f>'MModule+onboard_volatile'!C98</f>
        <v>0</v>
      </c>
      <c r="E390" s="29">
        <f>'MModule+onboard_volatile'!D98</f>
        <v>0</v>
      </c>
      <c r="F390" s="29">
        <f>'MModule+onboard_volatile'!E98</f>
        <v>0</v>
      </c>
      <c r="G390" s="29" t="str">
        <f>'MModule+onboard_volatile'!F98</f>
        <v>X513EA</v>
      </c>
      <c r="H390" s="29" t="str">
        <f>'MModule+onboard_volatile'!G98</f>
        <v>Core i7-1165G7</v>
      </c>
      <c r="I390" s="29" t="str">
        <f>'MModule+onboard_volatile'!H98</f>
        <v>Imported</v>
      </c>
      <c r="J390" s="29" t="str">
        <f>'MModule+onboard_volatile'!I98</f>
        <v>Asus</v>
      </c>
      <c r="K390" s="29" t="str">
        <f>'MModule+onboard_volatile'!J98</f>
        <v>M on board</v>
      </c>
      <c r="L390" s="29" t="str">
        <f>'MModule+onboard_volatile'!K98</f>
        <v>4GB OB (3200)</v>
      </c>
      <c r="M390" s="29">
        <f>'MModule+onboard_volatile'!L98</f>
        <v>4</v>
      </c>
      <c r="N390" s="29" t="str">
        <f>'MModule+onboard_volatile'!M98</f>
        <v>03012-00020900
03012-00021000</v>
      </c>
      <c r="O390" s="29">
        <f>'MModule+onboard_volatile'!N98</f>
        <v>600</v>
      </c>
      <c r="P390" s="29">
        <f>'MModule+onboard_volatile'!P98</f>
        <v>0</v>
      </c>
      <c r="Q390" s="29">
        <f>'MModule+onboard_volatile'!Q98</f>
        <v>0</v>
      </c>
      <c r="R390" s="29">
        <f>'MModule+onboard_volatile'!R98</f>
        <v>0</v>
      </c>
      <c r="S390" s="29">
        <f>'MModule+onboard_volatile'!S98</f>
        <v>0</v>
      </c>
      <c r="T390" s="29">
        <f>'MModule+onboard_volatile'!T98</f>
        <v>0</v>
      </c>
      <c r="U390" s="29">
        <f>'MModule+onboard_volatile'!U98</f>
        <v>0</v>
      </c>
      <c r="V390" s="29">
        <f>'MModule+onboard_volatile'!V98</f>
        <v>0</v>
      </c>
      <c r="W390" s="29">
        <f>'MModule+onboard_volatile'!W98</f>
        <v>0</v>
      </c>
      <c r="X390" s="29">
        <f>'MModule+onboard_volatile'!X98</f>
        <v>0</v>
      </c>
      <c r="Y390" s="29">
        <f>'MModule+onboard_volatile'!Y98</f>
        <v>0</v>
      </c>
      <c r="Z390" s="29" t="e">
        <f>'MModule+onboard_volatile'!#REF!</f>
        <v>#REF!</v>
      </c>
      <c r="AA390" s="29">
        <f>'MModule+onboard_volatile'!Z98</f>
        <v>3000</v>
      </c>
      <c r="AB390" s="29" t="str">
        <f>'MModule+onboard_volatile'!AA98</f>
        <v>n/a</v>
      </c>
      <c r="AC390" s="11"/>
    </row>
    <row r="391" spans="3:29">
      <c r="C391" s="98" t="s">
        <v>26</v>
      </c>
      <c r="D391" s="29">
        <f>'MModule+onboard_volatile'!C99</f>
        <v>0</v>
      </c>
      <c r="E391" s="29" t="str">
        <f>'MModule+onboard_volatile'!D99</f>
        <v>FCST</v>
      </c>
      <c r="F391" s="29">
        <f>'MModule+onboard_volatile'!E99</f>
        <v>0</v>
      </c>
      <c r="G391" s="29" t="str">
        <f>'MModule+onboard_volatile'!F99</f>
        <v>X513EA</v>
      </c>
      <c r="H391" s="29" t="str">
        <f>'MModule+onboard_volatile'!G99</f>
        <v>Core i7-1165G7</v>
      </c>
      <c r="I391" s="29">
        <f>'MModule+onboard_volatile'!H99</f>
        <v>0</v>
      </c>
      <c r="J391" s="29">
        <f>'MModule+onboard_volatile'!I99</f>
        <v>0</v>
      </c>
      <c r="K391" s="29">
        <f>'MModule+onboard_volatile'!J99</f>
        <v>0</v>
      </c>
      <c r="L391" s="29" t="str">
        <f>'MModule+onboard_volatile'!K99</f>
        <v>16GB</v>
      </c>
      <c r="M391" s="29">
        <f>'MModule+onboard_volatile'!L99</f>
        <v>0</v>
      </c>
      <c r="N391" s="29">
        <f>'MModule+onboard_volatile'!M99</f>
        <v>0</v>
      </c>
      <c r="O391" s="29">
        <f>'MModule+onboard_volatile'!N99</f>
        <v>0</v>
      </c>
      <c r="P391" s="29">
        <f>'MModule+onboard_volatile'!P99</f>
        <v>0</v>
      </c>
      <c r="Q391" s="29">
        <f>'MModule+onboard_volatile'!Q99</f>
        <v>0</v>
      </c>
      <c r="R391" s="29">
        <f>'MModule+onboard_volatile'!R99</f>
        <v>0</v>
      </c>
      <c r="S391" s="29">
        <f>'MModule+onboard_volatile'!S99</f>
        <v>0</v>
      </c>
      <c r="T391" s="29">
        <f>'MModule+onboard_volatile'!T99</f>
        <v>0</v>
      </c>
      <c r="U391" s="29">
        <f>'MModule+onboard_volatile'!U99</f>
        <v>0</v>
      </c>
      <c r="V391" s="29">
        <f>'MModule+onboard_volatile'!V99</f>
        <v>0</v>
      </c>
      <c r="W391" s="29">
        <f>'MModule+onboard_volatile'!W99</f>
        <v>0</v>
      </c>
      <c r="X391" s="29">
        <f>'MModule+onboard_volatile'!X99</f>
        <v>0</v>
      </c>
      <c r="Y391" s="29">
        <f>'MModule+onboard_volatile'!Y99</f>
        <v>0</v>
      </c>
      <c r="Z391" s="29" t="e">
        <f>'MModule+onboard_volatile'!#REF!</f>
        <v>#REF!</v>
      </c>
      <c r="AA391" s="29">
        <f>'MModule+onboard_volatile'!Z99</f>
        <v>0</v>
      </c>
      <c r="AB391" s="29">
        <f>'MModule+onboard_volatile'!AA99</f>
        <v>0</v>
      </c>
      <c r="AC391" s="11"/>
    </row>
    <row r="392" spans="3:29">
      <c r="C392" s="98" t="s">
        <v>26</v>
      </c>
      <c r="D392" s="29">
        <f>'MModule+onboard_volatile'!C100</f>
        <v>0</v>
      </c>
      <c r="E392" s="29">
        <f>'MModule+onboard_volatile'!D100</f>
        <v>0</v>
      </c>
      <c r="F392" s="29">
        <f>'MModule+onboard_volatile'!E100</f>
        <v>0</v>
      </c>
      <c r="G392" s="29" t="str">
        <f>'MModule+onboard_volatile'!F100</f>
        <v>X513EA</v>
      </c>
      <c r="H392" s="29" t="str">
        <f>'MModule+onboard_volatile'!G100</f>
        <v>Core i7-1165G7</v>
      </c>
      <c r="I392" s="29" t="str">
        <f>'MModule+onboard_volatile'!H100</f>
        <v>Imported</v>
      </c>
      <c r="J392" s="29" t="str">
        <f>'MModule+onboard_volatile'!I100</f>
        <v>Asus</v>
      </c>
      <c r="K392" s="29" t="str">
        <f>'MModule+onboard_volatile'!J100</f>
        <v>Mmodule</v>
      </c>
      <c r="L392" s="29" t="str">
        <f>'MModule+onboard_volatile'!K100</f>
        <v>8GB (3200)</v>
      </c>
      <c r="M392" s="29">
        <f>'MModule+onboard_volatile'!L100</f>
        <v>8</v>
      </c>
      <c r="N392" s="29" t="str">
        <f>'MModule+onboard_volatile'!M100</f>
        <v>03A08-00052400
03A08-00052700
03A08-00053900</v>
      </c>
      <c r="O392" s="29">
        <f>'MModule+onboard_volatile'!N100</f>
        <v>0</v>
      </c>
      <c r="P392" s="29">
        <f>'MModule+onboard_volatile'!P100</f>
        <v>0</v>
      </c>
      <c r="Q392" s="29">
        <f>'MModule+onboard_volatile'!Q100</f>
        <v>0</v>
      </c>
      <c r="R392" s="29">
        <f>'MModule+onboard_volatile'!R100</f>
        <v>0</v>
      </c>
      <c r="S392" s="29">
        <f>'MModule+onboard_volatile'!S100</f>
        <v>0</v>
      </c>
      <c r="T392" s="29">
        <f>'MModule+onboard_volatile'!T100</f>
        <v>0</v>
      </c>
      <c r="U392" s="29">
        <f>'MModule+onboard_volatile'!U100</f>
        <v>0</v>
      </c>
      <c r="V392" s="29">
        <f>'MModule+onboard_volatile'!V100</f>
        <v>0</v>
      </c>
      <c r="W392" s="29">
        <f>'MModule+onboard_volatile'!W100</f>
        <v>0</v>
      </c>
      <c r="X392" s="29">
        <f>'MModule+onboard_volatile'!X100</f>
        <v>0</v>
      </c>
      <c r="Y392" s="29">
        <f>'MModule+onboard_volatile'!Y100</f>
        <v>0</v>
      </c>
      <c r="Z392" s="29" t="e">
        <f>'MModule+onboard_volatile'!#REF!</f>
        <v>#REF!</v>
      </c>
      <c r="AA392" s="29">
        <f>'MModule+onboard_volatile'!Z100</f>
        <v>0</v>
      </c>
      <c r="AB392" s="29">
        <f>'MModule+onboard_volatile'!AA100</f>
        <v>0</v>
      </c>
      <c r="AC392" s="11"/>
    </row>
    <row r="393" spans="3:29">
      <c r="C393" s="98" t="s">
        <v>26</v>
      </c>
      <c r="D393" s="29">
        <f>'MModule+onboard_volatile'!C101</f>
        <v>0</v>
      </c>
      <c r="E393" s="29">
        <f>'MModule+onboard_volatile'!D101</f>
        <v>0</v>
      </c>
      <c r="F393" s="29">
        <f>'MModule+onboard_volatile'!E101</f>
        <v>0</v>
      </c>
      <c r="G393" s="29" t="str">
        <f>'MModule+onboard_volatile'!F101</f>
        <v>X513EA</v>
      </c>
      <c r="H393" s="29" t="str">
        <f>'MModule+onboard_volatile'!G101</f>
        <v>Core i7-1165G7</v>
      </c>
      <c r="I393" s="29" t="str">
        <f>'MModule+onboard_volatile'!H101</f>
        <v>Local</v>
      </c>
      <c r="J393" s="29" t="str">
        <f>'MModule+onboard_volatile'!I101</f>
        <v>SMART</v>
      </c>
      <c r="K393" s="29" t="str">
        <f>'MModule+onboard_volatile'!J101</f>
        <v>Mmodule</v>
      </c>
      <c r="L393" s="29" t="str">
        <f>'MModule+onboard_volatile'!K101</f>
        <v>8GB (3200)</v>
      </c>
      <c r="M393" s="29">
        <f>'MModule+onboard_volatile'!L101</f>
        <v>8</v>
      </c>
      <c r="N393" s="29" t="str">
        <f>'MModule+onboard_volatile'!M101</f>
        <v>03A08-00054600</v>
      </c>
      <c r="O393" s="29">
        <f>'MModule+onboard_volatile'!N101</f>
        <v>0</v>
      </c>
      <c r="P393" s="29">
        <f>'MModule+onboard_volatile'!P101</f>
        <v>0</v>
      </c>
      <c r="Q393" s="29">
        <f>'MModule+onboard_volatile'!Q101</f>
        <v>0</v>
      </c>
      <c r="R393" s="29">
        <f>'MModule+onboard_volatile'!R101</f>
        <v>0</v>
      </c>
      <c r="S393" s="29">
        <f>'MModule+onboard_volatile'!S101</f>
        <v>0</v>
      </c>
      <c r="T393" s="29">
        <f>'MModule+onboard_volatile'!T101</f>
        <v>0</v>
      </c>
      <c r="U393" s="29">
        <f>'MModule+onboard_volatile'!U101</f>
        <v>0</v>
      </c>
      <c r="V393" s="29">
        <f>'MModule+onboard_volatile'!V101</f>
        <v>0</v>
      </c>
      <c r="W393" s="29">
        <f>'MModule+onboard_volatile'!W101</f>
        <v>0</v>
      </c>
      <c r="X393" s="29">
        <f>'MModule+onboard_volatile'!X101</f>
        <v>0</v>
      </c>
      <c r="Y393" s="29">
        <f>'MModule+onboard_volatile'!Y101</f>
        <v>0</v>
      </c>
      <c r="Z393" s="29" t="e">
        <f>'MModule+onboard_volatile'!#REF!</f>
        <v>#REF!</v>
      </c>
      <c r="AA393" s="29">
        <f>'MModule+onboard_volatile'!Z101</f>
        <v>0</v>
      </c>
      <c r="AB393" s="29">
        <f>'MModule+onboard_volatile'!AA101</f>
        <v>0</v>
      </c>
      <c r="AC393" s="11"/>
    </row>
    <row r="394" spans="3:29">
      <c r="C394" s="98" t="s">
        <v>26</v>
      </c>
      <c r="D394" s="29">
        <f>'MModule+onboard_volatile'!C102</f>
        <v>0</v>
      </c>
      <c r="E394" s="29">
        <f>'MModule+onboard_volatile'!D102</f>
        <v>0</v>
      </c>
      <c r="F394" s="29">
        <f>'MModule+onboard_volatile'!E102</f>
        <v>0</v>
      </c>
      <c r="G394" s="29" t="str">
        <f>'MModule+onboard_volatile'!F102</f>
        <v>X513EA</v>
      </c>
      <c r="H394" s="29" t="str">
        <f>'MModule+onboard_volatile'!G102</f>
        <v>Core i7-1165G7</v>
      </c>
      <c r="I394" s="29" t="str">
        <f>'MModule+onboard_volatile'!H102</f>
        <v>Local</v>
      </c>
      <c r="J394" s="29" t="str">
        <f>'MModule+onboard_volatile'!I102</f>
        <v>TBD</v>
      </c>
      <c r="K394" s="29" t="str">
        <f>'MModule+onboard_volatile'!J102</f>
        <v>Mmodule</v>
      </c>
      <c r="L394" s="29" t="str">
        <f>'MModule+onboard_volatile'!K102</f>
        <v>8GB (3200)</v>
      </c>
      <c r="M394" s="29">
        <f>'MModule+onboard_volatile'!L102</f>
        <v>8</v>
      </c>
      <c r="N394" s="29">
        <f>'MModule+onboard_volatile'!M102</f>
        <v>0</v>
      </c>
      <c r="O394" s="29">
        <f>'MModule+onboard_volatile'!N102</f>
        <v>0</v>
      </c>
      <c r="P394" s="29">
        <f>'MModule+onboard_volatile'!P102</f>
        <v>0</v>
      </c>
      <c r="Q394" s="29">
        <f>'MModule+onboard_volatile'!Q102</f>
        <v>0</v>
      </c>
      <c r="R394" s="29">
        <f>'MModule+onboard_volatile'!R102</f>
        <v>0</v>
      </c>
      <c r="S394" s="29">
        <f>'MModule+onboard_volatile'!S102</f>
        <v>0</v>
      </c>
      <c r="T394" s="29">
        <f>'MModule+onboard_volatile'!T102</f>
        <v>0</v>
      </c>
      <c r="U394" s="29">
        <f>'MModule+onboard_volatile'!U102</f>
        <v>0</v>
      </c>
      <c r="V394" s="29">
        <f>'MModule+onboard_volatile'!V102</f>
        <v>0</v>
      </c>
      <c r="W394" s="29">
        <f>'MModule+onboard_volatile'!W102</f>
        <v>0</v>
      </c>
      <c r="X394" s="29">
        <f>'MModule+onboard_volatile'!X102</f>
        <v>0</v>
      </c>
      <c r="Y394" s="29">
        <f>'MModule+onboard_volatile'!Y102</f>
        <v>0</v>
      </c>
      <c r="Z394" s="29" t="e">
        <f>'MModule+onboard_volatile'!#REF!</f>
        <v>#REF!</v>
      </c>
      <c r="AA394" s="29">
        <f>'MModule+onboard_volatile'!Z102</f>
        <v>0</v>
      </c>
      <c r="AB394" s="29">
        <f>'MModule+onboard_volatile'!AA102</f>
        <v>0</v>
      </c>
      <c r="AC394" s="11"/>
    </row>
    <row r="395" spans="3:29">
      <c r="C395" s="98" t="s">
        <v>26</v>
      </c>
      <c r="D395" s="29">
        <f>'MModule+onboard_volatile'!C103</f>
        <v>0</v>
      </c>
      <c r="E395" s="29">
        <f>'MModule+onboard_volatile'!D103</f>
        <v>0</v>
      </c>
      <c r="F395" s="29">
        <f>'MModule+onboard_volatile'!E103</f>
        <v>0</v>
      </c>
      <c r="G395" s="29" t="str">
        <f>'MModule+onboard_volatile'!F103</f>
        <v>X513EA</v>
      </c>
      <c r="H395" s="29" t="str">
        <f>'MModule+onboard_volatile'!G103</f>
        <v>Core i7-1165G7</v>
      </c>
      <c r="I395" s="29" t="str">
        <f>'MModule+onboard_volatile'!H103</f>
        <v>Imported</v>
      </c>
      <c r="J395" s="29" t="str">
        <f>'MModule+onboard_volatile'!I103</f>
        <v>Asus</v>
      </c>
      <c r="K395" s="29" t="str">
        <f>'MModule+onboard_volatile'!J103</f>
        <v>M on board</v>
      </c>
      <c r="L395" s="29" t="str">
        <f>'MModule+onboard_volatile'!K103</f>
        <v>8GB OB</v>
      </c>
      <c r="M395" s="29">
        <f>'MModule+onboard_volatile'!L103</f>
        <v>4</v>
      </c>
      <c r="N395" s="29" t="str">
        <f>'MModule+onboard_volatile'!M103</f>
        <v>03012-00040600
03012-00040700
03012-00040800(導入ing)</v>
      </c>
      <c r="O395" s="29">
        <f>'MModule+onboard_volatile'!N103</f>
        <v>0</v>
      </c>
      <c r="P395" s="29">
        <f>'MModule+onboard_volatile'!P103</f>
        <v>0</v>
      </c>
      <c r="Q395" s="29">
        <f>'MModule+onboard_volatile'!Q103</f>
        <v>0</v>
      </c>
      <c r="R395" s="29">
        <f>'MModule+onboard_volatile'!R103</f>
        <v>0</v>
      </c>
      <c r="S395" s="29">
        <f>'MModule+onboard_volatile'!S103</f>
        <v>0</v>
      </c>
      <c r="T395" s="29">
        <f>'MModule+onboard_volatile'!T103</f>
        <v>0</v>
      </c>
      <c r="U395" s="29">
        <f>'MModule+onboard_volatile'!U103</f>
        <v>0</v>
      </c>
      <c r="V395" s="29">
        <f>'MModule+onboard_volatile'!V103</f>
        <v>0</v>
      </c>
      <c r="W395" s="29">
        <f>'MModule+onboard_volatile'!W103</f>
        <v>0</v>
      </c>
      <c r="X395" s="29">
        <f>'MModule+onboard_volatile'!X103</f>
        <v>0</v>
      </c>
      <c r="Y395" s="29">
        <f>'MModule+onboard_volatile'!Y103</f>
        <v>0</v>
      </c>
      <c r="Z395" s="29" t="e">
        <f>'MModule+onboard_volatile'!#REF!</f>
        <v>#REF!</v>
      </c>
      <c r="AA395" s="29">
        <f>'MModule+onboard_volatile'!Z103</f>
        <v>0</v>
      </c>
      <c r="AB395" s="29" t="str">
        <f>'MModule+onboard_volatile'!AA103</f>
        <v>n/a</v>
      </c>
      <c r="AC395" s="11"/>
    </row>
    <row r="396" spans="3:29">
      <c r="C396" s="98" t="s">
        <v>26</v>
      </c>
      <c r="D396" s="29">
        <f>'MModule+onboard_volatile'!C109</f>
        <v>0</v>
      </c>
      <c r="E396" s="29" t="str">
        <f>'MModule+onboard_volatile'!D109</f>
        <v>FCST</v>
      </c>
      <c r="F396" s="29">
        <f>'MModule+onboard_volatile'!E109</f>
        <v>0</v>
      </c>
      <c r="G396" s="29" t="str">
        <f>'MModule+onboard_volatile'!F109</f>
        <v>K513EQ</v>
      </c>
      <c r="H396" s="29" t="str">
        <f>'MModule+onboard_volatile'!G109</f>
        <v>Core i7-1165G7</v>
      </c>
      <c r="I396" s="29">
        <f>'MModule+onboard_volatile'!H109</f>
        <v>0</v>
      </c>
      <c r="J396" s="29">
        <f>'MModule+onboard_volatile'!I109</f>
        <v>0</v>
      </c>
      <c r="K396" s="29">
        <f>'MModule+onboard_volatile'!J109</f>
        <v>0</v>
      </c>
      <c r="L396" s="29" t="str">
        <f>'MModule+onboard_volatile'!K109</f>
        <v>16GB</v>
      </c>
      <c r="M396" s="29">
        <f>'MModule+onboard_volatile'!L109</f>
        <v>0</v>
      </c>
      <c r="N396" s="29">
        <f>'MModule+onboard_volatile'!M109</f>
        <v>0</v>
      </c>
      <c r="O396" s="29">
        <f>'MModule+onboard_volatile'!N109</f>
        <v>0</v>
      </c>
      <c r="P396" s="29">
        <f>'MModule+onboard_volatile'!P109</f>
        <v>0</v>
      </c>
      <c r="Q396" s="29">
        <f>'MModule+onboard_volatile'!Q109</f>
        <v>0</v>
      </c>
      <c r="R396" s="29">
        <f>'MModule+onboard_volatile'!R109</f>
        <v>0</v>
      </c>
      <c r="S396" s="29">
        <f>'MModule+onboard_volatile'!S109</f>
        <v>0</v>
      </c>
      <c r="T396" s="29">
        <f>'MModule+onboard_volatile'!T109</f>
        <v>0</v>
      </c>
      <c r="U396" s="29">
        <f>'MModule+onboard_volatile'!U109</f>
        <v>0</v>
      </c>
      <c r="V396" s="29">
        <f>'MModule+onboard_volatile'!V109</f>
        <v>0</v>
      </c>
      <c r="W396" s="29">
        <f>'MModule+onboard_volatile'!W109</f>
        <v>0</v>
      </c>
      <c r="X396" s="29">
        <f>'MModule+onboard_volatile'!X109</f>
        <v>0</v>
      </c>
      <c r="Y396" s="29">
        <f>'MModule+onboard_volatile'!Y109</f>
        <v>0</v>
      </c>
      <c r="Z396" s="29" t="e">
        <f>'MModule+onboard_volatile'!#REF!</f>
        <v>#REF!</v>
      </c>
      <c r="AA396" s="29">
        <f>'MModule+onboard_volatile'!Z109</f>
        <v>0</v>
      </c>
      <c r="AB396" s="29">
        <f>'MModule+onboard_volatile'!AA109</f>
        <v>0</v>
      </c>
      <c r="AC396" s="11"/>
    </row>
    <row r="397" spans="3:29">
      <c r="C397" s="98" t="s">
        <v>26</v>
      </c>
      <c r="D397" s="29">
        <f>'MModule+onboard_volatile'!C110</f>
        <v>0</v>
      </c>
      <c r="E397" s="29">
        <f>'MModule+onboard_volatile'!D110</f>
        <v>0</v>
      </c>
      <c r="F397" s="29">
        <f>'MModule+onboard_volatile'!E110</f>
        <v>0</v>
      </c>
      <c r="G397" s="29" t="str">
        <f>'MModule+onboard_volatile'!F110</f>
        <v>K513EQ</v>
      </c>
      <c r="H397" s="29" t="str">
        <f>'MModule+onboard_volatile'!G110</f>
        <v>Core i7-1165G7</v>
      </c>
      <c r="I397" s="29" t="str">
        <f>'MModule+onboard_volatile'!H110</f>
        <v>Imported</v>
      </c>
      <c r="J397" s="29" t="str">
        <f>'MModule+onboard_volatile'!I110</f>
        <v>Asus</v>
      </c>
      <c r="K397" s="29" t="str">
        <f>'MModule+onboard_volatile'!J110</f>
        <v>GPU VRAM</v>
      </c>
      <c r="L397" s="29" t="str">
        <f>'MModule+onboard_volatile'!K110</f>
        <v>V2G</v>
      </c>
      <c r="M397" s="29">
        <f>'MModule+onboard_volatile'!L110</f>
        <v>2</v>
      </c>
      <c r="N397" s="29" t="str">
        <f>'MModule+onboard_volatile'!M110</f>
        <v>03008-00052100</v>
      </c>
      <c r="O397" s="29">
        <f>'MModule+onboard_volatile'!N110</f>
        <v>0</v>
      </c>
      <c r="P397" s="29">
        <f>'MModule+onboard_volatile'!P110</f>
        <v>0</v>
      </c>
      <c r="Q397" s="29">
        <f>'MModule+onboard_volatile'!Q110</f>
        <v>0</v>
      </c>
      <c r="R397" s="29">
        <f>'MModule+onboard_volatile'!R110</f>
        <v>0</v>
      </c>
      <c r="S397" s="29">
        <f>'MModule+onboard_volatile'!S110</f>
        <v>0</v>
      </c>
      <c r="T397" s="29">
        <f>'MModule+onboard_volatile'!T110</f>
        <v>0</v>
      </c>
      <c r="U397" s="29">
        <f>'MModule+onboard_volatile'!U110</f>
        <v>0</v>
      </c>
      <c r="V397" s="29">
        <f>'MModule+onboard_volatile'!V110</f>
        <v>0</v>
      </c>
      <c r="W397" s="29">
        <f>'MModule+onboard_volatile'!W110</f>
        <v>0</v>
      </c>
      <c r="X397" s="29">
        <f>'MModule+onboard_volatile'!X110</f>
        <v>0</v>
      </c>
      <c r="Y397" s="29">
        <f>'MModule+onboard_volatile'!Y110</f>
        <v>0</v>
      </c>
      <c r="Z397" s="29" t="e">
        <f>'MModule+onboard_volatile'!#REF!</f>
        <v>#REF!</v>
      </c>
      <c r="AA397" s="29">
        <f>'MModule+onboard_volatile'!Z110</f>
        <v>0</v>
      </c>
      <c r="AB397" s="29" t="str">
        <f>'MModule+onboard_volatile'!AA110</f>
        <v>n/a</v>
      </c>
      <c r="AC397" s="11"/>
    </row>
    <row r="398" spans="3:29">
      <c r="C398" s="98" t="s">
        <v>26</v>
      </c>
      <c r="D398" s="29">
        <f>'MModule+onboard_volatile'!C111</f>
        <v>0</v>
      </c>
      <c r="E398" s="29">
        <f>'MModule+onboard_volatile'!D111</f>
        <v>0</v>
      </c>
      <c r="F398" s="29">
        <f>'MModule+onboard_volatile'!E111</f>
        <v>0</v>
      </c>
      <c r="G398" s="29" t="str">
        <f>'MModule+onboard_volatile'!F111</f>
        <v>K513EQ</v>
      </c>
      <c r="H398" s="29" t="str">
        <f>'MModule+onboard_volatile'!G111</f>
        <v>Core i7-1165G7</v>
      </c>
      <c r="I398" s="29" t="str">
        <f>'MModule+onboard_volatile'!H111</f>
        <v>Imported</v>
      </c>
      <c r="J398" s="29" t="str">
        <f>'MModule+onboard_volatile'!I111</f>
        <v>Asus</v>
      </c>
      <c r="K398" s="29" t="str">
        <f>'MModule+onboard_volatile'!J111</f>
        <v>Mmodule</v>
      </c>
      <c r="L398" s="29" t="str">
        <f>'MModule+onboard_volatile'!K111</f>
        <v>8GB (3200)</v>
      </c>
      <c r="M398" s="29">
        <f>'MModule+onboard_volatile'!L111</f>
        <v>8</v>
      </c>
      <c r="N398" s="29" t="str">
        <f>'MModule+onboard_volatile'!M111</f>
        <v>03A08-00052400
03A08-00052700
03A08-00053900</v>
      </c>
      <c r="O398" s="29">
        <f>'MModule+onboard_volatile'!N111</f>
        <v>0</v>
      </c>
      <c r="P398" s="29">
        <f>'MModule+onboard_volatile'!P111</f>
        <v>0</v>
      </c>
      <c r="Q398" s="29">
        <f>'MModule+onboard_volatile'!Q111</f>
        <v>0</v>
      </c>
      <c r="R398" s="29">
        <f>'MModule+onboard_volatile'!R111</f>
        <v>0</v>
      </c>
      <c r="S398" s="29">
        <f>'MModule+onboard_volatile'!S111</f>
        <v>0</v>
      </c>
      <c r="T398" s="29">
        <f>'MModule+onboard_volatile'!T111</f>
        <v>0</v>
      </c>
      <c r="U398" s="29">
        <f>'MModule+onboard_volatile'!U111</f>
        <v>0</v>
      </c>
      <c r="V398" s="29">
        <f>'MModule+onboard_volatile'!V111</f>
        <v>0</v>
      </c>
      <c r="W398" s="29">
        <f>'MModule+onboard_volatile'!W111</f>
        <v>0</v>
      </c>
      <c r="X398" s="29">
        <f>'MModule+onboard_volatile'!X111</f>
        <v>0</v>
      </c>
      <c r="Y398" s="29">
        <f>'MModule+onboard_volatile'!Y111</f>
        <v>0</v>
      </c>
      <c r="Z398" s="29" t="e">
        <f>'MModule+onboard_volatile'!#REF!</f>
        <v>#REF!</v>
      </c>
      <c r="AA398" s="29">
        <f>'MModule+onboard_volatile'!Z111</f>
        <v>0</v>
      </c>
      <c r="AB398" s="29">
        <f>'MModule+onboard_volatile'!AA111</f>
        <v>0</v>
      </c>
      <c r="AC398" s="11"/>
    </row>
    <row r="399" spans="3:29">
      <c r="C399" s="98" t="s">
        <v>26</v>
      </c>
      <c r="D399" s="29">
        <f>'MModule+onboard_volatile'!C112</f>
        <v>0</v>
      </c>
      <c r="E399" s="29">
        <f>'MModule+onboard_volatile'!D112</f>
        <v>0</v>
      </c>
      <c r="F399" s="29">
        <f>'MModule+onboard_volatile'!E112</f>
        <v>0</v>
      </c>
      <c r="G399" s="29" t="str">
        <f>'MModule+onboard_volatile'!F112</f>
        <v>K513EQ</v>
      </c>
      <c r="H399" s="29" t="str">
        <f>'MModule+onboard_volatile'!G112</f>
        <v>Core i7-1165G7</v>
      </c>
      <c r="I399" s="29" t="str">
        <f>'MModule+onboard_volatile'!H112</f>
        <v>Local</v>
      </c>
      <c r="J399" s="29" t="str">
        <f>'MModule+onboard_volatile'!I112</f>
        <v>SMART</v>
      </c>
      <c r="K399" s="29" t="str">
        <f>'MModule+onboard_volatile'!J112</f>
        <v>Mmodule</v>
      </c>
      <c r="L399" s="29" t="str">
        <f>'MModule+onboard_volatile'!K112</f>
        <v>8GB (3200)</v>
      </c>
      <c r="M399" s="29">
        <f>'MModule+onboard_volatile'!L112</f>
        <v>8</v>
      </c>
      <c r="N399" s="29" t="str">
        <f>'MModule+onboard_volatile'!M112</f>
        <v>03A08-00054600</v>
      </c>
      <c r="O399" s="29">
        <f>'MModule+onboard_volatile'!N112</f>
        <v>0</v>
      </c>
      <c r="P399" s="29">
        <f>'MModule+onboard_volatile'!P112</f>
        <v>0</v>
      </c>
      <c r="Q399" s="29">
        <f>'MModule+onboard_volatile'!Q112</f>
        <v>0</v>
      </c>
      <c r="R399" s="29">
        <f>'MModule+onboard_volatile'!R112</f>
        <v>0</v>
      </c>
      <c r="S399" s="29">
        <f>'MModule+onboard_volatile'!S112</f>
        <v>0</v>
      </c>
      <c r="T399" s="29">
        <f>'MModule+onboard_volatile'!T112</f>
        <v>0</v>
      </c>
      <c r="U399" s="29">
        <f>'MModule+onboard_volatile'!U112</f>
        <v>0</v>
      </c>
      <c r="V399" s="29">
        <f>'MModule+onboard_volatile'!V112</f>
        <v>0</v>
      </c>
      <c r="W399" s="29">
        <f>'MModule+onboard_volatile'!W112</f>
        <v>0</v>
      </c>
      <c r="X399" s="29">
        <f>'MModule+onboard_volatile'!X112</f>
        <v>0</v>
      </c>
      <c r="Y399" s="29">
        <f>'MModule+onboard_volatile'!Y112</f>
        <v>0</v>
      </c>
      <c r="Z399" s="29" t="e">
        <f>'MModule+onboard_volatile'!#REF!</f>
        <v>#REF!</v>
      </c>
      <c r="AA399" s="29">
        <f>'MModule+onboard_volatile'!Z112</f>
        <v>0</v>
      </c>
      <c r="AB399" s="29">
        <f>'MModule+onboard_volatile'!AA112</f>
        <v>0</v>
      </c>
      <c r="AC399" s="11"/>
    </row>
    <row r="400" spans="3:29">
      <c r="C400" s="98" t="s">
        <v>26</v>
      </c>
      <c r="D400" s="29">
        <f>'MModule+onboard_volatile'!C113</f>
        <v>0</v>
      </c>
      <c r="E400" s="29">
        <f>'MModule+onboard_volatile'!D113</f>
        <v>0</v>
      </c>
      <c r="F400" s="29">
        <f>'MModule+onboard_volatile'!E113</f>
        <v>0</v>
      </c>
      <c r="G400" s="29" t="str">
        <f>'MModule+onboard_volatile'!F113</f>
        <v>K513EQ</v>
      </c>
      <c r="H400" s="29" t="str">
        <f>'MModule+onboard_volatile'!G113</f>
        <v>Core i7-1165G7</v>
      </c>
      <c r="I400" s="29" t="str">
        <f>'MModule+onboard_volatile'!H113</f>
        <v>Local</v>
      </c>
      <c r="J400" s="29" t="str">
        <f>'MModule+onboard_volatile'!I113</f>
        <v>TBD</v>
      </c>
      <c r="K400" s="29" t="str">
        <f>'MModule+onboard_volatile'!J113</f>
        <v>Mmodule</v>
      </c>
      <c r="L400" s="29" t="str">
        <f>'MModule+onboard_volatile'!K113</f>
        <v>8GB (3200)</v>
      </c>
      <c r="M400" s="29">
        <f>'MModule+onboard_volatile'!L113</f>
        <v>8</v>
      </c>
      <c r="N400" s="29">
        <f>'MModule+onboard_volatile'!M113</f>
        <v>0</v>
      </c>
      <c r="O400" s="29">
        <f>'MModule+onboard_volatile'!N113</f>
        <v>0</v>
      </c>
      <c r="P400" s="29">
        <f>'MModule+onboard_volatile'!P113</f>
        <v>0</v>
      </c>
      <c r="Q400" s="29">
        <f>'MModule+onboard_volatile'!Q113</f>
        <v>0</v>
      </c>
      <c r="R400" s="29">
        <f>'MModule+onboard_volatile'!R113</f>
        <v>0</v>
      </c>
      <c r="S400" s="29">
        <f>'MModule+onboard_volatile'!S113</f>
        <v>0</v>
      </c>
      <c r="T400" s="29">
        <f>'MModule+onboard_volatile'!T113</f>
        <v>0</v>
      </c>
      <c r="U400" s="29">
        <f>'MModule+onboard_volatile'!U113</f>
        <v>0</v>
      </c>
      <c r="V400" s="29">
        <f>'MModule+onboard_volatile'!V113</f>
        <v>0</v>
      </c>
      <c r="W400" s="29">
        <f>'MModule+onboard_volatile'!W113</f>
        <v>0</v>
      </c>
      <c r="X400" s="29">
        <f>'MModule+onboard_volatile'!X113</f>
        <v>0</v>
      </c>
      <c r="Y400" s="29">
        <f>'MModule+onboard_volatile'!Y113</f>
        <v>0</v>
      </c>
      <c r="Z400" s="29" t="e">
        <f>'MModule+onboard_volatile'!#REF!</f>
        <v>#REF!</v>
      </c>
      <c r="AA400" s="29">
        <f>'MModule+onboard_volatile'!Z113</f>
        <v>0</v>
      </c>
      <c r="AB400" s="29">
        <f>'MModule+onboard_volatile'!AA113</f>
        <v>0</v>
      </c>
      <c r="AC400" s="11"/>
    </row>
    <row r="401" spans="3:29">
      <c r="C401" s="98" t="s">
        <v>26</v>
      </c>
      <c r="D401" s="29">
        <f>'MModule+onboard_volatile'!C114</f>
        <v>0</v>
      </c>
      <c r="E401" s="29">
        <f>'MModule+onboard_volatile'!D114</f>
        <v>0</v>
      </c>
      <c r="F401" s="29">
        <f>'MModule+onboard_volatile'!E114</f>
        <v>0</v>
      </c>
      <c r="G401" s="29" t="str">
        <f>'MModule+onboard_volatile'!F114</f>
        <v>K513EQ</v>
      </c>
      <c r="H401" s="29" t="str">
        <f>'MModule+onboard_volatile'!G114</f>
        <v>Core i7-1165G7</v>
      </c>
      <c r="I401" s="29" t="str">
        <f>'MModule+onboard_volatile'!H114</f>
        <v>Imported</v>
      </c>
      <c r="J401" s="29" t="str">
        <f>'MModule+onboard_volatile'!I114</f>
        <v>Asus</v>
      </c>
      <c r="K401" s="29" t="str">
        <f>'MModule+onboard_volatile'!J114</f>
        <v>M on board</v>
      </c>
      <c r="L401" s="29" t="str">
        <f>'MModule+onboard_volatile'!K114</f>
        <v>8GB OB</v>
      </c>
      <c r="M401" s="29">
        <f>'MModule+onboard_volatile'!L114</f>
        <v>4</v>
      </c>
      <c r="N401" s="29" t="str">
        <f>'MModule+onboard_volatile'!M114</f>
        <v>03012-00040600
03012-00040700</v>
      </c>
      <c r="O401" s="29">
        <f>'MModule+onboard_volatile'!N114</f>
        <v>0</v>
      </c>
      <c r="P401" s="29">
        <f>'MModule+onboard_volatile'!P114</f>
        <v>0</v>
      </c>
      <c r="Q401" s="29">
        <f>'MModule+onboard_volatile'!Q114</f>
        <v>0</v>
      </c>
      <c r="R401" s="29">
        <f>'MModule+onboard_volatile'!R114</f>
        <v>0</v>
      </c>
      <c r="S401" s="29">
        <f>'MModule+onboard_volatile'!S114</f>
        <v>0</v>
      </c>
      <c r="T401" s="29">
        <f>'MModule+onboard_volatile'!T114</f>
        <v>0</v>
      </c>
      <c r="U401" s="29">
        <f>'MModule+onboard_volatile'!U114</f>
        <v>0</v>
      </c>
      <c r="V401" s="29">
        <f>'MModule+onboard_volatile'!V114</f>
        <v>0</v>
      </c>
      <c r="W401" s="29">
        <f>'MModule+onboard_volatile'!W114</f>
        <v>0</v>
      </c>
      <c r="X401" s="29">
        <f>'MModule+onboard_volatile'!X114</f>
        <v>0</v>
      </c>
      <c r="Y401" s="29">
        <f>'MModule+onboard_volatile'!Y114</f>
        <v>0</v>
      </c>
      <c r="Z401" s="29" t="e">
        <f>'MModule+onboard_volatile'!#REF!</f>
        <v>#REF!</v>
      </c>
      <c r="AA401" s="29">
        <f>'MModule+onboard_volatile'!Z114</f>
        <v>0</v>
      </c>
      <c r="AB401" s="29" t="str">
        <f>'MModule+onboard_volatile'!AA114</f>
        <v>n/a</v>
      </c>
      <c r="AC401" s="11"/>
    </row>
    <row r="402" spans="3:29">
      <c r="C402" s="98" t="s">
        <v>26</v>
      </c>
      <c r="D402" s="29">
        <f>'MModule+onboard_volatile'!C115</f>
        <v>0</v>
      </c>
      <c r="E402" s="29" t="str">
        <f>'MModule+onboard_volatile'!D115</f>
        <v>FCST</v>
      </c>
      <c r="F402" s="29">
        <f>'MModule+onboard_volatile'!E115</f>
        <v>0</v>
      </c>
      <c r="G402" s="29" t="str">
        <f>'MModule+onboard_volatile'!F115</f>
        <v>K3500PC</v>
      </c>
      <c r="H402" s="29" t="str">
        <f>'MModule+onboard_volatile'!G115</f>
        <v>Core i5-11300H</v>
      </c>
      <c r="I402" s="29">
        <f>'MModule+onboard_volatile'!H115</f>
        <v>0</v>
      </c>
      <c r="J402" s="29">
        <f>'MModule+onboard_volatile'!I115</f>
        <v>0</v>
      </c>
      <c r="K402" s="29">
        <f>'MModule+onboard_volatile'!J115</f>
        <v>0</v>
      </c>
      <c r="L402" s="29" t="str">
        <f>'MModule+onboard_volatile'!K115</f>
        <v>16GB</v>
      </c>
      <c r="M402" s="29">
        <f>'MModule+onboard_volatile'!L115</f>
        <v>0</v>
      </c>
      <c r="N402" s="29">
        <f>'MModule+onboard_volatile'!M115</f>
        <v>0</v>
      </c>
      <c r="O402" s="29">
        <f>'MModule+onboard_volatile'!N115</f>
        <v>0</v>
      </c>
      <c r="P402" s="29">
        <f>'MModule+onboard_volatile'!P115</f>
        <v>0</v>
      </c>
      <c r="Q402" s="29">
        <f>'MModule+onboard_volatile'!Q115</f>
        <v>0</v>
      </c>
      <c r="R402" s="29">
        <f>'MModule+onboard_volatile'!R115</f>
        <v>0</v>
      </c>
      <c r="S402" s="29">
        <f>'MModule+onboard_volatile'!S115</f>
        <v>0</v>
      </c>
      <c r="T402" s="29">
        <f>'MModule+onboard_volatile'!T115</f>
        <v>0</v>
      </c>
      <c r="U402" s="29">
        <f>'MModule+onboard_volatile'!U115</f>
        <v>0</v>
      </c>
      <c r="V402" s="29">
        <f>'MModule+onboard_volatile'!V115</f>
        <v>0</v>
      </c>
      <c r="W402" s="29">
        <f>'MModule+onboard_volatile'!W115</f>
        <v>0</v>
      </c>
      <c r="X402" s="29">
        <f>'MModule+onboard_volatile'!X115</f>
        <v>0</v>
      </c>
      <c r="Y402" s="29">
        <f>'MModule+onboard_volatile'!Y115</f>
        <v>0</v>
      </c>
      <c r="Z402" s="29" t="e">
        <f>'MModule+onboard_volatile'!#REF!</f>
        <v>#REF!</v>
      </c>
      <c r="AA402" s="29">
        <f>'MModule+onboard_volatile'!Z115</f>
        <v>0</v>
      </c>
      <c r="AB402" s="29">
        <f>'MModule+onboard_volatile'!AA115</f>
        <v>0</v>
      </c>
      <c r="AC402" s="11"/>
    </row>
    <row r="403" spans="3:29">
      <c r="C403" s="98" t="s">
        <v>26</v>
      </c>
      <c r="D403" s="29">
        <f>'MModule+onboard_volatile'!C116</f>
        <v>0</v>
      </c>
      <c r="E403" s="29">
        <f>'MModule+onboard_volatile'!D116</f>
        <v>0</v>
      </c>
      <c r="F403" s="29">
        <f>'MModule+onboard_volatile'!E116</f>
        <v>0</v>
      </c>
      <c r="G403" s="29" t="str">
        <f>'MModule+onboard_volatile'!F116</f>
        <v>K3500PC</v>
      </c>
      <c r="H403" s="29" t="str">
        <f>'MModule+onboard_volatile'!G116</f>
        <v>Core i5-11300H</v>
      </c>
      <c r="I403" s="29" t="str">
        <f>'MModule+onboard_volatile'!H116</f>
        <v>Imported</v>
      </c>
      <c r="J403" s="29" t="str">
        <f>'MModule+onboard_volatile'!I116</f>
        <v>Asus</v>
      </c>
      <c r="K403" s="29" t="str">
        <f>'MModule+onboard_volatile'!J116</f>
        <v>GPU VRAM</v>
      </c>
      <c r="L403" s="29" t="str">
        <f>'MModule+onboard_volatile'!K116</f>
        <v>V4G</v>
      </c>
      <c r="M403" s="29">
        <f>'MModule+onboard_volatile'!L116</f>
        <v>4</v>
      </c>
      <c r="N403" s="29" t="str">
        <f>'MModule+onboard_volatile'!M116</f>
        <v>03014-00010600</v>
      </c>
      <c r="O403" s="29">
        <f>'MModule+onboard_volatile'!N116</f>
        <v>0</v>
      </c>
      <c r="P403" s="29">
        <f>'MModule+onboard_volatile'!P116</f>
        <v>0</v>
      </c>
      <c r="Q403" s="29">
        <f>'MModule+onboard_volatile'!Q116</f>
        <v>0</v>
      </c>
      <c r="R403" s="29">
        <f>'MModule+onboard_volatile'!R116</f>
        <v>0</v>
      </c>
      <c r="S403" s="29">
        <f>'MModule+onboard_volatile'!S116</f>
        <v>0</v>
      </c>
      <c r="T403" s="29">
        <f>'MModule+onboard_volatile'!T116</f>
        <v>0</v>
      </c>
      <c r="U403" s="29">
        <f>'MModule+onboard_volatile'!U116</f>
        <v>0</v>
      </c>
      <c r="V403" s="29">
        <f>'MModule+onboard_volatile'!V116</f>
        <v>0</v>
      </c>
      <c r="W403" s="29">
        <f>'MModule+onboard_volatile'!W116</f>
        <v>0</v>
      </c>
      <c r="X403" s="29">
        <f>'MModule+onboard_volatile'!X116</f>
        <v>0</v>
      </c>
      <c r="Y403" s="29">
        <f>'MModule+onboard_volatile'!Y116</f>
        <v>0</v>
      </c>
      <c r="Z403" s="29" t="e">
        <f>'MModule+onboard_volatile'!#REF!</f>
        <v>#REF!</v>
      </c>
      <c r="AA403" s="29">
        <f>'MModule+onboard_volatile'!Z116</f>
        <v>0</v>
      </c>
      <c r="AB403" s="29" t="str">
        <f>'MModule+onboard_volatile'!AA116</f>
        <v>n/a</v>
      </c>
      <c r="AC403" s="11"/>
    </row>
    <row r="404" spans="3:29">
      <c r="C404" s="98" t="s">
        <v>26</v>
      </c>
      <c r="D404" s="29">
        <f>'MModule+onboard_volatile'!C117</f>
        <v>0</v>
      </c>
      <c r="E404" s="29">
        <f>'MModule+onboard_volatile'!D117</f>
        <v>0</v>
      </c>
      <c r="F404" s="29">
        <f>'MModule+onboard_volatile'!E117</f>
        <v>0</v>
      </c>
      <c r="G404" s="29" t="str">
        <f>'MModule+onboard_volatile'!F117</f>
        <v>K3500PC</v>
      </c>
      <c r="H404" s="29" t="str">
        <f>'MModule+onboard_volatile'!G117</f>
        <v>Core i5-11300H</v>
      </c>
      <c r="I404" s="29" t="str">
        <f>'MModule+onboard_volatile'!H117</f>
        <v>Imported</v>
      </c>
      <c r="J404" s="29" t="str">
        <f>'MModule+onboard_volatile'!I117</f>
        <v>Asus</v>
      </c>
      <c r="K404" s="29" t="str">
        <f>'MModule+onboard_volatile'!J117</f>
        <v>M on board</v>
      </c>
      <c r="L404" s="29" t="str">
        <f>'MModule+onboard_volatile'!K117</f>
        <v>16GB (3200)</v>
      </c>
      <c r="M404" s="29">
        <f>'MModule+onboard_volatile'!L117</f>
        <v>8</v>
      </c>
      <c r="N404" s="29" t="str">
        <f>'MModule+onboard_volatile'!M117</f>
        <v>03012-00040600
03012-00041000</v>
      </c>
      <c r="O404" s="29">
        <f>'MModule+onboard_volatile'!N117</f>
        <v>0</v>
      </c>
      <c r="P404" s="29">
        <f>'MModule+onboard_volatile'!P117</f>
        <v>0</v>
      </c>
      <c r="Q404" s="29">
        <f>'MModule+onboard_volatile'!Q117</f>
        <v>0</v>
      </c>
      <c r="R404" s="29">
        <f>'MModule+onboard_volatile'!R117</f>
        <v>0</v>
      </c>
      <c r="S404" s="29">
        <f>'MModule+onboard_volatile'!S117</f>
        <v>0</v>
      </c>
      <c r="T404" s="29">
        <f>'MModule+onboard_volatile'!T117</f>
        <v>0</v>
      </c>
      <c r="U404" s="29">
        <f>'MModule+onboard_volatile'!U117</f>
        <v>0</v>
      </c>
      <c r="V404" s="29">
        <f>'MModule+onboard_volatile'!V117</f>
        <v>0</v>
      </c>
      <c r="W404" s="29">
        <f>'MModule+onboard_volatile'!W117</f>
        <v>0</v>
      </c>
      <c r="X404" s="29">
        <f>'MModule+onboard_volatile'!X117</f>
        <v>0</v>
      </c>
      <c r="Y404" s="29">
        <f>'MModule+onboard_volatile'!Y117</f>
        <v>0</v>
      </c>
      <c r="Z404" s="29" t="e">
        <f>'MModule+onboard_volatile'!#REF!</f>
        <v>#REF!</v>
      </c>
      <c r="AA404" s="29">
        <f>'MModule+onboard_volatile'!Z117</f>
        <v>0</v>
      </c>
      <c r="AB404" s="29" t="str">
        <f>'MModule+onboard_volatile'!AA117</f>
        <v>n/a</v>
      </c>
      <c r="AC404" s="11"/>
    </row>
    <row r="405" spans="3:29">
      <c r="C405" s="98" t="s">
        <v>26</v>
      </c>
      <c r="D405" s="29">
        <f>'MModule+onboard_volatile'!C118</f>
        <v>0</v>
      </c>
      <c r="E405" s="29">
        <f>'MModule+onboard_volatile'!D118</f>
        <v>0</v>
      </c>
      <c r="F405" s="29">
        <f>'MModule+onboard_volatile'!E118</f>
        <v>0</v>
      </c>
      <c r="G405" s="29" t="str">
        <f>'MModule+onboard_volatile'!F118</f>
        <v>K3500PC</v>
      </c>
      <c r="H405" s="29" t="str">
        <f>'MModule+onboard_volatile'!G118</f>
        <v>Core i5-11300H</v>
      </c>
      <c r="I405" s="29" t="str">
        <f>'MModule+onboard_volatile'!H118</f>
        <v>Local</v>
      </c>
      <c r="J405" s="29" t="str">
        <f>'MModule+onboard_volatile'!I118</f>
        <v>TBD</v>
      </c>
      <c r="K405" s="29" t="str">
        <f>'MModule+onboard_volatile'!J118</f>
        <v>M on board</v>
      </c>
      <c r="L405" s="29" t="str">
        <f>'MModule+onboard_volatile'!K118</f>
        <v>16GB</v>
      </c>
      <c r="M405" s="29">
        <f>'MModule+onboard_volatile'!L118</f>
        <v>8</v>
      </c>
      <c r="N405" s="29" t="str">
        <f>'MModule+onboard_volatile'!M118</f>
        <v>DDR4 (1024x16)</v>
      </c>
      <c r="O405" s="29">
        <f>'MModule+onboard_volatile'!N118</f>
        <v>0</v>
      </c>
      <c r="P405" s="29">
        <f>'MModule+onboard_volatile'!P118</f>
        <v>0</v>
      </c>
      <c r="Q405" s="29">
        <f>'MModule+onboard_volatile'!Q118</f>
        <v>0</v>
      </c>
      <c r="R405" s="29">
        <f>'MModule+onboard_volatile'!R118</f>
        <v>0</v>
      </c>
      <c r="S405" s="29">
        <f>'MModule+onboard_volatile'!S118</f>
        <v>0</v>
      </c>
      <c r="T405" s="29">
        <f>'MModule+onboard_volatile'!T118</f>
        <v>0</v>
      </c>
      <c r="U405" s="29">
        <f>'MModule+onboard_volatile'!U118</f>
        <v>0</v>
      </c>
      <c r="V405" s="29">
        <f>'MModule+onboard_volatile'!V118</f>
        <v>0</v>
      </c>
      <c r="W405" s="29">
        <f>'MModule+onboard_volatile'!W118</f>
        <v>0</v>
      </c>
      <c r="X405" s="29">
        <f>'MModule+onboard_volatile'!X118</f>
        <v>0</v>
      </c>
      <c r="Y405" s="29">
        <f>'MModule+onboard_volatile'!Y118</f>
        <v>0</v>
      </c>
      <c r="Z405" s="29" t="e">
        <f>'MModule+onboard_volatile'!#REF!</f>
        <v>#REF!</v>
      </c>
      <c r="AA405" s="29">
        <f>'MModule+onboard_volatile'!Z118</f>
        <v>0</v>
      </c>
      <c r="AB405" s="29" t="str">
        <f>'MModule+onboard_volatile'!AA118</f>
        <v>n/a</v>
      </c>
      <c r="AC405" s="11"/>
    </row>
    <row r="406" spans="3:29" s="11" customFormat="1">
      <c r="C406" s="98" t="s">
        <v>26</v>
      </c>
      <c r="D406" s="29">
        <f>'MModule+onboard_volatile'!C119</f>
        <v>0</v>
      </c>
      <c r="E406" s="29" t="str">
        <f>'MModule+onboard_volatile'!D119</f>
        <v>FCST</v>
      </c>
      <c r="F406" s="29">
        <f>'MModule+onboard_volatile'!E119</f>
        <v>0</v>
      </c>
      <c r="G406" s="29" t="str">
        <f>'MModule+onboard_volatile'!F119</f>
        <v>K3500PC</v>
      </c>
      <c r="H406" s="29" t="str">
        <f>'MModule+onboard_volatile'!G119</f>
        <v>Core i7-11370H</v>
      </c>
      <c r="I406" s="29">
        <f>'MModule+onboard_volatile'!H119</f>
        <v>0</v>
      </c>
      <c r="J406" s="29">
        <f>'MModule+onboard_volatile'!I119</f>
        <v>0</v>
      </c>
      <c r="K406" s="29">
        <f>'MModule+onboard_volatile'!J119</f>
        <v>0</v>
      </c>
      <c r="L406" s="29" t="str">
        <f>'MModule+onboard_volatile'!K119</f>
        <v>16GB</v>
      </c>
      <c r="M406" s="29">
        <f>'MModule+onboard_volatile'!L119</f>
        <v>0</v>
      </c>
      <c r="N406" s="29">
        <f>'MModule+onboard_volatile'!M119</f>
        <v>0</v>
      </c>
      <c r="O406" s="29">
        <f>'MModule+onboard_volatile'!N119</f>
        <v>0</v>
      </c>
      <c r="P406" s="29">
        <f>'MModule+onboard_volatile'!P119</f>
        <v>0</v>
      </c>
      <c r="Q406" s="29">
        <f>'MModule+onboard_volatile'!Q119</f>
        <v>0</v>
      </c>
      <c r="R406" s="29">
        <f>'MModule+onboard_volatile'!R119</f>
        <v>0</v>
      </c>
      <c r="S406" s="29">
        <f>'MModule+onboard_volatile'!S119</f>
        <v>0</v>
      </c>
      <c r="T406" s="29">
        <f>'MModule+onboard_volatile'!T119</f>
        <v>0</v>
      </c>
      <c r="U406" s="29">
        <f>'MModule+onboard_volatile'!U119</f>
        <v>0</v>
      </c>
      <c r="V406" s="29">
        <f>'MModule+onboard_volatile'!V119</f>
        <v>0</v>
      </c>
      <c r="W406" s="29">
        <f>'MModule+onboard_volatile'!W119</f>
        <v>0</v>
      </c>
      <c r="X406" s="29">
        <f>'MModule+onboard_volatile'!X119</f>
        <v>0</v>
      </c>
      <c r="Y406" s="29">
        <f>'MModule+onboard_volatile'!Y119</f>
        <v>0</v>
      </c>
      <c r="Z406" s="29" t="e">
        <f>'MModule+onboard_volatile'!#REF!</f>
        <v>#REF!</v>
      </c>
      <c r="AA406" s="29">
        <f>'MModule+onboard_volatile'!Z119</f>
        <v>0</v>
      </c>
      <c r="AB406" s="29">
        <f>'MModule+onboard_volatile'!AA119</f>
        <v>0</v>
      </c>
    </row>
    <row r="407" spans="3:29" s="11" customFormat="1">
      <c r="C407" s="98" t="s">
        <v>26</v>
      </c>
      <c r="D407" s="29">
        <f>'MModule+onboard_volatile'!C120</f>
        <v>0</v>
      </c>
      <c r="E407" s="29">
        <f>'MModule+onboard_volatile'!D120</f>
        <v>0</v>
      </c>
      <c r="F407" s="29">
        <f>'MModule+onboard_volatile'!E120</f>
        <v>0</v>
      </c>
      <c r="G407" s="29" t="str">
        <f>'MModule+onboard_volatile'!F120</f>
        <v>K3500PC</v>
      </c>
      <c r="H407" s="29" t="str">
        <f>'MModule+onboard_volatile'!G120</f>
        <v>Core i7-11370H</v>
      </c>
      <c r="I407" s="29" t="str">
        <f>'MModule+onboard_volatile'!H120</f>
        <v>Imported</v>
      </c>
      <c r="J407" s="29" t="str">
        <f>'MModule+onboard_volatile'!I120</f>
        <v>Asus</v>
      </c>
      <c r="K407" s="29" t="str">
        <f>'MModule+onboard_volatile'!J120</f>
        <v>GPU VRAM</v>
      </c>
      <c r="L407" s="29" t="str">
        <f>'MModule+onboard_volatile'!K120</f>
        <v>V4G</v>
      </c>
      <c r="M407" s="29">
        <f>'MModule+onboard_volatile'!L120</f>
        <v>4</v>
      </c>
      <c r="N407" s="29" t="str">
        <f>'MModule+onboard_volatile'!M120</f>
        <v>03014-00010600</v>
      </c>
      <c r="O407" s="29">
        <f>'MModule+onboard_volatile'!N120</f>
        <v>0</v>
      </c>
      <c r="P407" s="29">
        <f>'MModule+onboard_volatile'!P120</f>
        <v>0</v>
      </c>
      <c r="Q407" s="29">
        <f>'MModule+onboard_volatile'!Q120</f>
        <v>0</v>
      </c>
      <c r="R407" s="29">
        <f>'MModule+onboard_volatile'!R120</f>
        <v>0</v>
      </c>
      <c r="S407" s="29">
        <f>'MModule+onboard_volatile'!S120</f>
        <v>0</v>
      </c>
      <c r="T407" s="29">
        <f>'MModule+onboard_volatile'!T120</f>
        <v>0</v>
      </c>
      <c r="U407" s="29">
        <f>'MModule+onboard_volatile'!U120</f>
        <v>0</v>
      </c>
      <c r="V407" s="29">
        <f>'MModule+onboard_volatile'!V120</f>
        <v>0</v>
      </c>
      <c r="W407" s="29">
        <f>'MModule+onboard_volatile'!W120</f>
        <v>0</v>
      </c>
      <c r="X407" s="29">
        <f>'MModule+onboard_volatile'!X120</f>
        <v>0</v>
      </c>
      <c r="Y407" s="29">
        <f>'MModule+onboard_volatile'!Y120</f>
        <v>0</v>
      </c>
      <c r="Z407" s="29" t="e">
        <f>'MModule+onboard_volatile'!#REF!</f>
        <v>#REF!</v>
      </c>
      <c r="AA407" s="29">
        <f>'MModule+onboard_volatile'!Z120</f>
        <v>0</v>
      </c>
      <c r="AB407" s="29" t="str">
        <f>'MModule+onboard_volatile'!AA120</f>
        <v>n/a</v>
      </c>
    </row>
    <row r="408" spans="3:29" s="11" customFormat="1">
      <c r="C408" s="98" t="s">
        <v>26</v>
      </c>
      <c r="D408" s="29">
        <f>'MModule+onboard_volatile'!C121</f>
        <v>0</v>
      </c>
      <c r="E408" s="29">
        <f>'MModule+onboard_volatile'!D121</f>
        <v>0</v>
      </c>
      <c r="F408" s="29">
        <f>'MModule+onboard_volatile'!E121</f>
        <v>0</v>
      </c>
      <c r="G408" s="29" t="str">
        <f>'MModule+onboard_volatile'!F121</f>
        <v>K3500PC</v>
      </c>
      <c r="H408" s="29" t="str">
        <f>'MModule+onboard_volatile'!G121</f>
        <v>Core i7-11370H</v>
      </c>
      <c r="I408" s="29" t="str">
        <f>'MModule+onboard_volatile'!H121</f>
        <v>Imported</v>
      </c>
      <c r="J408" s="29" t="str">
        <f>'MModule+onboard_volatile'!I121</f>
        <v>Asus</v>
      </c>
      <c r="K408" s="29" t="str">
        <f>'MModule+onboard_volatile'!J121</f>
        <v>M on board</v>
      </c>
      <c r="L408" s="29" t="str">
        <f>'MModule+onboard_volatile'!K121</f>
        <v>16GB (3200)</v>
      </c>
      <c r="M408" s="29">
        <f>'MModule+onboard_volatile'!L121</f>
        <v>8</v>
      </c>
      <c r="N408" s="29" t="str">
        <f>'MModule+onboard_volatile'!M121</f>
        <v>03012-00040600
03012-00041000</v>
      </c>
      <c r="O408" s="29">
        <f>'MModule+onboard_volatile'!N121</f>
        <v>0</v>
      </c>
      <c r="P408" s="29">
        <f>'MModule+onboard_volatile'!P121</f>
        <v>0</v>
      </c>
      <c r="Q408" s="29">
        <f>'MModule+onboard_volatile'!Q121</f>
        <v>0</v>
      </c>
      <c r="R408" s="29">
        <f>'MModule+onboard_volatile'!R121</f>
        <v>0</v>
      </c>
      <c r="S408" s="29">
        <f>'MModule+onboard_volatile'!S121</f>
        <v>0</v>
      </c>
      <c r="T408" s="29">
        <f>'MModule+onboard_volatile'!T121</f>
        <v>0</v>
      </c>
      <c r="U408" s="29">
        <f>'MModule+onboard_volatile'!U121</f>
        <v>0</v>
      </c>
      <c r="V408" s="29">
        <f>'MModule+onboard_volatile'!V121</f>
        <v>0</v>
      </c>
      <c r="W408" s="29">
        <f>'MModule+onboard_volatile'!W121</f>
        <v>0</v>
      </c>
      <c r="X408" s="29">
        <f>'MModule+onboard_volatile'!X121</f>
        <v>0</v>
      </c>
      <c r="Y408" s="29">
        <f>'MModule+onboard_volatile'!Y121</f>
        <v>0</v>
      </c>
      <c r="Z408" s="29" t="e">
        <f>'MModule+onboard_volatile'!#REF!</f>
        <v>#REF!</v>
      </c>
      <c r="AA408" s="29">
        <f>'MModule+onboard_volatile'!Z121</f>
        <v>0</v>
      </c>
      <c r="AB408" s="29" t="str">
        <f>'MModule+onboard_volatile'!AA121</f>
        <v>n/a</v>
      </c>
    </row>
    <row r="409" spans="3:29" s="11" customFormat="1">
      <c r="C409" s="98" t="s">
        <v>26</v>
      </c>
      <c r="D409" s="29">
        <f>'MModule+onboard_volatile'!C122</f>
        <v>0</v>
      </c>
      <c r="E409" s="29">
        <f>'MModule+onboard_volatile'!D122</f>
        <v>0</v>
      </c>
      <c r="F409" s="29">
        <f>'MModule+onboard_volatile'!E122</f>
        <v>0</v>
      </c>
      <c r="G409" s="29" t="str">
        <f>'MModule+onboard_volatile'!F122</f>
        <v>K3500PC</v>
      </c>
      <c r="H409" s="29" t="str">
        <f>'MModule+onboard_volatile'!G122</f>
        <v>Core i7-11370H</v>
      </c>
      <c r="I409" s="29" t="str">
        <f>'MModule+onboard_volatile'!H122</f>
        <v>Local</v>
      </c>
      <c r="J409" s="29" t="str">
        <f>'MModule+onboard_volatile'!I122</f>
        <v>TBD</v>
      </c>
      <c r="K409" s="29" t="str">
        <f>'MModule+onboard_volatile'!J122</f>
        <v>M on board</v>
      </c>
      <c r="L409" s="29" t="str">
        <f>'MModule+onboard_volatile'!K122</f>
        <v>16GB</v>
      </c>
      <c r="M409" s="29">
        <f>'MModule+onboard_volatile'!L122</f>
        <v>8</v>
      </c>
      <c r="N409" s="29" t="str">
        <f>'MModule+onboard_volatile'!M122</f>
        <v>DDR4 (1024x16)</v>
      </c>
      <c r="O409" s="29">
        <f>'MModule+onboard_volatile'!N122</f>
        <v>0</v>
      </c>
      <c r="P409" s="29">
        <f>'MModule+onboard_volatile'!P122</f>
        <v>0</v>
      </c>
      <c r="Q409" s="29">
        <f>'MModule+onboard_volatile'!Q122</f>
        <v>0</v>
      </c>
      <c r="R409" s="29">
        <f>'MModule+onboard_volatile'!R122</f>
        <v>0</v>
      </c>
      <c r="S409" s="29">
        <f>'MModule+onboard_volatile'!S122</f>
        <v>0</v>
      </c>
      <c r="T409" s="29">
        <f>'MModule+onboard_volatile'!T122</f>
        <v>0</v>
      </c>
      <c r="U409" s="29">
        <f>'MModule+onboard_volatile'!U122</f>
        <v>0</v>
      </c>
      <c r="V409" s="29">
        <f>'MModule+onboard_volatile'!V122</f>
        <v>0</v>
      </c>
      <c r="W409" s="29">
        <f>'MModule+onboard_volatile'!W122</f>
        <v>0</v>
      </c>
      <c r="X409" s="29">
        <f>'MModule+onboard_volatile'!X122</f>
        <v>0</v>
      </c>
      <c r="Y409" s="29">
        <f>'MModule+onboard_volatile'!Y122</f>
        <v>0</v>
      </c>
      <c r="Z409" s="29" t="e">
        <f>'MModule+onboard_volatile'!#REF!</f>
        <v>#REF!</v>
      </c>
      <c r="AA409" s="29">
        <f>'MModule+onboard_volatile'!Z122</f>
        <v>0</v>
      </c>
      <c r="AB409" s="29" t="str">
        <f>'MModule+onboard_volatile'!AA122</f>
        <v>n/a</v>
      </c>
    </row>
    <row r="410" spans="3:29" s="11" customFormat="1">
      <c r="C410" s="98" t="s">
        <v>26</v>
      </c>
      <c r="D410" s="29">
        <f>'MModule+onboard_volatile'!C123</f>
        <v>0</v>
      </c>
      <c r="E410" s="29" t="str">
        <f>'MModule+onboard_volatile'!D123</f>
        <v>FCST</v>
      </c>
      <c r="F410" s="29">
        <f>'MModule+onboard_volatile'!E123</f>
        <v>0</v>
      </c>
      <c r="G410" s="29" t="str">
        <f>'MModule+onboard_volatile'!F123</f>
        <v>K3500PH</v>
      </c>
      <c r="H410" s="29" t="str">
        <f>'MModule+onboard_volatile'!G123</f>
        <v>Core i5-11300H</v>
      </c>
      <c r="I410" s="29">
        <f>'MModule+onboard_volatile'!H123</f>
        <v>0</v>
      </c>
      <c r="J410" s="29">
        <f>'MModule+onboard_volatile'!I123</f>
        <v>0</v>
      </c>
      <c r="K410" s="29">
        <f>'MModule+onboard_volatile'!J123</f>
        <v>0</v>
      </c>
      <c r="L410" s="29" t="str">
        <f>'MModule+onboard_volatile'!K123</f>
        <v>8GB</v>
      </c>
      <c r="M410" s="29">
        <f>'MModule+onboard_volatile'!L123</f>
        <v>0</v>
      </c>
      <c r="N410" s="29">
        <f>'MModule+onboard_volatile'!M123</f>
        <v>0</v>
      </c>
      <c r="O410" s="29">
        <f>'MModule+onboard_volatile'!N123</f>
        <v>0</v>
      </c>
      <c r="P410" s="29">
        <f>'MModule+onboard_volatile'!P123</f>
        <v>0</v>
      </c>
      <c r="Q410" s="29">
        <f>'MModule+onboard_volatile'!Q123</f>
        <v>0</v>
      </c>
      <c r="R410" s="29">
        <f>'MModule+onboard_volatile'!R123</f>
        <v>0</v>
      </c>
      <c r="S410" s="29">
        <f>'MModule+onboard_volatile'!S123</f>
        <v>0</v>
      </c>
      <c r="T410" s="29">
        <f>'MModule+onboard_volatile'!T123</f>
        <v>0</v>
      </c>
      <c r="U410" s="29">
        <f>'MModule+onboard_volatile'!U123</f>
        <v>0</v>
      </c>
      <c r="V410" s="29">
        <f>'MModule+onboard_volatile'!V123</f>
        <v>0</v>
      </c>
      <c r="W410" s="29">
        <f>'MModule+onboard_volatile'!W123</f>
        <v>0</v>
      </c>
      <c r="X410" s="29">
        <f>'MModule+onboard_volatile'!X123</f>
        <v>0</v>
      </c>
      <c r="Y410" s="29">
        <f>'MModule+onboard_volatile'!Y123</f>
        <v>0</v>
      </c>
      <c r="Z410" s="29" t="e">
        <f>'MModule+onboard_volatile'!#REF!</f>
        <v>#REF!</v>
      </c>
      <c r="AA410" s="29">
        <f>'MModule+onboard_volatile'!Z123</f>
        <v>0</v>
      </c>
      <c r="AB410" s="29">
        <f>'MModule+onboard_volatile'!AA123</f>
        <v>0</v>
      </c>
    </row>
    <row r="411" spans="3:29" s="11" customFormat="1">
      <c r="C411" s="98" t="s">
        <v>26</v>
      </c>
      <c r="D411" s="29">
        <f>'MModule+onboard_volatile'!C124</f>
        <v>0</v>
      </c>
      <c r="E411" s="29">
        <f>'MModule+onboard_volatile'!D124</f>
        <v>0</v>
      </c>
      <c r="F411" s="29">
        <f>'MModule+onboard_volatile'!E124</f>
        <v>0</v>
      </c>
      <c r="G411" s="29" t="str">
        <f>'MModule+onboard_volatile'!F124</f>
        <v>K3500PH</v>
      </c>
      <c r="H411" s="29" t="str">
        <f>'MModule+onboard_volatile'!G124</f>
        <v>Core i5-11300H</v>
      </c>
      <c r="I411" s="29" t="str">
        <f>'MModule+onboard_volatile'!H124</f>
        <v>Imported</v>
      </c>
      <c r="J411" s="29" t="str">
        <f>'MModule+onboard_volatile'!I124</f>
        <v>Asus</v>
      </c>
      <c r="K411" s="29" t="str">
        <f>'MModule+onboard_volatile'!J124</f>
        <v>GPU VRAM</v>
      </c>
      <c r="L411" s="29" t="str">
        <f>'MModule+onboard_volatile'!K124</f>
        <v>V4G</v>
      </c>
      <c r="M411" s="29">
        <f>'MModule+onboard_volatile'!L124</f>
        <v>4</v>
      </c>
      <c r="N411" s="29" t="str">
        <f>'MModule+onboard_volatile'!M124</f>
        <v>03014-00010600</v>
      </c>
      <c r="O411" s="29">
        <f>'MModule+onboard_volatile'!N124</f>
        <v>0</v>
      </c>
      <c r="P411" s="29">
        <f>'MModule+onboard_volatile'!P124</f>
        <v>0</v>
      </c>
      <c r="Q411" s="29">
        <f>'MModule+onboard_volatile'!Q124</f>
        <v>0</v>
      </c>
      <c r="R411" s="29">
        <f>'MModule+onboard_volatile'!R124</f>
        <v>0</v>
      </c>
      <c r="S411" s="29">
        <f>'MModule+onboard_volatile'!S124</f>
        <v>0</v>
      </c>
      <c r="T411" s="29">
        <f>'MModule+onboard_volatile'!T124</f>
        <v>0</v>
      </c>
      <c r="U411" s="29">
        <f>'MModule+onboard_volatile'!U124</f>
        <v>0</v>
      </c>
      <c r="V411" s="29">
        <f>'MModule+onboard_volatile'!V124</f>
        <v>0</v>
      </c>
      <c r="W411" s="29">
        <f>'MModule+onboard_volatile'!W124</f>
        <v>0</v>
      </c>
      <c r="X411" s="29">
        <f>'MModule+onboard_volatile'!X124</f>
        <v>0</v>
      </c>
      <c r="Y411" s="29">
        <f>'MModule+onboard_volatile'!Y124</f>
        <v>0</v>
      </c>
      <c r="Z411" s="29" t="e">
        <f>'MModule+onboard_volatile'!#REF!</f>
        <v>#REF!</v>
      </c>
      <c r="AA411" s="29">
        <f>'MModule+onboard_volatile'!Z124</f>
        <v>0</v>
      </c>
      <c r="AB411" s="29" t="str">
        <f>'MModule+onboard_volatile'!AA124</f>
        <v>n/a</v>
      </c>
    </row>
    <row r="412" spans="3:29" s="11" customFormat="1">
      <c r="C412" s="98" t="s">
        <v>26</v>
      </c>
      <c r="D412" s="29">
        <f>'MModule+onboard_volatile'!C125</f>
        <v>0</v>
      </c>
      <c r="E412" s="29">
        <f>'MModule+onboard_volatile'!D125</f>
        <v>0</v>
      </c>
      <c r="F412" s="29">
        <f>'MModule+onboard_volatile'!E125</f>
        <v>0</v>
      </c>
      <c r="G412" s="29" t="str">
        <f>'MModule+onboard_volatile'!F125</f>
        <v>K3500PH</v>
      </c>
      <c r="H412" s="29" t="str">
        <f>'MModule+onboard_volatile'!G125</f>
        <v>Core i5-11300H</v>
      </c>
      <c r="I412" s="29" t="str">
        <f>'MModule+onboard_volatile'!H125</f>
        <v>Imported</v>
      </c>
      <c r="J412" s="29" t="str">
        <f>'MModule+onboard_volatile'!I125</f>
        <v>Asus</v>
      </c>
      <c r="K412" s="29" t="str">
        <f>'MModule+onboard_volatile'!J125</f>
        <v>M on board</v>
      </c>
      <c r="L412" s="29" t="str">
        <f>'MModule+onboard_volatile'!K125</f>
        <v>8GB (3200)</v>
      </c>
      <c r="M412" s="29">
        <f>'MModule+onboard_volatile'!L125</f>
        <v>8</v>
      </c>
      <c r="N412" s="29" t="str">
        <f>'MModule+onboard_volatile'!M125</f>
        <v>03012-00021000
03012-00021300</v>
      </c>
      <c r="O412" s="29">
        <f>'MModule+onboard_volatile'!N125</f>
        <v>0</v>
      </c>
      <c r="P412" s="29">
        <f>'MModule+onboard_volatile'!P125</f>
        <v>0</v>
      </c>
      <c r="Q412" s="29">
        <f>'MModule+onboard_volatile'!Q125</f>
        <v>0</v>
      </c>
      <c r="R412" s="29">
        <f>'MModule+onboard_volatile'!R125</f>
        <v>0</v>
      </c>
      <c r="S412" s="29">
        <f>'MModule+onboard_volatile'!S125</f>
        <v>0</v>
      </c>
      <c r="T412" s="29">
        <f>'MModule+onboard_volatile'!T125</f>
        <v>0</v>
      </c>
      <c r="U412" s="29">
        <f>'MModule+onboard_volatile'!U125</f>
        <v>0</v>
      </c>
      <c r="V412" s="29">
        <f>'MModule+onboard_volatile'!V125</f>
        <v>0</v>
      </c>
      <c r="W412" s="29">
        <f>'MModule+onboard_volatile'!W125</f>
        <v>0</v>
      </c>
      <c r="X412" s="29">
        <f>'MModule+onboard_volatile'!X125</f>
        <v>0</v>
      </c>
      <c r="Y412" s="29">
        <f>'MModule+onboard_volatile'!Y125</f>
        <v>0</v>
      </c>
      <c r="Z412" s="29" t="e">
        <f>'MModule+onboard_volatile'!#REF!</f>
        <v>#REF!</v>
      </c>
      <c r="AA412" s="29">
        <f>'MModule+onboard_volatile'!Z125</f>
        <v>0</v>
      </c>
      <c r="AB412" s="29" t="str">
        <f>'MModule+onboard_volatile'!AA125</f>
        <v>n/a</v>
      </c>
    </row>
    <row r="413" spans="3:29" s="11" customFormat="1">
      <c r="C413" s="98" t="s">
        <v>26</v>
      </c>
      <c r="D413" s="29">
        <f>'MModule+onboard_volatile'!C126</f>
        <v>0</v>
      </c>
      <c r="E413" s="29">
        <f>'MModule+onboard_volatile'!D126</f>
        <v>0</v>
      </c>
      <c r="F413" s="29">
        <f>'MModule+onboard_volatile'!E126</f>
        <v>0</v>
      </c>
      <c r="G413" s="29" t="str">
        <f>'MModule+onboard_volatile'!F126</f>
        <v>K3500PH</v>
      </c>
      <c r="H413" s="29" t="str">
        <f>'MModule+onboard_volatile'!G126</f>
        <v>Core i5-11300H</v>
      </c>
      <c r="I413" s="29" t="str">
        <f>'MModule+onboard_volatile'!H126</f>
        <v>Local</v>
      </c>
      <c r="J413" s="29" t="str">
        <f>'MModule+onboard_volatile'!I126</f>
        <v>TBD</v>
      </c>
      <c r="K413" s="29" t="str">
        <f>'MModule+onboard_volatile'!J126</f>
        <v>M on board</v>
      </c>
      <c r="L413" s="29" t="str">
        <f>'MModule+onboard_volatile'!K126</f>
        <v>8GB</v>
      </c>
      <c r="M413" s="29">
        <f>'MModule+onboard_volatile'!L126</f>
        <v>8</v>
      </c>
      <c r="N413" s="29" t="str">
        <f>'MModule+onboard_volatile'!M126</f>
        <v>DDR4 (512x16)</v>
      </c>
      <c r="O413" s="29">
        <f>'MModule+onboard_volatile'!N126</f>
        <v>0</v>
      </c>
      <c r="P413" s="29">
        <f>'MModule+onboard_volatile'!P126</f>
        <v>0</v>
      </c>
      <c r="Q413" s="29">
        <f>'MModule+onboard_volatile'!Q126</f>
        <v>0</v>
      </c>
      <c r="R413" s="29">
        <f>'MModule+onboard_volatile'!R126</f>
        <v>0</v>
      </c>
      <c r="S413" s="29">
        <f>'MModule+onboard_volatile'!S126</f>
        <v>0</v>
      </c>
      <c r="T413" s="29">
        <f>'MModule+onboard_volatile'!T126</f>
        <v>0</v>
      </c>
      <c r="U413" s="29">
        <f>'MModule+onboard_volatile'!U126</f>
        <v>0</v>
      </c>
      <c r="V413" s="29">
        <f>'MModule+onboard_volatile'!V126</f>
        <v>0</v>
      </c>
      <c r="W413" s="29">
        <f>'MModule+onboard_volatile'!W126</f>
        <v>0</v>
      </c>
      <c r="X413" s="29">
        <f>'MModule+onboard_volatile'!X126</f>
        <v>0</v>
      </c>
      <c r="Y413" s="29">
        <f>'MModule+onboard_volatile'!Y126</f>
        <v>0</v>
      </c>
      <c r="Z413" s="29" t="e">
        <f>'MModule+onboard_volatile'!#REF!</f>
        <v>#REF!</v>
      </c>
      <c r="AA413" s="29">
        <f>'MModule+onboard_volatile'!Z126</f>
        <v>0</v>
      </c>
      <c r="AB413" s="29" t="str">
        <f>'MModule+onboard_volatile'!AA126</f>
        <v>n/a</v>
      </c>
    </row>
    <row r="414" spans="3:29" s="11" customFormat="1">
      <c r="C414" s="98" t="s">
        <v>26</v>
      </c>
      <c r="D414" s="29">
        <f>'MModule+onboard_volatile'!C127</f>
        <v>0</v>
      </c>
      <c r="E414" s="29" t="str">
        <f>'MModule+onboard_volatile'!D127</f>
        <v>FCST</v>
      </c>
      <c r="F414" s="29">
        <f>'MModule+onboard_volatile'!E127</f>
        <v>0</v>
      </c>
      <c r="G414" s="29" t="str">
        <f>'MModule+onboard_volatile'!F127</f>
        <v>M3500QC</v>
      </c>
      <c r="H414" s="29" t="str">
        <f>'MModule+onboard_volatile'!G127</f>
        <v>Ryzen 7-5800H</v>
      </c>
      <c r="I414" s="29">
        <f>'MModule+onboard_volatile'!H127</f>
        <v>0</v>
      </c>
      <c r="J414" s="29">
        <f>'MModule+onboard_volatile'!I127</f>
        <v>0</v>
      </c>
      <c r="K414" s="29">
        <f>'MModule+onboard_volatile'!J127</f>
        <v>0</v>
      </c>
      <c r="L414" s="29" t="str">
        <f>'MModule+onboard_volatile'!K127</f>
        <v>16GB</v>
      </c>
      <c r="M414" s="29">
        <f>'MModule+onboard_volatile'!L127</f>
        <v>0</v>
      </c>
      <c r="N414" s="29">
        <f>'MModule+onboard_volatile'!M127</f>
        <v>0</v>
      </c>
      <c r="O414" s="29">
        <f>'MModule+onboard_volatile'!N127</f>
        <v>0</v>
      </c>
      <c r="P414" s="29">
        <f>'MModule+onboard_volatile'!P127</f>
        <v>0</v>
      </c>
      <c r="Q414" s="29">
        <f>'MModule+onboard_volatile'!Q127</f>
        <v>0</v>
      </c>
      <c r="R414" s="29">
        <f>'MModule+onboard_volatile'!R127</f>
        <v>0</v>
      </c>
      <c r="S414" s="29">
        <f>'MModule+onboard_volatile'!S127</f>
        <v>0</v>
      </c>
      <c r="T414" s="29">
        <f>'MModule+onboard_volatile'!T127</f>
        <v>0</v>
      </c>
      <c r="U414" s="29">
        <f>'MModule+onboard_volatile'!U127</f>
        <v>0</v>
      </c>
      <c r="V414" s="29">
        <f>'MModule+onboard_volatile'!V127</f>
        <v>0</v>
      </c>
      <c r="W414" s="29">
        <f>'MModule+onboard_volatile'!W127</f>
        <v>0</v>
      </c>
      <c r="X414" s="29">
        <f>'MModule+onboard_volatile'!X127</f>
        <v>0</v>
      </c>
      <c r="Y414" s="29">
        <f>'MModule+onboard_volatile'!Y127</f>
        <v>0</v>
      </c>
      <c r="Z414" s="29" t="e">
        <f>'MModule+onboard_volatile'!#REF!</f>
        <v>#REF!</v>
      </c>
      <c r="AA414" s="29">
        <f>'MModule+onboard_volatile'!Z127</f>
        <v>0</v>
      </c>
      <c r="AB414" s="29">
        <f>'MModule+onboard_volatile'!AA127</f>
        <v>0</v>
      </c>
    </row>
    <row r="415" spans="3:29" s="11" customFormat="1">
      <c r="C415" s="98" t="s">
        <v>26</v>
      </c>
      <c r="D415" s="29">
        <f>'MModule+onboard_volatile'!C128</f>
        <v>0</v>
      </c>
      <c r="E415" s="29">
        <f>'MModule+onboard_volatile'!D128</f>
        <v>0</v>
      </c>
      <c r="F415" s="29">
        <f>'MModule+onboard_volatile'!E128</f>
        <v>0</v>
      </c>
      <c r="G415" s="29" t="str">
        <f>'MModule+onboard_volatile'!F128</f>
        <v>M3500QC</v>
      </c>
      <c r="H415" s="29" t="str">
        <f>'MModule+onboard_volatile'!G128</f>
        <v>Ryzen 7-5800H</v>
      </c>
      <c r="I415" s="29" t="str">
        <f>'MModule+onboard_volatile'!H128</f>
        <v>Imported</v>
      </c>
      <c r="J415" s="29" t="str">
        <f>'MModule+onboard_volatile'!I128</f>
        <v>Asus</v>
      </c>
      <c r="K415" s="29" t="str">
        <f>'MModule+onboard_volatile'!J128</f>
        <v>GPU VRAM</v>
      </c>
      <c r="L415" s="29" t="str">
        <f>'MModule+onboard_volatile'!K128</f>
        <v>V4G</v>
      </c>
      <c r="M415" s="29">
        <f>'MModule+onboard_volatile'!L128</f>
        <v>4</v>
      </c>
      <c r="N415" s="29" t="str">
        <f>'MModule+onboard_volatile'!M128</f>
        <v>03014-00010600</v>
      </c>
      <c r="O415" s="29">
        <f>'MModule+onboard_volatile'!N128</f>
        <v>0</v>
      </c>
      <c r="P415" s="29">
        <f>'MModule+onboard_volatile'!P128</f>
        <v>0</v>
      </c>
      <c r="Q415" s="29">
        <f>'MModule+onboard_volatile'!Q128</f>
        <v>0</v>
      </c>
      <c r="R415" s="29">
        <f>'MModule+onboard_volatile'!R128</f>
        <v>0</v>
      </c>
      <c r="S415" s="29">
        <f>'MModule+onboard_volatile'!S128</f>
        <v>0</v>
      </c>
      <c r="T415" s="29">
        <f>'MModule+onboard_volatile'!T128</f>
        <v>0</v>
      </c>
      <c r="U415" s="29">
        <f>'MModule+onboard_volatile'!U128</f>
        <v>0</v>
      </c>
      <c r="V415" s="29">
        <f>'MModule+onboard_volatile'!V128</f>
        <v>0</v>
      </c>
      <c r="W415" s="29">
        <f>'MModule+onboard_volatile'!W128</f>
        <v>0</v>
      </c>
      <c r="X415" s="29">
        <f>'MModule+onboard_volatile'!X128</f>
        <v>0</v>
      </c>
      <c r="Y415" s="29">
        <f>'MModule+onboard_volatile'!Y128</f>
        <v>0</v>
      </c>
      <c r="Z415" s="29" t="e">
        <f>'MModule+onboard_volatile'!#REF!</f>
        <v>#REF!</v>
      </c>
      <c r="AA415" s="29">
        <f>'MModule+onboard_volatile'!Z128</f>
        <v>0</v>
      </c>
      <c r="AB415" s="29" t="str">
        <f>'MModule+onboard_volatile'!AA128</f>
        <v>n/a</v>
      </c>
    </row>
    <row r="416" spans="3:29" s="11" customFormat="1">
      <c r="C416" s="98" t="s">
        <v>26</v>
      </c>
      <c r="D416" s="29">
        <f>'MModule+onboard_volatile'!C129</f>
        <v>0</v>
      </c>
      <c r="E416" s="29">
        <f>'MModule+onboard_volatile'!D129</f>
        <v>0</v>
      </c>
      <c r="F416" s="29">
        <f>'MModule+onboard_volatile'!E129</f>
        <v>0</v>
      </c>
      <c r="G416" s="29" t="str">
        <f>'MModule+onboard_volatile'!F129</f>
        <v>M3500QC</v>
      </c>
      <c r="H416" s="29" t="str">
        <f>'MModule+onboard_volatile'!G129</f>
        <v>Ryzen 7-5800H</v>
      </c>
      <c r="I416" s="29" t="str">
        <f>'MModule+onboard_volatile'!H129</f>
        <v>Imported</v>
      </c>
      <c r="J416" s="29" t="str">
        <f>'MModule+onboard_volatile'!I129</f>
        <v>Asus</v>
      </c>
      <c r="K416" s="29" t="str">
        <f>'MModule+onboard_volatile'!J129</f>
        <v>M on board</v>
      </c>
      <c r="L416" s="29" t="str">
        <f>'MModule+onboard_volatile'!K129</f>
        <v>16GB (3200)</v>
      </c>
      <c r="M416" s="29">
        <f>'MModule+onboard_volatile'!L129</f>
        <v>8</v>
      </c>
      <c r="N416" s="29" t="str">
        <f>'MModule+onboard_volatile'!M129</f>
        <v>03012-00040600
03012-00040700</v>
      </c>
      <c r="O416" s="29">
        <f>'MModule+onboard_volatile'!N129</f>
        <v>0</v>
      </c>
      <c r="P416" s="29">
        <f>'MModule+onboard_volatile'!P129</f>
        <v>0</v>
      </c>
      <c r="Q416" s="29">
        <f>'MModule+onboard_volatile'!Q129</f>
        <v>0</v>
      </c>
      <c r="R416" s="29">
        <f>'MModule+onboard_volatile'!R129</f>
        <v>0</v>
      </c>
      <c r="S416" s="29">
        <f>'MModule+onboard_volatile'!S129</f>
        <v>0</v>
      </c>
      <c r="T416" s="29">
        <f>'MModule+onboard_volatile'!T129</f>
        <v>0</v>
      </c>
      <c r="U416" s="29">
        <f>'MModule+onboard_volatile'!U129</f>
        <v>0</v>
      </c>
      <c r="V416" s="29">
        <f>'MModule+onboard_volatile'!V129</f>
        <v>0</v>
      </c>
      <c r="W416" s="29">
        <f>'MModule+onboard_volatile'!W129</f>
        <v>0</v>
      </c>
      <c r="X416" s="29">
        <f>'MModule+onboard_volatile'!X129</f>
        <v>0</v>
      </c>
      <c r="Y416" s="29">
        <f>'MModule+onboard_volatile'!Y129</f>
        <v>0</v>
      </c>
      <c r="Z416" s="29" t="e">
        <f>'MModule+onboard_volatile'!#REF!</f>
        <v>#REF!</v>
      </c>
      <c r="AA416" s="29">
        <f>'MModule+onboard_volatile'!Z129</f>
        <v>0</v>
      </c>
      <c r="AB416" s="29" t="str">
        <f>'MModule+onboard_volatile'!AA129</f>
        <v>n/a</v>
      </c>
    </row>
    <row r="417" spans="3:28" s="11" customFormat="1">
      <c r="C417" s="98" t="s">
        <v>26</v>
      </c>
      <c r="D417" s="29">
        <f>'MModule+onboard_volatile'!C130</f>
        <v>0</v>
      </c>
      <c r="E417" s="29">
        <f>'MModule+onboard_volatile'!D130</f>
        <v>0</v>
      </c>
      <c r="F417" s="29">
        <f>'MModule+onboard_volatile'!E130</f>
        <v>0</v>
      </c>
      <c r="G417" s="29" t="str">
        <f>'MModule+onboard_volatile'!F130</f>
        <v>M3500QC</v>
      </c>
      <c r="H417" s="29" t="str">
        <f>'MModule+onboard_volatile'!G130</f>
        <v>Ryzen 7-5800H</v>
      </c>
      <c r="I417" s="29" t="str">
        <f>'MModule+onboard_volatile'!H130</f>
        <v>Local</v>
      </c>
      <c r="J417" s="29" t="str">
        <f>'MModule+onboard_volatile'!I130</f>
        <v>TBD</v>
      </c>
      <c r="K417" s="29" t="str">
        <f>'MModule+onboard_volatile'!J130</f>
        <v>M on board</v>
      </c>
      <c r="L417" s="29" t="str">
        <f>'MModule+onboard_volatile'!K130</f>
        <v>16GB</v>
      </c>
      <c r="M417" s="29">
        <f>'MModule+onboard_volatile'!L130</f>
        <v>8</v>
      </c>
      <c r="N417" s="29" t="str">
        <f>'MModule+onboard_volatile'!M130</f>
        <v>DDR4 (1024x16)</v>
      </c>
      <c r="O417" s="29">
        <f>'MModule+onboard_volatile'!N130</f>
        <v>0</v>
      </c>
      <c r="P417" s="29">
        <f>'MModule+onboard_volatile'!P130</f>
        <v>0</v>
      </c>
      <c r="Q417" s="29">
        <f>'MModule+onboard_volatile'!Q130</f>
        <v>0</v>
      </c>
      <c r="R417" s="29">
        <f>'MModule+onboard_volatile'!R130</f>
        <v>0</v>
      </c>
      <c r="S417" s="29">
        <f>'MModule+onboard_volatile'!S130</f>
        <v>0</v>
      </c>
      <c r="T417" s="29">
        <f>'MModule+onboard_volatile'!T130</f>
        <v>0</v>
      </c>
      <c r="U417" s="29">
        <f>'MModule+onboard_volatile'!U130</f>
        <v>0</v>
      </c>
      <c r="V417" s="29">
        <f>'MModule+onboard_volatile'!V130</f>
        <v>0</v>
      </c>
      <c r="W417" s="29">
        <f>'MModule+onboard_volatile'!W130</f>
        <v>0</v>
      </c>
      <c r="X417" s="29">
        <f>'MModule+onboard_volatile'!X130</f>
        <v>0</v>
      </c>
      <c r="Y417" s="29">
        <f>'MModule+onboard_volatile'!Y130</f>
        <v>0</v>
      </c>
      <c r="Z417" s="29" t="e">
        <f>'MModule+onboard_volatile'!#REF!</f>
        <v>#REF!</v>
      </c>
      <c r="AA417" s="29">
        <f>'MModule+onboard_volatile'!Z130</f>
        <v>0</v>
      </c>
      <c r="AB417" s="29" t="str">
        <f>'MModule+onboard_volatile'!AA130</f>
        <v>n/a</v>
      </c>
    </row>
    <row r="418" spans="3:28" s="11" customFormat="1">
      <c r="C418" s="98" t="s">
        <v>26</v>
      </c>
      <c r="D418" s="29">
        <f>'MModule+onboard_volatile'!C131</f>
        <v>0</v>
      </c>
      <c r="E418" s="29" t="str">
        <f>'MModule+onboard_volatile'!D131</f>
        <v>FCST</v>
      </c>
      <c r="F418" s="29">
        <f>'MModule+onboard_volatile'!E131</f>
        <v>23900</v>
      </c>
      <c r="G418" s="29" t="str">
        <f>'MModule+onboard_volatile'!F131</f>
        <v>M1502IA</v>
      </c>
      <c r="H418" s="29" t="str">
        <f>'MModule+onboard_volatile'!G131</f>
        <v>Ryzen 5-4600H</v>
      </c>
      <c r="I418" s="29">
        <f>'MModule+onboard_volatile'!H131</f>
        <v>0</v>
      </c>
      <c r="J418" s="29">
        <f>'MModule+onboard_volatile'!I131</f>
        <v>0</v>
      </c>
      <c r="K418" s="29">
        <f>'MModule+onboard_volatile'!J131</f>
        <v>0</v>
      </c>
      <c r="L418" s="29" t="str">
        <f>'MModule+onboard_volatile'!K131</f>
        <v>8GB</v>
      </c>
      <c r="M418" s="29">
        <f>'MModule+onboard_volatile'!L131</f>
        <v>0</v>
      </c>
      <c r="N418" s="29">
        <f>'MModule+onboard_volatile'!M131</f>
        <v>0</v>
      </c>
      <c r="O418" s="29">
        <f>'MModule+onboard_volatile'!N131</f>
        <v>0</v>
      </c>
      <c r="P418" s="29">
        <f>'MModule+onboard_volatile'!P131</f>
        <v>0</v>
      </c>
      <c r="Q418" s="29">
        <f>'MModule+onboard_volatile'!Q131</f>
        <v>0</v>
      </c>
      <c r="R418" s="29">
        <f>'MModule+onboard_volatile'!R131</f>
        <v>700</v>
      </c>
      <c r="S418" s="29">
        <f>'MModule+onboard_volatile'!S131</f>
        <v>4300</v>
      </c>
      <c r="T418" s="29">
        <f>'MModule+onboard_volatile'!T131</f>
        <v>6300</v>
      </c>
      <c r="U418" s="29">
        <f>'MModule+onboard_volatile'!U131</f>
        <v>6300</v>
      </c>
      <c r="V418" s="29">
        <f>'MModule+onboard_volatile'!V131</f>
        <v>6300</v>
      </c>
      <c r="W418" s="29">
        <f>'MModule+onboard_volatile'!W131</f>
        <v>0</v>
      </c>
      <c r="X418" s="29">
        <f>'MModule+onboard_volatile'!X131</f>
        <v>0</v>
      </c>
      <c r="Y418" s="29">
        <f>'MModule+onboard_volatile'!Y131</f>
        <v>0</v>
      </c>
      <c r="Z418" s="29" t="e">
        <f>'MModule+onboard_volatile'!#REF!</f>
        <v>#REF!</v>
      </c>
      <c r="AA418" s="29">
        <f>'MModule+onboard_volatile'!Z131</f>
        <v>0</v>
      </c>
      <c r="AB418" s="29">
        <f>'MModule+onboard_volatile'!AA131</f>
        <v>0</v>
      </c>
    </row>
    <row r="419" spans="3:28" s="11" customFormat="1">
      <c r="C419" s="98" t="s">
        <v>26</v>
      </c>
      <c r="D419" s="29">
        <f>'MModule+onboard_volatile'!C132</f>
        <v>0</v>
      </c>
      <c r="E419" s="29">
        <f>'MModule+onboard_volatile'!D132</f>
        <v>0</v>
      </c>
      <c r="F419" s="29">
        <f>'MModule+onboard_volatile'!E132</f>
        <v>0</v>
      </c>
      <c r="G419" s="29" t="str">
        <f>'MModule+onboard_volatile'!F132</f>
        <v>M1502IA</v>
      </c>
      <c r="H419" s="29" t="str">
        <f>'MModule+onboard_volatile'!G132</f>
        <v>Ryzen 5-4600H</v>
      </c>
      <c r="I419" s="29" t="str">
        <f>'MModule+onboard_volatile'!H132</f>
        <v>Imported</v>
      </c>
      <c r="J419" s="29" t="str">
        <f>'MModule+onboard_volatile'!I132</f>
        <v>Asus</v>
      </c>
      <c r="K419" s="29" t="str">
        <f>'MModule+onboard_volatile'!J132</f>
        <v>Mmodule</v>
      </c>
      <c r="L419" s="29" t="str">
        <f>'MModule+onboard_volatile'!K132</f>
        <v>4GB (3200)</v>
      </c>
      <c r="M419" s="29">
        <f>'MModule+onboard_volatile'!L132</f>
        <v>4</v>
      </c>
      <c r="N419" s="29" t="str">
        <f>'MModule+onboard_volatile'!M132</f>
        <v>03A08-00042300
03A08-00042400(待驗)
03A08-00043300</v>
      </c>
      <c r="O419" s="29">
        <f>'MModule+onboard_volatile'!N132</f>
        <v>0</v>
      </c>
      <c r="P419" s="29">
        <f>'MModule+onboard_volatile'!P132</f>
        <v>0</v>
      </c>
      <c r="Q419" s="29">
        <f>'MModule+onboard_volatile'!Q132</f>
        <v>0</v>
      </c>
      <c r="R419" s="29">
        <f>'MModule+onboard_volatile'!R132</f>
        <v>0</v>
      </c>
      <c r="S419" s="29">
        <f>'MModule+onboard_volatile'!S132</f>
        <v>0</v>
      </c>
      <c r="T419" s="29">
        <f>'MModule+onboard_volatile'!T132</f>
        <v>0</v>
      </c>
      <c r="U419" s="29">
        <f>'MModule+onboard_volatile'!U132</f>
        <v>0</v>
      </c>
      <c r="V419" s="29">
        <f>'MModule+onboard_volatile'!V132</f>
        <v>0</v>
      </c>
      <c r="W419" s="29">
        <f>'MModule+onboard_volatile'!W132</f>
        <v>0</v>
      </c>
      <c r="X419" s="29">
        <f>'MModule+onboard_volatile'!X132</f>
        <v>0</v>
      </c>
      <c r="Y419" s="29">
        <f>'MModule+onboard_volatile'!Y132</f>
        <v>0</v>
      </c>
      <c r="Z419" s="29" t="e">
        <f>'MModule+onboard_volatile'!#REF!</f>
        <v>#REF!</v>
      </c>
      <c r="AA419" s="29">
        <f>'MModule+onboard_volatile'!Z132</f>
        <v>0</v>
      </c>
      <c r="AB419" s="29">
        <f>'MModule+onboard_volatile'!AA132</f>
        <v>0</v>
      </c>
    </row>
    <row r="420" spans="3:28" s="11" customFormat="1">
      <c r="C420" s="98" t="s">
        <v>26</v>
      </c>
      <c r="D420" s="29">
        <f>'MModule+onboard_volatile'!C134</f>
        <v>0</v>
      </c>
      <c r="E420" s="29">
        <f>'MModule+onboard_volatile'!D134</f>
        <v>0</v>
      </c>
      <c r="F420" s="29">
        <f>'MModule+onboard_volatile'!E134</f>
        <v>0</v>
      </c>
      <c r="G420" s="29" t="str">
        <f>'MModule+onboard_volatile'!F134</f>
        <v>M1502IA</v>
      </c>
      <c r="H420" s="29" t="str">
        <f>'MModule+onboard_volatile'!G134</f>
        <v>Ryzen 5-4600H</v>
      </c>
      <c r="I420" s="29" t="str">
        <f>'MModule+onboard_volatile'!H134</f>
        <v>Imported</v>
      </c>
      <c r="J420" s="29" t="str">
        <f>'MModule+onboard_volatile'!I134</f>
        <v>Asus</v>
      </c>
      <c r="K420" s="29" t="str">
        <f>'MModule+onboard_volatile'!J134</f>
        <v>M on board</v>
      </c>
      <c r="L420" s="29" t="str">
        <f>'MModule+onboard_volatile'!K134</f>
        <v>4GB OB</v>
      </c>
      <c r="M420" s="29">
        <f>'MModule+onboard_volatile'!L134</f>
        <v>4</v>
      </c>
      <c r="N420" s="29" t="str">
        <f>'MModule+onboard_volatile'!M134</f>
        <v>DDR4 (512x16)</v>
      </c>
      <c r="O420" s="29">
        <f>'MModule+onboard_volatile'!N134</f>
        <v>0</v>
      </c>
      <c r="P420" s="29">
        <f>'MModule+onboard_volatile'!P134</f>
        <v>0</v>
      </c>
      <c r="Q420" s="29">
        <f>'MModule+onboard_volatile'!Q134</f>
        <v>0</v>
      </c>
      <c r="R420" s="29">
        <f>'MModule+onboard_volatile'!R134</f>
        <v>2800</v>
      </c>
      <c r="S420" s="29">
        <f>'MModule+onboard_volatile'!S134</f>
        <v>17200</v>
      </c>
      <c r="T420" s="29">
        <f>'MModule+onboard_volatile'!T134</f>
        <v>25200</v>
      </c>
      <c r="U420" s="29">
        <f>'MModule+onboard_volatile'!U134</f>
        <v>25200</v>
      </c>
      <c r="V420" s="29">
        <f>'MModule+onboard_volatile'!V134</f>
        <v>25200</v>
      </c>
      <c r="W420" s="29">
        <f>'MModule+onboard_volatile'!W134</f>
        <v>0</v>
      </c>
      <c r="X420" s="29">
        <f>'MModule+onboard_volatile'!X134</f>
        <v>0</v>
      </c>
      <c r="Y420" s="29">
        <f>'MModule+onboard_volatile'!Y134</f>
        <v>0</v>
      </c>
      <c r="Z420" s="29" t="e">
        <f>'MModule+onboard_volatile'!#REF!</f>
        <v>#REF!</v>
      </c>
      <c r="AA420" s="29">
        <f>'MModule+onboard_volatile'!Z134</f>
        <v>95600</v>
      </c>
      <c r="AB420" s="29" t="str">
        <f>'MModule+onboard_volatile'!AA134</f>
        <v>n/a</v>
      </c>
    </row>
    <row r="421" spans="3:28" s="11" customFormat="1">
      <c r="C421" s="98" t="s">
        <v>26</v>
      </c>
      <c r="D421" s="29" t="e">
        <f>'MModule+onboard_volatile'!#REF!</f>
        <v>#REF!</v>
      </c>
      <c r="E421" s="29" t="e">
        <f>'MModule+onboard_volatile'!#REF!</f>
        <v>#REF!</v>
      </c>
      <c r="F421" s="29" t="e">
        <f>'MModule+onboard_volatile'!#REF!</f>
        <v>#REF!</v>
      </c>
      <c r="G421" s="29" t="e">
        <f>'MModule+onboard_volatile'!#REF!</f>
        <v>#REF!</v>
      </c>
      <c r="H421" s="29" t="e">
        <f>'MModule+onboard_volatile'!#REF!</f>
        <v>#REF!</v>
      </c>
      <c r="I421" s="29" t="e">
        <f>'MModule+onboard_volatile'!#REF!</f>
        <v>#REF!</v>
      </c>
      <c r="J421" s="29" t="e">
        <f>'MModule+onboard_volatile'!#REF!</f>
        <v>#REF!</v>
      </c>
      <c r="K421" s="29" t="e">
        <f>'MModule+onboard_volatile'!#REF!</f>
        <v>#REF!</v>
      </c>
      <c r="L421" s="29" t="e">
        <f>'MModule+onboard_volatile'!#REF!</f>
        <v>#REF!</v>
      </c>
      <c r="M421" s="29" t="e">
        <f>'MModule+onboard_volatile'!#REF!</f>
        <v>#REF!</v>
      </c>
      <c r="N421" s="29" t="e">
        <f>'MModule+onboard_volatile'!#REF!</f>
        <v>#REF!</v>
      </c>
      <c r="O421" s="29" t="e">
        <f>'MModule+onboard_volatile'!#REF!</f>
        <v>#REF!</v>
      </c>
      <c r="P421" s="29" t="e">
        <f>'MModule+onboard_volatile'!#REF!</f>
        <v>#REF!</v>
      </c>
      <c r="Q421" s="29" t="e">
        <f>'MModule+onboard_volatile'!#REF!</f>
        <v>#REF!</v>
      </c>
      <c r="R421" s="29" t="e">
        <f>'MModule+onboard_volatile'!#REF!</f>
        <v>#REF!</v>
      </c>
      <c r="S421" s="29" t="e">
        <f>'MModule+onboard_volatile'!#REF!</f>
        <v>#REF!</v>
      </c>
      <c r="T421" s="29" t="e">
        <f>'MModule+onboard_volatile'!#REF!</f>
        <v>#REF!</v>
      </c>
      <c r="U421" s="29" t="e">
        <f>'MModule+onboard_volatile'!#REF!</f>
        <v>#REF!</v>
      </c>
      <c r="V421" s="29" t="e">
        <f>'MModule+onboard_volatile'!#REF!</f>
        <v>#REF!</v>
      </c>
      <c r="W421" s="29" t="e">
        <f>'MModule+onboard_volatile'!#REF!</f>
        <v>#REF!</v>
      </c>
      <c r="X421" s="29" t="e">
        <f>'MModule+onboard_volatile'!#REF!</f>
        <v>#REF!</v>
      </c>
      <c r="Y421" s="29" t="e">
        <f>'MModule+onboard_volatile'!#REF!</f>
        <v>#REF!</v>
      </c>
      <c r="Z421" s="29" t="e">
        <f>'MModule+onboard_volatile'!#REF!</f>
        <v>#REF!</v>
      </c>
      <c r="AA421" s="29" t="e">
        <f>'MModule+onboard_volatile'!#REF!</f>
        <v>#REF!</v>
      </c>
      <c r="AB421" s="29" t="e">
        <f>'MModule+onboard_volatile'!#REF!</f>
        <v>#REF!</v>
      </c>
    </row>
    <row r="422" spans="3:28" s="11" customFormat="1">
      <c r="C422" s="98" t="s">
        <v>26</v>
      </c>
      <c r="D422" s="29">
        <f>'MModule+onboard_volatile'!C135</f>
        <v>0</v>
      </c>
      <c r="E422" s="29" t="str">
        <f>'MModule+onboard_volatile'!D135</f>
        <v>FCST</v>
      </c>
      <c r="F422" s="29">
        <f>'MModule+onboard_volatile'!E135</f>
        <v>1500</v>
      </c>
      <c r="G422" s="29" t="str">
        <f>'MModule+onboard_volatile'!F135</f>
        <v>M1502IA</v>
      </c>
      <c r="H422" s="29" t="str">
        <f>'MModule+onboard_volatile'!G135</f>
        <v>Ryzen 7-4800H</v>
      </c>
      <c r="I422" s="29">
        <f>'MModule+onboard_volatile'!H135</f>
        <v>0</v>
      </c>
      <c r="J422" s="29">
        <f>'MModule+onboard_volatile'!I135</f>
        <v>0</v>
      </c>
      <c r="K422" s="29">
        <f>'MModule+onboard_volatile'!J135</f>
        <v>0</v>
      </c>
      <c r="L422" s="29" t="str">
        <f>'MModule+onboard_volatile'!K135</f>
        <v>8GB</v>
      </c>
      <c r="M422" s="29">
        <f>'MModule+onboard_volatile'!L135</f>
        <v>0</v>
      </c>
      <c r="N422" s="29">
        <f>'MModule+onboard_volatile'!M135</f>
        <v>0</v>
      </c>
      <c r="O422" s="29">
        <f>'MModule+onboard_volatile'!N135</f>
        <v>0</v>
      </c>
      <c r="P422" s="29">
        <f>'MModule+onboard_volatile'!P135</f>
        <v>0</v>
      </c>
      <c r="Q422" s="29">
        <f>'MModule+onboard_volatile'!Q135</f>
        <v>0</v>
      </c>
      <c r="R422" s="29">
        <f>'MModule+onboard_volatile'!R135</f>
        <v>150</v>
      </c>
      <c r="S422" s="29">
        <f>'MModule+onboard_volatile'!S135</f>
        <v>150</v>
      </c>
      <c r="T422" s="29">
        <f>'MModule+onboard_volatile'!T135</f>
        <v>400</v>
      </c>
      <c r="U422" s="29">
        <f>'MModule+onboard_volatile'!U135</f>
        <v>400</v>
      </c>
      <c r="V422" s="29">
        <f>'MModule+onboard_volatile'!V135</f>
        <v>400</v>
      </c>
      <c r="W422" s="29">
        <f>'MModule+onboard_volatile'!W135</f>
        <v>0</v>
      </c>
      <c r="X422" s="29">
        <f>'MModule+onboard_volatile'!X135</f>
        <v>0</v>
      </c>
      <c r="Y422" s="29">
        <f>'MModule+onboard_volatile'!Y135</f>
        <v>0</v>
      </c>
      <c r="Z422" s="29" t="e">
        <f>'MModule+onboard_volatile'!#REF!</f>
        <v>#REF!</v>
      </c>
      <c r="AA422" s="29">
        <f>'MModule+onboard_volatile'!Z135</f>
        <v>0</v>
      </c>
      <c r="AB422" s="29">
        <f>'MModule+onboard_volatile'!AA135</f>
        <v>0</v>
      </c>
    </row>
    <row r="423" spans="3:28" s="11" customFormat="1">
      <c r="C423" s="98" t="s">
        <v>26</v>
      </c>
      <c r="D423" s="29">
        <f>'MModule+onboard_volatile'!C136</f>
        <v>0</v>
      </c>
      <c r="E423" s="29">
        <f>'MModule+onboard_volatile'!D136</f>
        <v>0</v>
      </c>
      <c r="F423" s="29">
        <f>'MModule+onboard_volatile'!E136</f>
        <v>0</v>
      </c>
      <c r="G423" s="29" t="str">
        <f>'MModule+onboard_volatile'!F136</f>
        <v>M1502IA</v>
      </c>
      <c r="H423" s="29" t="str">
        <f>'MModule+onboard_volatile'!G136</f>
        <v>Ryzen 7-4800H</v>
      </c>
      <c r="I423" s="29" t="str">
        <f>'MModule+onboard_volatile'!H136</f>
        <v>Imported</v>
      </c>
      <c r="J423" s="29" t="str">
        <f>'MModule+onboard_volatile'!I136</f>
        <v>Asus</v>
      </c>
      <c r="K423" s="29" t="str">
        <f>'MModule+onboard_volatile'!J136</f>
        <v>Mmodule</v>
      </c>
      <c r="L423" s="29" t="str">
        <f>'MModule+onboard_volatile'!K136</f>
        <v>4GB (3200)</v>
      </c>
      <c r="M423" s="29">
        <f>'MModule+onboard_volatile'!L136</f>
        <v>4</v>
      </c>
      <c r="N423" s="29" t="str">
        <f>'MModule+onboard_volatile'!M136</f>
        <v>03A08-00042300
03A08-00042400(待驗)
03A08-00043300</v>
      </c>
      <c r="O423" s="29">
        <f>'MModule+onboard_volatile'!N136</f>
        <v>0</v>
      </c>
      <c r="P423" s="29">
        <f>'MModule+onboard_volatile'!P136</f>
        <v>0</v>
      </c>
      <c r="Q423" s="29">
        <f>'MModule+onboard_volatile'!Q136</f>
        <v>0</v>
      </c>
      <c r="R423" s="29">
        <f>'MModule+onboard_volatile'!R136</f>
        <v>0</v>
      </c>
      <c r="S423" s="29">
        <f>'MModule+onboard_volatile'!S136</f>
        <v>0</v>
      </c>
      <c r="T423" s="29">
        <f>'MModule+onboard_volatile'!T136</f>
        <v>0</v>
      </c>
      <c r="U423" s="29">
        <f>'MModule+onboard_volatile'!U136</f>
        <v>0</v>
      </c>
      <c r="V423" s="29">
        <f>'MModule+onboard_volatile'!V136</f>
        <v>0</v>
      </c>
      <c r="W423" s="29">
        <f>'MModule+onboard_volatile'!W136</f>
        <v>0</v>
      </c>
      <c r="X423" s="29">
        <f>'MModule+onboard_volatile'!X136</f>
        <v>0</v>
      </c>
      <c r="Y423" s="29">
        <f>'MModule+onboard_volatile'!Y136</f>
        <v>0</v>
      </c>
      <c r="Z423" s="29" t="e">
        <f>'MModule+onboard_volatile'!#REF!</f>
        <v>#REF!</v>
      </c>
      <c r="AA423" s="29">
        <f>'MModule+onboard_volatile'!Z136</f>
        <v>0</v>
      </c>
      <c r="AB423" s="29">
        <f>'MModule+onboard_volatile'!AA136</f>
        <v>0</v>
      </c>
    </row>
    <row r="424" spans="3:28" s="11" customFormat="1">
      <c r="C424" s="98" t="s">
        <v>26</v>
      </c>
      <c r="D424" s="29">
        <f>'MModule+onboard_volatile'!C138</f>
        <v>0</v>
      </c>
      <c r="E424" s="29">
        <f>'MModule+onboard_volatile'!D138</f>
        <v>0</v>
      </c>
      <c r="F424" s="29">
        <f>'MModule+onboard_volatile'!E138</f>
        <v>0</v>
      </c>
      <c r="G424" s="29" t="str">
        <f>'MModule+onboard_volatile'!F138</f>
        <v>M1502IA</v>
      </c>
      <c r="H424" s="29" t="str">
        <f>'MModule+onboard_volatile'!G138</f>
        <v>Ryzen 7-4800H</v>
      </c>
      <c r="I424" s="29" t="str">
        <f>'MModule+onboard_volatile'!H138</f>
        <v>Imported</v>
      </c>
      <c r="J424" s="29" t="str">
        <f>'MModule+onboard_volatile'!I138</f>
        <v>Asus</v>
      </c>
      <c r="K424" s="29" t="str">
        <f>'MModule+onboard_volatile'!J138</f>
        <v>M on board</v>
      </c>
      <c r="L424" s="29" t="str">
        <f>'MModule+onboard_volatile'!K138</f>
        <v>4GB OB</v>
      </c>
      <c r="M424" s="29">
        <f>'MModule+onboard_volatile'!L138</f>
        <v>4</v>
      </c>
      <c r="N424" s="29" t="str">
        <f>'MModule+onboard_volatile'!M138</f>
        <v>DDR4 (512x16)</v>
      </c>
      <c r="O424" s="29">
        <f>'MModule+onboard_volatile'!N138</f>
        <v>0</v>
      </c>
      <c r="P424" s="29">
        <f>'MModule+onboard_volatile'!P138</f>
        <v>0</v>
      </c>
      <c r="Q424" s="29">
        <f>'MModule+onboard_volatile'!Q138</f>
        <v>0</v>
      </c>
      <c r="R424" s="29">
        <f>'MModule+onboard_volatile'!R138</f>
        <v>600</v>
      </c>
      <c r="S424" s="29">
        <f>'MModule+onboard_volatile'!S138</f>
        <v>600</v>
      </c>
      <c r="T424" s="29">
        <f>'MModule+onboard_volatile'!T138</f>
        <v>1600</v>
      </c>
      <c r="U424" s="29">
        <f>'MModule+onboard_volatile'!U138</f>
        <v>1600</v>
      </c>
      <c r="V424" s="29">
        <f>'MModule+onboard_volatile'!V138</f>
        <v>1600</v>
      </c>
      <c r="W424" s="29">
        <f>'MModule+onboard_volatile'!W138</f>
        <v>0</v>
      </c>
      <c r="X424" s="29">
        <f>'MModule+onboard_volatile'!X138</f>
        <v>0</v>
      </c>
      <c r="Y424" s="29">
        <f>'MModule+onboard_volatile'!Y138</f>
        <v>0</v>
      </c>
      <c r="Z424" s="29" t="e">
        <f>'MModule+onboard_volatile'!#REF!</f>
        <v>#REF!</v>
      </c>
      <c r="AA424" s="29">
        <f>'MModule+onboard_volatile'!Z138</f>
        <v>6000</v>
      </c>
      <c r="AB424" s="29" t="str">
        <f>'MModule+onboard_volatile'!AA138</f>
        <v>n/a</v>
      </c>
    </row>
    <row r="425" spans="3:28" s="11" customFormat="1">
      <c r="C425" s="98" t="s">
        <v>26</v>
      </c>
      <c r="D425" s="29" t="e">
        <f>'MModule+onboard_volatile'!#REF!</f>
        <v>#REF!</v>
      </c>
      <c r="E425" s="29" t="e">
        <f>'MModule+onboard_volatile'!#REF!</f>
        <v>#REF!</v>
      </c>
      <c r="F425" s="29" t="e">
        <f>'MModule+onboard_volatile'!#REF!</f>
        <v>#REF!</v>
      </c>
      <c r="G425" s="29" t="e">
        <f>'MModule+onboard_volatile'!#REF!</f>
        <v>#REF!</v>
      </c>
      <c r="H425" s="29" t="e">
        <f>'MModule+onboard_volatile'!#REF!</f>
        <v>#REF!</v>
      </c>
      <c r="I425" s="29" t="e">
        <f>'MModule+onboard_volatile'!#REF!</f>
        <v>#REF!</v>
      </c>
      <c r="J425" s="29" t="e">
        <f>'MModule+onboard_volatile'!#REF!</f>
        <v>#REF!</v>
      </c>
      <c r="K425" s="29" t="e">
        <f>'MModule+onboard_volatile'!#REF!</f>
        <v>#REF!</v>
      </c>
      <c r="L425" s="29" t="e">
        <f>'MModule+onboard_volatile'!#REF!</f>
        <v>#REF!</v>
      </c>
      <c r="M425" s="29" t="e">
        <f>'MModule+onboard_volatile'!#REF!</f>
        <v>#REF!</v>
      </c>
      <c r="N425" s="29" t="e">
        <f>'MModule+onboard_volatile'!#REF!</f>
        <v>#REF!</v>
      </c>
      <c r="O425" s="29" t="e">
        <f>'MModule+onboard_volatile'!#REF!</f>
        <v>#REF!</v>
      </c>
      <c r="P425" s="29" t="e">
        <f>'MModule+onboard_volatile'!#REF!</f>
        <v>#REF!</v>
      </c>
      <c r="Q425" s="29" t="e">
        <f>'MModule+onboard_volatile'!#REF!</f>
        <v>#REF!</v>
      </c>
      <c r="R425" s="29" t="e">
        <f>'MModule+onboard_volatile'!#REF!</f>
        <v>#REF!</v>
      </c>
      <c r="S425" s="29" t="e">
        <f>'MModule+onboard_volatile'!#REF!</f>
        <v>#REF!</v>
      </c>
      <c r="T425" s="29" t="e">
        <f>'MModule+onboard_volatile'!#REF!</f>
        <v>#REF!</v>
      </c>
      <c r="U425" s="29" t="e">
        <f>'MModule+onboard_volatile'!#REF!</f>
        <v>#REF!</v>
      </c>
      <c r="V425" s="29" t="e">
        <f>'MModule+onboard_volatile'!#REF!</f>
        <v>#REF!</v>
      </c>
      <c r="W425" s="29" t="e">
        <f>'MModule+onboard_volatile'!#REF!</f>
        <v>#REF!</v>
      </c>
      <c r="X425" s="29" t="e">
        <f>'MModule+onboard_volatile'!#REF!</f>
        <v>#REF!</v>
      </c>
      <c r="Y425" s="29" t="e">
        <f>'MModule+onboard_volatile'!#REF!</f>
        <v>#REF!</v>
      </c>
      <c r="Z425" s="29" t="e">
        <f>'MModule+onboard_volatile'!#REF!</f>
        <v>#REF!</v>
      </c>
      <c r="AA425" s="29" t="e">
        <f>'MModule+onboard_volatile'!#REF!</f>
        <v>#REF!</v>
      </c>
      <c r="AB425" s="29" t="e">
        <f>'MModule+onboard_volatile'!#REF!</f>
        <v>#REF!</v>
      </c>
    </row>
    <row r="426" spans="3:28" s="11" customFormat="1">
      <c r="C426" s="98" t="s">
        <v>26</v>
      </c>
      <c r="D426" s="29">
        <f>'MModule+onboard_volatile'!C139</f>
        <v>0</v>
      </c>
      <c r="E426" s="29" t="str">
        <f>'MModule+onboard_volatile'!D139</f>
        <v>FCST</v>
      </c>
      <c r="F426" s="29">
        <f>'MModule+onboard_volatile'!E139</f>
        <v>470</v>
      </c>
      <c r="G426" s="29" t="str">
        <f>'MModule+onboard_volatile'!F139</f>
        <v>M1502IA</v>
      </c>
      <c r="H426" s="29" t="str">
        <f>'MModule+onboard_volatile'!G139</f>
        <v>Ryzen 7-4800H</v>
      </c>
      <c r="I426" s="29">
        <f>'MModule+onboard_volatile'!H139</f>
        <v>0</v>
      </c>
      <c r="J426" s="29">
        <f>'MModule+onboard_volatile'!I139</f>
        <v>0</v>
      </c>
      <c r="K426" s="29">
        <f>'MModule+onboard_volatile'!J139</f>
        <v>0</v>
      </c>
      <c r="L426" s="29" t="str">
        <f>'MModule+onboard_volatile'!K139</f>
        <v>16GB</v>
      </c>
      <c r="M426" s="29">
        <f>'MModule+onboard_volatile'!L139</f>
        <v>0</v>
      </c>
      <c r="N426" s="29">
        <f>'MModule+onboard_volatile'!M139</f>
        <v>0</v>
      </c>
      <c r="O426" s="29">
        <f>'MModule+onboard_volatile'!N139</f>
        <v>0</v>
      </c>
      <c r="P426" s="29">
        <f>'MModule+onboard_volatile'!P139</f>
        <v>0</v>
      </c>
      <c r="Q426" s="29">
        <f>'MModule+onboard_volatile'!Q139</f>
        <v>0</v>
      </c>
      <c r="R426" s="29">
        <f>'MModule+onboard_volatile'!R139</f>
        <v>30</v>
      </c>
      <c r="S426" s="29">
        <f>'MModule+onboard_volatile'!S139</f>
        <v>50</v>
      </c>
      <c r="T426" s="29">
        <f>'MModule+onboard_volatile'!T139</f>
        <v>130</v>
      </c>
      <c r="U426" s="29">
        <f>'MModule+onboard_volatile'!U139</f>
        <v>130</v>
      </c>
      <c r="V426" s="29">
        <f>'MModule+onboard_volatile'!V139</f>
        <v>130</v>
      </c>
      <c r="W426" s="29">
        <f>'MModule+onboard_volatile'!W139</f>
        <v>0</v>
      </c>
      <c r="X426" s="29">
        <f>'MModule+onboard_volatile'!X139</f>
        <v>0</v>
      </c>
      <c r="Y426" s="29">
        <f>'MModule+onboard_volatile'!Y139</f>
        <v>0</v>
      </c>
      <c r="Z426" s="29" t="e">
        <f>'MModule+onboard_volatile'!#REF!</f>
        <v>#REF!</v>
      </c>
      <c r="AA426" s="29">
        <f>'MModule+onboard_volatile'!Z139</f>
        <v>0</v>
      </c>
      <c r="AB426" s="29">
        <f>'MModule+onboard_volatile'!AA139</f>
        <v>0</v>
      </c>
    </row>
    <row r="427" spans="3:28" s="11" customFormat="1">
      <c r="C427" s="98" t="s">
        <v>26</v>
      </c>
      <c r="D427" s="29">
        <f>'MModule+onboard_volatile'!C140</f>
        <v>0</v>
      </c>
      <c r="E427" s="29">
        <f>'MModule+onboard_volatile'!D140</f>
        <v>0</v>
      </c>
      <c r="F427" s="29">
        <f>'MModule+onboard_volatile'!E140</f>
        <v>0</v>
      </c>
      <c r="G427" s="29" t="str">
        <f>'MModule+onboard_volatile'!F140</f>
        <v>M1502IA</v>
      </c>
      <c r="H427" s="29" t="str">
        <f>'MModule+onboard_volatile'!G140</f>
        <v>Ryzen 7-4800H</v>
      </c>
      <c r="I427" s="29" t="str">
        <f>'MModule+onboard_volatile'!H140</f>
        <v>Imported</v>
      </c>
      <c r="J427" s="29" t="str">
        <f>'MModule+onboard_volatile'!I140</f>
        <v>Asus</v>
      </c>
      <c r="K427" s="29" t="str">
        <f>'MModule+onboard_volatile'!J140</f>
        <v>Mmodule</v>
      </c>
      <c r="L427" s="29" t="str">
        <f>'MModule+onboard_volatile'!K140</f>
        <v>8GB (3200)</v>
      </c>
      <c r="M427" s="29">
        <f>'MModule+onboard_volatile'!L140</f>
        <v>8</v>
      </c>
      <c r="N427" s="29" t="str">
        <f>'MModule+onboard_volatile'!M140</f>
        <v>03A08-00054300
03A08-00053900
03A08-00055100(待驗)</v>
      </c>
      <c r="O427" s="29">
        <f>'MModule+onboard_volatile'!N140</f>
        <v>0</v>
      </c>
      <c r="P427" s="29">
        <f>'MModule+onboard_volatile'!P140</f>
        <v>0</v>
      </c>
      <c r="Q427" s="29">
        <f>'MModule+onboard_volatile'!Q140</f>
        <v>0</v>
      </c>
      <c r="R427" s="29">
        <f>'MModule+onboard_volatile'!R140</f>
        <v>30</v>
      </c>
      <c r="S427" s="29">
        <f>'MModule+onboard_volatile'!S140</f>
        <v>50</v>
      </c>
      <c r="T427" s="29">
        <f>'MModule+onboard_volatile'!T140</f>
        <v>130</v>
      </c>
      <c r="U427" s="29">
        <f>'MModule+onboard_volatile'!U140</f>
        <v>130</v>
      </c>
      <c r="V427" s="29">
        <f>'MModule+onboard_volatile'!V140</f>
        <v>130</v>
      </c>
      <c r="W427" s="29">
        <f>'MModule+onboard_volatile'!W140</f>
        <v>0</v>
      </c>
      <c r="X427" s="29">
        <f>'MModule+onboard_volatile'!X140</f>
        <v>0</v>
      </c>
      <c r="Y427" s="29">
        <f>'MModule+onboard_volatile'!Y140</f>
        <v>0</v>
      </c>
      <c r="Z427" s="29" t="e">
        <f>'MModule+onboard_volatile'!#REF!</f>
        <v>#REF!</v>
      </c>
      <c r="AA427" s="29">
        <f>'MModule+onboard_volatile'!Z140</f>
        <v>3760</v>
      </c>
      <c r="AB427" s="29">
        <f>'MModule+onboard_volatile'!AA140</f>
        <v>470</v>
      </c>
    </row>
    <row r="428" spans="3:28" s="11" customFormat="1">
      <c r="C428" s="98" t="s">
        <v>26</v>
      </c>
      <c r="D428" s="29">
        <f>'MModule+onboard_volatile'!C141</f>
        <v>0</v>
      </c>
      <c r="E428" s="29">
        <f>'MModule+onboard_volatile'!D141</f>
        <v>0</v>
      </c>
      <c r="F428" s="29">
        <f>'MModule+onboard_volatile'!E141</f>
        <v>0</v>
      </c>
      <c r="G428" s="29" t="str">
        <f>'MModule+onboard_volatile'!F141</f>
        <v>M1502IA</v>
      </c>
      <c r="H428" s="29" t="str">
        <f>'MModule+onboard_volatile'!G141</f>
        <v>Ryzen 7-4800H</v>
      </c>
      <c r="I428" s="29" t="str">
        <f>'MModule+onboard_volatile'!H141</f>
        <v>Local</v>
      </c>
      <c r="J428" s="29" t="str">
        <f>'MModule+onboard_volatile'!I141</f>
        <v>TBD</v>
      </c>
      <c r="K428" s="29" t="str">
        <f>'MModule+onboard_volatile'!J141</f>
        <v>Mmodule</v>
      </c>
      <c r="L428" s="29" t="str">
        <f>'MModule+onboard_volatile'!K141</f>
        <v>8GB (3200)</v>
      </c>
      <c r="M428" s="29">
        <f>'MModule+onboard_volatile'!L141</f>
        <v>8</v>
      </c>
      <c r="N428" s="29">
        <f>'MModule+onboard_volatile'!M141</f>
        <v>0</v>
      </c>
      <c r="O428" s="29">
        <f>'MModule+onboard_volatile'!N141</f>
        <v>0</v>
      </c>
      <c r="P428" s="29">
        <f>'MModule+onboard_volatile'!P141</f>
        <v>0</v>
      </c>
      <c r="Q428" s="29">
        <f>'MModule+onboard_volatile'!Q141</f>
        <v>0</v>
      </c>
      <c r="R428" s="29">
        <f>'MModule+onboard_volatile'!R141</f>
        <v>0</v>
      </c>
      <c r="S428" s="29">
        <f>'MModule+onboard_volatile'!S141</f>
        <v>0</v>
      </c>
      <c r="T428" s="29">
        <f>'MModule+onboard_volatile'!T141</f>
        <v>0</v>
      </c>
      <c r="U428" s="29">
        <f>'MModule+onboard_volatile'!U141</f>
        <v>0</v>
      </c>
      <c r="V428" s="29">
        <f>'MModule+onboard_volatile'!V141</f>
        <v>0</v>
      </c>
      <c r="W428" s="29">
        <f>'MModule+onboard_volatile'!W141</f>
        <v>0</v>
      </c>
      <c r="X428" s="29">
        <f>'MModule+onboard_volatile'!X141</f>
        <v>0</v>
      </c>
      <c r="Y428" s="29">
        <f>'MModule+onboard_volatile'!Y141</f>
        <v>0</v>
      </c>
      <c r="Z428" s="29" t="e">
        <f>'MModule+onboard_volatile'!#REF!</f>
        <v>#REF!</v>
      </c>
      <c r="AA428" s="29">
        <f>'MModule+onboard_volatile'!Z141</f>
        <v>0</v>
      </c>
      <c r="AB428" s="29">
        <f>'MModule+onboard_volatile'!AA141</f>
        <v>0</v>
      </c>
    </row>
    <row r="429" spans="3:28" s="11" customFormat="1">
      <c r="C429" s="98" t="s">
        <v>26</v>
      </c>
      <c r="D429" s="29">
        <f>'MModule+onboard_volatile'!C142</f>
        <v>0</v>
      </c>
      <c r="E429" s="29">
        <f>'MModule+onboard_volatile'!D142</f>
        <v>0</v>
      </c>
      <c r="F429" s="29">
        <f>'MModule+onboard_volatile'!E142</f>
        <v>0</v>
      </c>
      <c r="G429" s="29" t="str">
        <f>'MModule+onboard_volatile'!F142</f>
        <v>M1502IA</v>
      </c>
      <c r="H429" s="29" t="str">
        <f>'MModule+onboard_volatile'!G142</f>
        <v>Ryzen 7-4800H</v>
      </c>
      <c r="I429" s="29" t="str">
        <f>'MModule+onboard_volatile'!H142</f>
        <v>Imported</v>
      </c>
      <c r="J429" s="29" t="str">
        <f>'MModule+onboard_volatile'!I142</f>
        <v>Asus</v>
      </c>
      <c r="K429" s="29" t="str">
        <f>'MModule+onboard_volatile'!J142</f>
        <v>M on board</v>
      </c>
      <c r="L429" s="29" t="str">
        <f>'MModule+onboard_volatile'!K142</f>
        <v>8GB OB</v>
      </c>
      <c r="M429" s="29">
        <f>'MModule+onboard_volatile'!L142</f>
        <v>4</v>
      </c>
      <c r="N429" s="29" t="str">
        <f>'MModule+onboard_volatile'!M142</f>
        <v>03012-00040600
03012-00041000
03012-00041100(待驗)</v>
      </c>
      <c r="O429" s="29">
        <f>'MModule+onboard_volatile'!N142</f>
        <v>0</v>
      </c>
      <c r="P429" s="29">
        <f>'MModule+onboard_volatile'!P142</f>
        <v>0</v>
      </c>
      <c r="Q429" s="29">
        <f>'MModule+onboard_volatile'!Q142</f>
        <v>0</v>
      </c>
      <c r="R429" s="29">
        <f>'MModule+onboard_volatile'!R142</f>
        <v>120</v>
      </c>
      <c r="S429" s="29">
        <f>'MModule+onboard_volatile'!S142</f>
        <v>200</v>
      </c>
      <c r="T429" s="29">
        <f>'MModule+onboard_volatile'!T142</f>
        <v>520</v>
      </c>
      <c r="U429" s="29">
        <f>'MModule+onboard_volatile'!U142</f>
        <v>520</v>
      </c>
      <c r="V429" s="29">
        <f>'MModule+onboard_volatile'!V142</f>
        <v>520</v>
      </c>
      <c r="W429" s="29">
        <f>'MModule+onboard_volatile'!W142</f>
        <v>0</v>
      </c>
      <c r="X429" s="29">
        <f>'MModule+onboard_volatile'!X142</f>
        <v>0</v>
      </c>
      <c r="Y429" s="29">
        <f>'MModule+onboard_volatile'!Y142</f>
        <v>0</v>
      </c>
      <c r="Z429" s="29" t="e">
        <f>'MModule+onboard_volatile'!#REF!</f>
        <v>#REF!</v>
      </c>
      <c r="AA429" s="29">
        <f>'MModule+onboard_volatile'!Z142</f>
        <v>1880</v>
      </c>
      <c r="AB429" s="29" t="str">
        <f>'MModule+onboard_volatile'!AA142</f>
        <v>n/a</v>
      </c>
    </row>
    <row r="430" spans="3:28" s="11" customFormat="1">
      <c r="C430" s="98" t="s">
        <v>26</v>
      </c>
      <c r="D430" s="29">
        <f>'MModule+onboard_volatile'!C143</f>
        <v>0</v>
      </c>
      <c r="E430" s="29" t="str">
        <f>'MModule+onboard_volatile'!D143</f>
        <v>FCST</v>
      </c>
      <c r="F430" s="29">
        <f>'MModule+onboard_volatile'!E143</f>
        <v>80</v>
      </c>
      <c r="G430" s="29" t="str">
        <f>'MModule+onboard_volatile'!F143</f>
        <v>X1502ZA</v>
      </c>
      <c r="H430" s="29" t="str">
        <f>'MModule+onboard_volatile'!G143</f>
        <v>Core i5-1235U</v>
      </c>
      <c r="I430" s="29">
        <f>'MModule+onboard_volatile'!H143</f>
        <v>0</v>
      </c>
      <c r="J430" s="29">
        <f>'MModule+onboard_volatile'!I143</f>
        <v>0</v>
      </c>
      <c r="K430" s="29">
        <f>'MModule+onboard_volatile'!J143</f>
        <v>0</v>
      </c>
      <c r="L430" s="29" t="str">
        <f>'MModule+onboard_volatile'!K143</f>
        <v>8GB</v>
      </c>
      <c r="M430" s="29">
        <f>'MModule+onboard_volatile'!L143</f>
        <v>0</v>
      </c>
      <c r="N430" s="29">
        <f>'MModule+onboard_volatile'!M143</f>
        <v>0</v>
      </c>
      <c r="O430" s="29">
        <f>'MModule+onboard_volatile'!N143</f>
        <v>0</v>
      </c>
      <c r="P430" s="29">
        <f>'MModule+onboard_volatile'!P143</f>
        <v>0</v>
      </c>
      <c r="Q430" s="29">
        <f>'MModule+onboard_volatile'!Q143</f>
        <v>0</v>
      </c>
      <c r="R430" s="29">
        <f>'MModule+onboard_volatile'!R143</f>
        <v>0</v>
      </c>
      <c r="S430" s="29">
        <f>'MModule+onboard_volatile'!S143</f>
        <v>0</v>
      </c>
      <c r="T430" s="29">
        <f>'MModule+onboard_volatile'!T143</f>
        <v>0</v>
      </c>
      <c r="U430" s="29">
        <f>'MModule+onboard_volatile'!U143</f>
        <v>0</v>
      </c>
      <c r="V430" s="29">
        <f>'MModule+onboard_volatile'!V143</f>
        <v>0</v>
      </c>
      <c r="W430" s="29">
        <f>'MModule+onboard_volatile'!W143</f>
        <v>0</v>
      </c>
      <c r="X430" s="29">
        <f>'MModule+onboard_volatile'!X143</f>
        <v>0</v>
      </c>
      <c r="Y430" s="29">
        <f>'MModule+onboard_volatile'!Y143</f>
        <v>0</v>
      </c>
      <c r="Z430" s="29" t="e">
        <f>'MModule+onboard_volatile'!#REF!</f>
        <v>#REF!</v>
      </c>
      <c r="AA430" s="29">
        <f>'MModule+onboard_volatile'!Z143</f>
        <v>0</v>
      </c>
      <c r="AB430" s="29">
        <f>'MModule+onboard_volatile'!AA143</f>
        <v>0</v>
      </c>
    </row>
    <row r="431" spans="3:28" s="11" customFormat="1">
      <c r="C431" s="98" t="s">
        <v>26</v>
      </c>
      <c r="D431" s="29">
        <f>'MModule+onboard_volatile'!C144</f>
        <v>0</v>
      </c>
      <c r="E431" s="29">
        <f>'MModule+onboard_volatile'!D144</f>
        <v>0</v>
      </c>
      <c r="F431" s="29">
        <f>'MModule+onboard_volatile'!E144</f>
        <v>0</v>
      </c>
      <c r="G431" s="29" t="str">
        <f>'MModule+onboard_volatile'!F144</f>
        <v>X1502ZA</v>
      </c>
      <c r="H431" s="29" t="str">
        <f>'MModule+onboard_volatile'!G144</f>
        <v>Core i5-1235U</v>
      </c>
      <c r="I431" s="29" t="str">
        <f>'MModule+onboard_volatile'!H144</f>
        <v>Imported</v>
      </c>
      <c r="J431" s="29" t="str">
        <f>'MModule+onboard_volatile'!I144</f>
        <v>Asus</v>
      </c>
      <c r="K431" s="29" t="str">
        <f>'MModule+onboard_volatile'!J144</f>
        <v>Mmodule</v>
      </c>
      <c r="L431" s="29" t="str">
        <f>'MModule+onboard_volatile'!K144</f>
        <v>4GB (3200)</v>
      </c>
      <c r="M431" s="29">
        <f>'MModule+onboard_volatile'!L144</f>
        <v>4</v>
      </c>
      <c r="N431" s="29" t="str">
        <f>'MModule+onboard_volatile'!M144</f>
        <v>03A08-00042300
03A08-00042400(待驗)
03A08-00043300</v>
      </c>
      <c r="O431" s="29">
        <f>'MModule+onboard_volatile'!N144</f>
        <v>0</v>
      </c>
      <c r="P431" s="29">
        <f>'MModule+onboard_volatile'!P144</f>
        <v>0</v>
      </c>
      <c r="Q431" s="29">
        <f>'MModule+onboard_volatile'!Q144</f>
        <v>0</v>
      </c>
      <c r="R431" s="29">
        <f>'MModule+onboard_volatile'!R144</f>
        <v>0</v>
      </c>
      <c r="S431" s="29">
        <f>'MModule+onboard_volatile'!S144</f>
        <v>0</v>
      </c>
      <c r="T431" s="29">
        <f>'MModule+onboard_volatile'!T144</f>
        <v>0</v>
      </c>
      <c r="U431" s="29">
        <f>'MModule+onboard_volatile'!U144</f>
        <v>0</v>
      </c>
      <c r="V431" s="29">
        <f>'MModule+onboard_volatile'!V144</f>
        <v>0</v>
      </c>
      <c r="W431" s="29">
        <f>'MModule+onboard_volatile'!W144</f>
        <v>0</v>
      </c>
      <c r="X431" s="29">
        <f>'MModule+onboard_volatile'!X144</f>
        <v>0</v>
      </c>
      <c r="Y431" s="29">
        <f>'MModule+onboard_volatile'!Y144</f>
        <v>0</v>
      </c>
      <c r="Z431" s="29" t="e">
        <f>'MModule+onboard_volatile'!#REF!</f>
        <v>#REF!</v>
      </c>
      <c r="AA431" s="29">
        <f>'MModule+onboard_volatile'!Z144</f>
        <v>0</v>
      </c>
      <c r="AB431" s="29">
        <f>'MModule+onboard_volatile'!AA144</f>
        <v>0</v>
      </c>
    </row>
    <row r="432" spans="3:28" s="11" customFormat="1">
      <c r="C432" s="98" t="s">
        <v>26</v>
      </c>
      <c r="D432" s="29">
        <f>'MModule+onboard_volatile'!C146</f>
        <v>0</v>
      </c>
      <c r="E432" s="29">
        <f>'MModule+onboard_volatile'!D146</f>
        <v>0</v>
      </c>
      <c r="F432" s="29">
        <f>'MModule+onboard_volatile'!E146</f>
        <v>0</v>
      </c>
      <c r="G432" s="29" t="str">
        <f>'MModule+onboard_volatile'!F146</f>
        <v>X1502ZA</v>
      </c>
      <c r="H432" s="29" t="str">
        <f>'MModule+onboard_volatile'!G146</f>
        <v>Core i5-1235U</v>
      </c>
      <c r="I432" s="29" t="str">
        <f>'MModule+onboard_volatile'!H146</f>
        <v>Local</v>
      </c>
      <c r="J432" s="29" t="str">
        <f>'MModule+onboard_volatile'!I146</f>
        <v>TBD</v>
      </c>
      <c r="K432" s="29" t="str">
        <f>'MModule+onboard_volatile'!J146</f>
        <v>Mmodule</v>
      </c>
      <c r="L432" s="29" t="str">
        <f>'MModule+onboard_volatile'!K146</f>
        <v>4GB (3200)</v>
      </c>
      <c r="M432" s="29">
        <f>'MModule+onboard_volatile'!L146</f>
        <v>4</v>
      </c>
      <c r="N432" s="29">
        <f>'MModule+onboard_volatile'!M146</f>
        <v>0</v>
      </c>
      <c r="O432" s="29">
        <f>'MModule+onboard_volatile'!N146</f>
        <v>0</v>
      </c>
      <c r="P432" s="29">
        <f>'MModule+onboard_volatile'!P146</f>
        <v>0</v>
      </c>
      <c r="Q432" s="29">
        <f>'MModule+onboard_volatile'!Q146</f>
        <v>0</v>
      </c>
      <c r="R432" s="29">
        <f>'MModule+onboard_volatile'!R146</f>
        <v>0</v>
      </c>
      <c r="S432" s="29">
        <f>'MModule+onboard_volatile'!S146</f>
        <v>0</v>
      </c>
      <c r="T432" s="29">
        <f>'MModule+onboard_volatile'!T146</f>
        <v>0</v>
      </c>
      <c r="U432" s="29">
        <f>'MModule+onboard_volatile'!U146</f>
        <v>0</v>
      </c>
      <c r="V432" s="29">
        <f>'MModule+onboard_volatile'!V146</f>
        <v>0</v>
      </c>
      <c r="W432" s="29">
        <f>'MModule+onboard_volatile'!W146</f>
        <v>0</v>
      </c>
      <c r="X432" s="29">
        <f>'MModule+onboard_volatile'!X146</f>
        <v>0</v>
      </c>
      <c r="Y432" s="29">
        <f>'MModule+onboard_volatile'!Y146</f>
        <v>0</v>
      </c>
      <c r="Z432" s="29" t="e">
        <f>'MModule+onboard_volatile'!#REF!</f>
        <v>#REF!</v>
      </c>
      <c r="AA432" s="29">
        <f>'MModule+onboard_volatile'!Z146</f>
        <v>0</v>
      </c>
      <c r="AB432" s="29">
        <f>'MModule+onboard_volatile'!AA146</f>
        <v>0</v>
      </c>
    </row>
    <row r="433" spans="3:29" s="11" customFormat="1">
      <c r="C433" s="98" t="s">
        <v>26</v>
      </c>
      <c r="D433" s="29">
        <f>'MModule+onboard_volatile'!C147</f>
        <v>0</v>
      </c>
      <c r="E433" s="29">
        <f>'MModule+onboard_volatile'!D147</f>
        <v>0</v>
      </c>
      <c r="F433" s="29">
        <f>'MModule+onboard_volatile'!E147</f>
        <v>0</v>
      </c>
      <c r="G433" s="29" t="str">
        <f>'MModule+onboard_volatile'!F147</f>
        <v>X1502ZA</v>
      </c>
      <c r="H433" s="29" t="str">
        <f>'MModule+onboard_volatile'!G147</f>
        <v>Core i5-1235U</v>
      </c>
      <c r="I433" s="29" t="str">
        <f>'MModule+onboard_volatile'!H147</f>
        <v>Imported</v>
      </c>
      <c r="J433" s="29" t="str">
        <f>'MModule+onboard_volatile'!I147</f>
        <v>Asus</v>
      </c>
      <c r="K433" s="29" t="str">
        <f>'MModule+onboard_volatile'!J147</f>
        <v>M on board</v>
      </c>
      <c r="L433" s="29" t="str">
        <f>'MModule+onboard_volatile'!K147</f>
        <v>4GB OB</v>
      </c>
      <c r="M433" s="29">
        <f>'MModule+onboard_volatile'!L147</f>
        <v>4</v>
      </c>
      <c r="N433" s="29" t="str">
        <f>'MModule+onboard_volatile'!M147</f>
        <v>DDR4 (512x16)</v>
      </c>
      <c r="O433" s="29">
        <f>'MModule+onboard_volatile'!N147</f>
        <v>0</v>
      </c>
      <c r="P433" s="29">
        <f>'MModule+onboard_volatile'!P147</f>
        <v>0</v>
      </c>
      <c r="Q433" s="29">
        <f>'MModule+onboard_volatile'!Q147</f>
        <v>0</v>
      </c>
      <c r="R433" s="29">
        <f>'MModule+onboard_volatile'!R147</f>
        <v>0</v>
      </c>
      <c r="S433" s="29">
        <f>'MModule+onboard_volatile'!S147</f>
        <v>0</v>
      </c>
      <c r="T433" s="29">
        <f>'MModule+onboard_volatile'!T147</f>
        <v>0</v>
      </c>
      <c r="U433" s="29">
        <f>'MModule+onboard_volatile'!U147</f>
        <v>0</v>
      </c>
      <c r="V433" s="29">
        <f>'MModule+onboard_volatile'!V147</f>
        <v>0</v>
      </c>
      <c r="W433" s="29">
        <f>'MModule+onboard_volatile'!W147</f>
        <v>0</v>
      </c>
      <c r="X433" s="29">
        <f>'MModule+onboard_volatile'!X147</f>
        <v>0</v>
      </c>
      <c r="Y433" s="29">
        <f>'MModule+onboard_volatile'!Y147</f>
        <v>0</v>
      </c>
      <c r="Z433" s="29" t="e">
        <f>'MModule+onboard_volatile'!#REF!</f>
        <v>#REF!</v>
      </c>
      <c r="AA433" s="29">
        <f>'MModule+onboard_volatile'!Z147</f>
        <v>320</v>
      </c>
      <c r="AB433" s="29" t="str">
        <f>'MModule+onboard_volatile'!AA147</f>
        <v>n/a</v>
      </c>
    </row>
    <row r="434" spans="3:29" s="11" customFormat="1">
      <c r="C434" s="98" t="s">
        <v>26</v>
      </c>
      <c r="D434" s="29">
        <f>'MModule+onboard_volatile'!C148</f>
        <v>0</v>
      </c>
      <c r="E434" s="29" t="str">
        <f>'MModule+onboard_volatile'!D148</f>
        <v>FCST</v>
      </c>
      <c r="F434" s="29">
        <f>'MModule+onboard_volatile'!E148</f>
        <v>20</v>
      </c>
      <c r="G434" s="29" t="str">
        <f>'MModule+onboard_volatile'!F148</f>
        <v>X1502ZA</v>
      </c>
      <c r="H434" s="29" t="str">
        <f>'MModule+onboard_volatile'!G148</f>
        <v>Core i5-1235U</v>
      </c>
      <c r="I434" s="29">
        <f>'MModule+onboard_volatile'!H148</f>
        <v>0</v>
      </c>
      <c r="J434" s="29">
        <f>'MModule+onboard_volatile'!I148</f>
        <v>0</v>
      </c>
      <c r="K434" s="29">
        <f>'MModule+onboard_volatile'!J148</f>
        <v>0</v>
      </c>
      <c r="L434" s="29" t="str">
        <f>'MModule+onboard_volatile'!K148</f>
        <v>16GB</v>
      </c>
      <c r="M434" s="29">
        <f>'MModule+onboard_volatile'!L148</f>
        <v>0</v>
      </c>
      <c r="N434" s="29">
        <f>'MModule+onboard_volatile'!M148</f>
        <v>0</v>
      </c>
      <c r="O434" s="29">
        <f>'MModule+onboard_volatile'!N148</f>
        <v>0</v>
      </c>
      <c r="P434" s="29">
        <f>'MModule+onboard_volatile'!P148</f>
        <v>0</v>
      </c>
      <c r="Q434" s="29">
        <f>'MModule+onboard_volatile'!Q148</f>
        <v>0</v>
      </c>
      <c r="R434" s="29">
        <f>'MModule+onboard_volatile'!R148</f>
        <v>0</v>
      </c>
      <c r="S434" s="29">
        <f>'MModule+onboard_volatile'!S148</f>
        <v>0</v>
      </c>
      <c r="T434" s="29">
        <f>'MModule+onboard_volatile'!T148</f>
        <v>0</v>
      </c>
      <c r="U434" s="29">
        <f>'MModule+onboard_volatile'!U148</f>
        <v>0</v>
      </c>
      <c r="V434" s="29">
        <f>'MModule+onboard_volatile'!V148</f>
        <v>0</v>
      </c>
      <c r="W434" s="29">
        <f>'MModule+onboard_volatile'!W148</f>
        <v>0</v>
      </c>
      <c r="X434" s="29">
        <f>'MModule+onboard_volatile'!X148</f>
        <v>0</v>
      </c>
      <c r="Y434" s="29">
        <f>'MModule+onboard_volatile'!Y148</f>
        <v>0</v>
      </c>
      <c r="Z434" s="29" t="e">
        <f>'MModule+onboard_volatile'!#REF!</f>
        <v>#REF!</v>
      </c>
      <c r="AA434" s="29">
        <f>'MModule+onboard_volatile'!Z148</f>
        <v>0</v>
      </c>
      <c r="AB434" s="29">
        <f>'MModule+onboard_volatile'!AA148</f>
        <v>0</v>
      </c>
    </row>
    <row r="435" spans="3:29" s="11" customFormat="1">
      <c r="C435" s="98" t="s">
        <v>26</v>
      </c>
      <c r="D435" s="29">
        <f>'MModule+onboard_volatile'!C149</f>
        <v>0</v>
      </c>
      <c r="E435" s="29">
        <f>'MModule+onboard_volatile'!D149</f>
        <v>0</v>
      </c>
      <c r="F435" s="29">
        <f>'MModule+onboard_volatile'!E149</f>
        <v>0</v>
      </c>
      <c r="G435" s="29" t="str">
        <f>'MModule+onboard_volatile'!F149</f>
        <v>X1502ZA</v>
      </c>
      <c r="H435" s="29" t="str">
        <f>'MModule+onboard_volatile'!G149</f>
        <v>Core i5-1235U</v>
      </c>
      <c r="I435" s="29" t="str">
        <f>'MModule+onboard_volatile'!H149</f>
        <v>Imported</v>
      </c>
      <c r="J435" s="29" t="str">
        <f>'MModule+onboard_volatile'!I149</f>
        <v>Asus</v>
      </c>
      <c r="K435" s="29" t="str">
        <f>'MModule+onboard_volatile'!J149</f>
        <v>Mmodule</v>
      </c>
      <c r="L435" s="29" t="str">
        <f>'MModule+onboard_volatile'!K149</f>
        <v>8GB (3200)</v>
      </c>
      <c r="M435" s="29">
        <f>'MModule+onboard_volatile'!L149</f>
        <v>8</v>
      </c>
      <c r="N435" s="29" t="str">
        <f>'MModule+onboard_volatile'!M149</f>
        <v>03A08-00054300
03A08-00053900
03A08-00055100(待驗)</v>
      </c>
      <c r="O435" s="29">
        <f>'MModule+onboard_volatile'!N149</f>
        <v>0</v>
      </c>
      <c r="P435" s="29">
        <f>'MModule+onboard_volatile'!P149</f>
        <v>0</v>
      </c>
      <c r="Q435" s="29">
        <f>'MModule+onboard_volatile'!Q149</f>
        <v>0</v>
      </c>
      <c r="R435" s="29">
        <f>'MModule+onboard_volatile'!R149</f>
        <v>0</v>
      </c>
      <c r="S435" s="29">
        <f>'MModule+onboard_volatile'!S149</f>
        <v>0</v>
      </c>
      <c r="T435" s="29">
        <f>'MModule+onboard_volatile'!T149</f>
        <v>0</v>
      </c>
      <c r="U435" s="29">
        <f>'MModule+onboard_volatile'!U149</f>
        <v>0</v>
      </c>
      <c r="V435" s="29">
        <f>'MModule+onboard_volatile'!V149</f>
        <v>0</v>
      </c>
      <c r="W435" s="29">
        <f>'MModule+onboard_volatile'!W149</f>
        <v>0</v>
      </c>
      <c r="X435" s="29">
        <f>'MModule+onboard_volatile'!X149</f>
        <v>0</v>
      </c>
      <c r="Y435" s="29">
        <f>'MModule+onboard_volatile'!Y149</f>
        <v>0</v>
      </c>
      <c r="Z435" s="29" t="e">
        <f>'MModule+onboard_volatile'!#REF!</f>
        <v>#REF!</v>
      </c>
      <c r="AA435" s="29">
        <f>'MModule+onboard_volatile'!Z149</f>
        <v>160</v>
      </c>
      <c r="AB435" s="29">
        <f>'MModule+onboard_volatile'!AA149</f>
        <v>20</v>
      </c>
    </row>
    <row r="436" spans="3:29" s="11" customFormat="1">
      <c r="C436" s="98" t="s">
        <v>26</v>
      </c>
      <c r="D436" s="29">
        <f>'MModule+onboard_volatile'!C150</f>
        <v>0</v>
      </c>
      <c r="E436" s="29">
        <f>'MModule+onboard_volatile'!D150</f>
        <v>0</v>
      </c>
      <c r="F436" s="29">
        <f>'MModule+onboard_volatile'!E150</f>
        <v>0</v>
      </c>
      <c r="G436" s="29" t="str">
        <f>'MModule+onboard_volatile'!F150</f>
        <v>X1502ZA</v>
      </c>
      <c r="H436" s="29" t="str">
        <f>'MModule+onboard_volatile'!G150</f>
        <v>Core i5-1235U</v>
      </c>
      <c r="I436" s="29" t="str">
        <f>'MModule+onboard_volatile'!H150</f>
        <v>Local</v>
      </c>
      <c r="J436" s="29" t="str">
        <f>'MModule+onboard_volatile'!I150</f>
        <v>TBD</v>
      </c>
      <c r="K436" s="29" t="str">
        <f>'MModule+onboard_volatile'!J150</f>
        <v>Mmodule</v>
      </c>
      <c r="L436" s="29" t="str">
        <f>'MModule+onboard_volatile'!K150</f>
        <v>8GB (3200)</v>
      </c>
      <c r="M436" s="29">
        <f>'MModule+onboard_volatile'!L150</f>
        <v>8</v>
      </c>
      <c r="N436" s="29">
        <f>'MModule+onboard_volatile'!M150</f>
        <v>0</v>
      </c>
      <c r="O436" s="29">
        <f>'MModule+onboard_volatile'!N150</f>
        <v>0</v>
      </c>
      <c r="P436" s="29">
        <f>'MModule+onboard_volatile'!P150</f>
        <v>0</v>
      </c>
      <c r="Q436" s="29">
        <f>'MModule+onboard_volatile'!Q150</f>
        <v>0</v>
      </c>
      <c r="R436" s="29">
        <f>'MModule+onboard_volatile'!R150</f>
        <v>0</v>
      </c>
      <c r="S436" s="29">
        <f>'MModule+onboard_volatile'!S150</f>
        <v>0</v>
      </c>
      <c r="T436" s="29">
        <f>'MModule+onboard_volatile'!T150</f>
        <v>0</v>
      </c>
      <c r="U436" s="29">
        <f>'MModule+onboard_volatile'!U150</f>
        <v>0</v>
      </c>
      <c r="V436" s="29">
        <f>'MModule+onboard_volatile'!V150</f>
        <v>0</v>
      </c>
      <c r="W436" s="29">
        <f>'MModule+onboard_volatile'!W150</f>
        <v>0</v>
      </c>
      <c r="X436" s="29">
        <f>'MModule+onboard_volatile'!X150</f>
        <v>0</v>
      </c>
      <c r="Y436" s="29">
        <f>'MModule+onboard_volatile'!Y150</f>
        <v>0</v>
      </c>
      <c r="Z436" s="29" t="e">
        <f>'MModule+onboard_volatile'!#REF!</f>
        <v>#REF!</v>
      </c>
      <c r="AA436" s="29">
        <f>'MModule+onboard_volatile'!Z150</f>
        <v>0</v>
      </c>
      <c r="AB436" s="29">
        <f>'MModule+onboard_volatile'!AA150</f>
        <v>0</v>
      </c>
    </row>
    <row r="437" spans="3:29" s="11" customFormat="1">
      <c r="C437" s="98" t="s">
        <v>26</v>
      </c>
      <c r="D437" s="29">
        <f>'MModule+onboard_volatile'!C151</f>
        <v>0</v>
      </c>
      <c r="E437" s="29">
        <f>'MModule+onboard_volatile'!D151</f>
        <v>0</v>
      </c>
      <c r="F437" s="29">
        <f>'MModule+onboard_volatile'!E151</f>
        <v>0</v>
      </c>
      <c r="G437" s="29" t="str">
        <f>'MModule+onboard_volatile'!F151</f>
        <v>X1502ZA</v>
      </c>
      <c r="H437" s="29" t="str">
        <f>'MModule+onboard_volatile'!G151</f>
        <v>Core i5-1235U</v>
      </c>
      <c r="I437" s="29" t="str">
        <f>'MModule+onboard_volatile'!H151</f>
        <v>Imported</v>
      </c>
      <c r="J437" s="29" t="str">
        <f>'MModule+onboard_volatile'!I151</f>
        <v>Asus</v>
      </c>
      <c r="K437" s="29" t="str">
        <f>'MModule+onboard_volatile'!J151</f>
        <v>M on board</v>
      </c>
      <c r="L437" s="29" t="str">
        <f>'MModule+onboard_volatile'!K151</f>
        <v>8GB OB</v>
      </c>
      <c r="M437" s="29">
        <f>'MModule+onboard_volatile'!L151</f>
        <v>4</v>
      </c>
      <c r="N437" s="29" t="str">
        <f>'MModule+onboard_volatile'!M151</f>
        <v>03012-00040600
03012-00041000
03012-00041100(待驗)</v>
      </c>
      <c r="O437" s="29">
        <f>'MModule+onboard_volatile'!N151</f>
        <v>0</v>
      </c>
      <c r="P437" s="29">
        <f>'MModule+onboard_volatile'!P151</f>
        <v>0</v>
      </c>
      <c r="Q437" s="29">
        <f>'MModule+onboard_volatile'!Q151</f>
        <v>0</v>
      </c>
      <c r="R437" s="29">
        <f>'MModule+onboard_volatile'!R151</f>
        <v>0</v>
      </c>
      <c r="S437" s="29">
        <f>'MModule+onboard_volatile'!S151</f>
        <v>0</v>
      </c>
      <c r="T437" s="29">
        <f>'MModule+onboard_volatile'!T151</f>
        <v>0</v>
      </c>
      <c r="U437" s="29">
        <f>'MModule+onboard_volatile'!U151</f>
        <v>0</v>
      </c>
      <c r="V437" s="29">
        <f>'MModule+onboard_volatile'!V151</f>
        <v>0</v>
      </c>
      <c r="W437" s="29">
        <f>'MModule+onboard_volatile'!W151</f>
        <v>0</v>
      </c>
      <c r="X437" s="29">
        <f>'MModule+onboard_volatile'!X151</f>
        <v>0</v>
      </c>
      <c r="Y437" s="29">
        <f>'MModule+onboard_volatile'!Y151</f>
        <v>0</v>
      </c>
      <c r="Z437" s="29" t="e">
        <f>'MModule+onboard_volatile'!#REF!</f>
        <v>#REF!</v>
      </c>
      <c r="AA437" s="29">
        <f>'MModule+onboard_volatile'!Z151</f>
        <v>80</v>
      </c>
      <c r="AB437" s="29" t="str">
        <f>'MModule+onboard_volatile'!AA151</f>
        <v>n/a</v>
      </c>
    </row>
    <row r="438" spans="3:29" s="11" customFormat="1">
      <c r="C438" s="98" t="s">
        <v>26</v>
      </c>
      <c r="D438" s="29">
        <f>'MModule+onboard_volatile'!C157</f>
        <v>0</v>
      </c>
      <c r="E438" s="29" t="str">
        <f>'MModule+onboard_volatile'!D157</f>
        <v>FCST</v>
      </c>
      <c r="F438" s="29">
        <f>'MModule+onboard_volatile'!E157</f>
        <v>600</v>
      </c>
      <c r="G438" s="29" t="str">
        <f>'MModule+onboard_volatile'!F157</f>
        <v>X1502ZA</v>
      </c>
      <c r="H438" s="29" t="str">
        <f>'MModule+onboard_volatile'!G157</f>
        <v>Core i7-1255U</v>
      </c>
      <c r="I438" s="29">
        <f>'MModule+onboard_volatile'!H157</f>
        <v>0</v>
      </c>
      <c r="J438" s="29">
        <f>'MModule+onboard_volatile'!I157</f>
        <v>0</v>
      </c>
      <c r="K438" s="29">
        <f>'MModule+onboard_volatile'!J157</f>
        <v>0</v>
      </c>
      <c r="L438" s="29" t="str">
        <f>'MModule+onboard_volatile'!K157</f>
        <v>16GB</v>
      </c>
      <c r="M438" s="29">
        <f>'MModule+onboard_volatile'!L157</f>
        <v>0</v>
      </c>
      <c r="N438" s="29">
        <f>'MModule+onboard_volatile'!M157</f>
        <v>0</v>
      </c>
      <c r="O438" s="29">
        <f>'MModule+onboard_volatile'!N157</f>
        <v>200</v>
      </c>
      <c r="P438" s="29">
        <f>'MModule+onboard_volatile'!P157</f>
        <v>200</v>
      </c>
      <c r="Q438" s="29">
        <f>'MModule+onboard_volatile'!Q157</f>
        <v>0</v>
      </c>
      <c r="R438" s="29">
        <f>'MModule+onboard_volatile'!R157</f>
        <v>0</v>
      </c>
      <c r="S438" s="29">
        <f>'MModule+onboard_volatile'!S157</f>
        <v>0</v>
      </c>
      <c r="T438" s="29">
        <f>'MModule+onboard_volatile'!T157</f>
        <v>0</v>
      </c>
      <c r="U438" s="29">
        <f>'MModule+onboard_volatile'!U157</f>
        <v>0</v>
      </c>
      <c r="V438" s="29">
        <f>'MModule+onboard_volatile'!V157</f>
        <v>0</v>
      </c>
      <c r="W438" s="29">
        <f>'MModule+onboard_volatile'!W157</f>
        <v>0</v>
      </c>
      <c r="X438" s="29">
        <f>'MModule+onboard_volatile'!X157</f>
        <v>0</v>
      </c>
      <c r="Y438" s="29">
        <f>'MModule+onboard_volatile'!Y157</f>
        <v>0</v>
      </c>
      <c r="Z438" s="29" t="e">
        <f>'MModule+onboard_volatile'!#REF!</f>
        <v>#REF!</v>
      </c>
      <c r="AA438" s="29">
        <f>'MModule+onboard_volatile'!Z157</f>
        <v>0</v>
      </c>
      <c r="AB438" s="29">
        <f>'MModule+onboard_volatile'!AA157</f>
        <v>0</v>
      </c>
    </row>
    <row r="439" spans="3:29">
      <c r="C439" s="98" t="s">
        <v>26</v>
      </c>
      <c r="D439" s="29">
        <f>'MModule+onboard_volatile'!C158</f>
        <v>0</v>
      </c>
      <c r="E439" s="29">
        <f>'MModule+onboard_volatile'!D158</f>
        <v>0</v>
      </c>
      <c r="F439" s="29">
        <f>'MModule+onboard_volatile'!E158</f>
        <v>0</v>
      </c>
      <c r="G439" s="29" t="str">
        <f>'MModule+onboard_volatile'!F158</f>
        <v>X1502ZA</v>
      </c>
      <c r="H439" s="29" t="str">
        <f>'MModule+onboard_volatile'!G158</f>
        <v>Core i7-1255U</v>
      </c>
      <c r="I439" s="29" t="str">
        <f>'MModule+onboard_volatile'!H158</f>
        <v>Imported</v>
      </c>
      <c r="J439" s="29" t="str">
        <f>'MModule+onboard_volatile'!I158</f>
        <v>Asus</v>
      </c>
      <c r="K439" s="29" t="str">
        <f>'MModule+onboard_volatile'!J158</f>
        <v>Mmodule</v>
      </c>
      <c r="L439" s="29" t="str">
        <f>'MModule+onboard_volatile'!K158</f>
        <v>8GB (3200)</v>
      </c>
      <c r="M439" s="29">
        <f>'MModule+onboard_volatile'!L158</f>
        <v>8</v>
      </c>
      <c r="N439" s="29" t="str">
        <f>'MModule+onboard_volatile'!M158</f>
        <v>03A08-00054300
03A08-00053900
03A08-00055100(待驗)</v>
      </c>
      <c r="O439" s="29">
        <f>'MModule+onboard_volatile'!N158</f>
        <v>200</v>
      </c>
      <c r="P439" s="29">
        <f>'MModule+onboard_volatile'!P158</f>
        <v>200</v>
      </c>
      <c r="Q439" s="29">
        <f>'MModule+onboard_volatile'!Q158</f>
        <v>0</v>
      </c>
      <c r="R439" s="29">
        <f>'MModule+onboard_volatile'!R158</f>
        <v>0</v>
      </c>
      <c r="S439" s="29">
        <f>'MModule+onboard_volatile'!S158</f>
        <v>0</v>
      </c>
      <c r="T439" s="29">
        <f>'MModule+onboard_volatile'!T158</f>
        <v>0</v>
      </c>
      <c r="U439" s="29">
        <f>'MModule+onboard_volatile'!U158</f>
        <v>0</v>
      </c>
      <c r="V439" s="29">
        <f>'MModule+onboard_volatile'!V158</f>
        <v>0</v>
      </c>
      <c r="W439" s="29">
        <f>'MModule+onboard_volatile'!W158</f>
        <v>0</v>
      </c>
      <c r="X439" s="29">
        <f>'MModule+onboard_volatile'!X158</f>
        <v>0</v>
      </c>
      <c r="Y439" s="29">
        <f>'MModule+onboard_volatile'!Y158</f>
        <v>0</v>
      </c>
      <c r="Z439" s="29" t="e">
        <f>'MModule+onboard_volatile'!#REF!</f>
        <v>#REF!</v>
      </c>
      <c r="AA439" s="29">
        <f>'MModule+onboard_volatile'!Z158</f>
        <v>4800</v>
      </c>
      <c r="AB439" s="29">
        <f>'MModule+onboard_volatile'!AA158</f>
        <v>600</v>
      </c>
      <c r="AC439" s="11"/>
    </row>
    <row r="440" spans="3:29" s="11" customFormat="1">
      <c r="C440" s="98" t="s">
        <v>26</v>
      </c>
      <c r="D440" s="29">
        <f>'MModule+onboard_volatile'!C159</f>
        <v>0</v>
      </c>
      <c r="E440" s="29">
        <f>'MModule+onboard_volatile'!D159</f>
        <v>0</v>
      </c>
      <c r="F440" s="29">
        <f>'MModule+onboard_volatile'!E159</f>
        <v>0</v>
      </c>
      <c r="G440" s="29" t="str">
        <f>'MModule+onboard_volatile'!F159</f>
        <v>X1502ZA</v>
      </c>
      <c r="H440" s="29" t="str">
        <f>'MModule+onboard_volatile'!G159</f>
        <v>Core i7-1255U</v>
      </c>
      <c r="I440" s="29" t="str">
        <f>'MModule+onboard_volatile'!H159</f>
        <v>Local</v>
      </c>
      <c r="J440" s="29" t="str">
        <f>'MModule+onboard_volatile'!I159</f>
        <v>TBD</v>
      </c>
      <c r="K440" s="29" t="str">
        <f>'MModule+onboard_volatile'!J159</f>
        <v>Mmodule</v>
      </c>
      <c r="L440" s="29" t="str">
        <f>'MModule+onboard_volatile'!K159</f>
        <v>8GB (3200)</v>
      </c>
      <c r="M440" s="29">
        <f>'MModule+onboard_volatile'!L159</f>
        <v>8</v>
      </c>
      <c r="N440" s="29">
        <f>'MModule+onboard_volatile'!M159</f>
        <v>0</v>
      </c>
      <c r="O440" s="29">
        <f>'MModule+onboard_volatile'!N159</f>
        <v>0</v>
      </c>
      <c r="P440" s="29">
        <f>'MModule+onboard_volatile'!P159</f>
        <v>0</v>
      </c>
      <c r="Q440" s="29">
        <f>'MModule+onboard_volatile'!Q159</f>
        <v>0</v>
      </c>
      <c r="R440" s="29">
        <f>'MModule+onboard_volatile'!R159</f>
        <v>0</v>
      </c>
      <c r="S440" s="29">
        <f>'MModule+onboard_volatile'!S159</f>
        <v>0</v>
      </c>
      <c r="T440" s="29">
        <f>'MModule+onboard_volatile'!T159</f>
        <v>0</v>
      </c>
      <c r="U440" s="29">
        <f>'MModule+onboard_volatile'!U159</f>
        <v>0</v>
      </c>
      <c r="V440" s="29">
        <f>'MModule+onboard_volatile'!V159</f>
        <v>0</v>
      </c>
      <c r="W440" s="29">
        <f>'MModule+onboard_volatile'!W159</f>
        <v>0</v>
      </c>
      <c r="X440" s="29">
        <f>'MModule+onboard_volatile'!X159</f>
        <v>0</v>
      </c>
      <c r="Y440" s="29">
        <f>'MModule+onboard_volatile'!Y159</f>
        <v>0</v>
      </c>
      <c r="Z440" s="29" t="e">
        <f>'MModule+onboard_volatile'!#REF!</f>
        <v>#REF!</v>
      </c>
      <c r="AA440" s="29">
        <f>'MModule+onboard_volatile'!Z159</f>
        <v>0</v>
      </c>
      <c r="AB440" s="29">
        <f>'MModule+onboard_volatile'!AA159</f>
        <v>0</v>
      </c>
    </row>
    <row r="441" spans="3:29" s="11" customFormat="1">
      <c r="C441" s="98" t="s">
        <v>26</v>
      </c>
      <c r="D441" s="29">
        <f>'MModule+onboard_volatile'!C160</f>
        <v>0</v>
      </c>
      <c r="E441" s="29">
        <f>'MModule+onboard_volatile'!D160</f>
        <v>0</v>
      </c>
      <c r="F441" s="29">
        <f>'MModule+onboard_volatile'!E160</f>
        <v>0</v>
      </c>
      <c r="G441" s="29" t="str">
        <f>'MModule+onboard_volatile'!F160</f>
        <v>X1502ZA</v>
      </c>
      <c r="H441" s="29" t="str">
        <f>'MModule+onboard_volatile'!G160</f>
        <v>Core i7-1255U</v>
      </c>
      <c r="I441" s="29" t="str">
        <f>'MModule+onboard_volatile'!H160</f>
        <v>Imported</v>
      </c>
      <c r="J441" s="29" t="str">
        <f>'MModule+onboard_volatile'!I160</f>
        <v>Asus</v>
      </c>
      <c r="K441" s="29" t="str">
        <f>'MModule+onboard_volatile'!J160</f>
        <v>M on board</v>
      </c>
      <c r="L441" s="29" t="str">
        <f>'MModule+onboard_volatile'!K160</f>
        <v>8GB OB</v>
      </c>
      <c r="M441" s="29">
        <f>'MModule+onboard_volatile'!L160</f>
        <v>4</v>
      </c>
      <c r="N441" s="29" t="str">
        <f>'MModule+onboard_volatile'!M160</f>
        <v>03012-00040600
03012-00041000
03012-00041100(待驗)</v>
      </c>
      <c r="O441" s="29">
        <f>'MModule+onboard_volatile'!N160</f>
        <v>800</v>
      </c>
      <c r="P441" s="29">
        <f>'MModule+onboard_volatile'!P160</f>
        <v>800</v>
      </c>
      <c r="Q441" s="29">
        <f>'MModule+onboard_volatile'!Q160</f>
        <v>0</v>
      </c>
      <c r="R441" s="29">
        <f>'MModule+onboard_volatile'!R160</f>
        <v>0</v>
      </c>
      <c r="S441" s="29">
        <f>'MModule+onboard_volatile'!S160</f>
        <v>0</v>
      </c>
      <c r="T441" s="29">
        <f>'MModule+onboard_volatile'!T160</f>
        <v>0</v>
      </c>
      <c r="U441" s="29">
        <f>'MModule+onboard_volatile'!U160</f>
        <v>0</v>
      </c>
      <c r="V441" s="29">
        <f>'MModule+onboard_volatile'!V160</f>
        <v>0</v>
      </c>
      <c r="W441" s="29">
        <f>'MModule+onboard_volatile'!W160</f>
        <v>0</v>
      </c>
      <c r="X441" s="29">
        <f>'MModule+onboard_volatile'!X160</f>
        <v>0</v>
      </c>
      <c r="Y441" s="29">
        <f>'MModule+onboard_volatile'!Y160</f>
        <v>0</v>
      </c>
      <c r="Z441" s="29" t="e">
        <f>'MModule+onboard_volatile'!#REF!</f>
        <v>#REF!</v>
      </c>
      <c r="AA441" s="29">
        <f>'MModule+onboard_volatile'!Z160</f>
        <v>2400</v>
      </c>
      <c r="AB441" s="29" t="str">
        <f>'MModule+onboard_volatile'!AA160</f>
        <v>n/a</v>
      </c>
    </row>
    <row r="442" spans="3:29" s="11" customFormat="1">
      <c r="C442" s="98" t="s">
        <v>26</v>
      </c>
      <c r="D442" s="29">
        <f>'MModule+onboard_volatile'!C161</f>
        <v>0</v>
      </c>
      <c r="E442" s="29" t="str">
        <f>'MModule+onboard_volatile'!D161</f>
        <v>FCST</v>
      </c>
      <c r="F442" s="29">
        <f>'MModule+onboard_volatile'!E161</f>
        <v>0</v>
      </c>
      <c r="G442" s="29" t="str">
        <f>'MModule+onboard_volatile'!F161</f>
        <v>X1603ZA</v>
      </c>
      <c r="H442" s="29" t="str">
        <f>'MModule+onboard_volatile'!G161</f>
        <v>Core i7 ADL</v>
      </c>
      <c r="I442" s="29">
        <f>'MModule+onboard_volatile'!H161</f>
        <v>0</v>
      </c>
      <c r="J442" s="29">
        <f>'MModule+onboard_volatile'!I161</f>
        <v>0</v>
      </c>
      <c r="K442" s="29">
        <f>'MModule+onboard_volatile'!J161</f>
        <v>0</v>
      </c>
      <c r="L442" s="29" t="str">
        <f>'MModule+onboard_volatile'!K161</f>
        <v>8GB</v>
      </c>
      <c r="M442" s="29">
        <f>'MModule+onboard_volatile'!L161</f>
        <v>0</v>
      </c>
      <c r="N442" s="29">
        <f>'MModule+onboard_volatile'!M161</f>
        <v>0</v>
      </c>
      <c r="O442" s="29">
        <f>'MModule+onboard_volatile'!N161</f>
        <v>0</v>
      </c>
      <c r="P442" s="29">
        <f>'MModule+onboard_volatile'!P161</f>
        <v>0</v>
      </c>
      <c r="Q442" s="29">
        <f>'MModule+onboard_volatile'!Q161</f>
        <v>0</v>
      </c>
      <c r="R442" s="29">
        <f>'MModule+onboard_volatile'!R161</f>
        <v>0</v>
      </c>
      <c r="S442" s="29">
        <f>'MModule+onboard_volatile'!S161</f>
        <v>0</v>
      </c>
      <c r="T442" s="29">
        <f>'MModule+onboard_volatile'!T161</f>
        <v>0</v>
      </c>
      <c r="U442" s="29">
        <f>'MModule+onboard_volatile'!U161</f>
        <v>0</v>
      </c>
      <c r="V442" s="29">
        <f>'MModule+onboard_volatile'!V161</f>
        <v>0</v>
      </c>
      <c r="W442" s="29">
        <f>'MModule+onboard_volatile'!W161</f>
        <v>0</v>
      </c>
      <c r="X442" s="29">
        <f>'MModule+onboard_volatile'!X161</f>
        <v>0</v>
      </c>
      <c r="Y442" s="29">
        <f>'MModule+onboard_volatile'!Y161</f>
        <v>0</v>
      </c>
      <c r="Z442" s="29" t="e">
        <f>'MModule+onboard_volatile'!#REF!</f>
        <v>#REF!</v>
      </c>
      <c r="AA442" s="29">
        <f>'MModule+onboard_volatile'!Z161</f>
        <v>0</v>
      </c>
      <c r="AB442" s="29">
        <f>'MModule+onboard_volatile'!AA161</f>
        <v>0</v>
      </c>
    </row>
    <row r="443" spans="3:29" s="11" customFormat="1">
      <c r="C443" s="98" t="s">
        <v>26</v>
      </c>
      <c r="D443" s="29">
        <f>'MModule+onboard_volatile'!C162</f>
        <v>0</v>
      </c>
      <c r="E443" s="29">
        <f>'MModule+onboard_volatile'!D162</f>
        <v>0</v>
      </c>
      <c r="F443" s="29">
        <f>'MModule+onboard_volatile'!E162</f>
        <v>0</v>
      </c>
      <c r="G443" s="29" t="str">
        <f>'MModule+onboard_volatile'!F162</f>
        <v>X1603ZA</v>
      </c>
      <c r="H443" s="29" t="str">
        <f>'MModule+onboard_volatile'!G162</f>
        <v>Core i7 ADL</v>
      </c>
      <c r="I443" s="29" t="str">
        <f>'MModule+onboard_volatile'!H162</f>
        <v>Imported</v>
      </c>
      <c r="J443" s="29" t="str">
        <f>'MModule+onboard_volatile'!I162</f>
        <v>Asus</v>
      </c>
      <c r="K443" s="29" t="str">
        <f>'MModule+onboard_volatile'!J162</f>
        <v>Mmodule</v>
      </c>
      <c r="L443" s="29" t="str">
        <f>'MModule+onboard_volatile'!K162</f>
        <v>4GB (3200)</v>
      </c>
      <c r="M443" s="29">
        <f>'MModule+onboard_volatile'!L162</f>
        <v>4</v>
      </c>
      <c r="N443" s="29" t="str">
        <f>'MModule+onboard_volatile'!M162</f>
        <v>03A08-00042300
03A08-00042400(待驗)
03A08-00043300</v>
      </c>
      <c r="O443" s="29">
        <f>'MModule+onboard_volatile'!N162</f>
        <v>0</v>
      </c>
      <c r="P443" s="29">
        <f>'MModule+onboard_volatile'!P162</f>
        <v>0</v>
      </c>
      <c r="Q443" s="29">
        <f>'MModule+onboard_volatile'!Q162</f>
        <v>0</v>
      </c>
      <c r="R443" s="29">
        <f>'MModule+onboard_volatile'!R162</f>
        <v>0</v>
      </c>
      <c r="S443" s="29">
        <f>'MModule+onboard_volatile'!S162</f>
        <v>0</v>
      </c>
      <c r="T443" s="29">
        <f>'MModule+onboard_volatile'!T162</f>
        <v>0</v>
      </c>
      <c r="U443" s="29">
        <f>'MModule+onboard_volatile'!U162</f>
        <v>0</v>
      </c>
      <c r="V443" s="29">
        <f>'MModule+onboard_volatile'!V162</f>
        <v>0</v>
      </c>
      <c r="W443" s="29">
        <f>'MModule+onboard_volatile'!W162</f>
        <v>0</v>
      </c>
      <c r="X443" s="29">
        <f>'MModule+onboard_volatile'!X162</f>
        <v>0</v>
      </c>
      <c r="Y443" s="29">
        <f>'MModule+onboard_volatile'!Y162</f>
        <v>0</v>
      </c>
      <c r="Z443" s="29" t="e">
        <f>'MModule+onboard_volatile'!#REF!</f>
        <v>#REF!</v>
      </c>
      <c r="AA443" s="29">
        <f>'MModule+onboard_volatile'!Z162</f>
        <v>0</v>
      </c>
      <c r="AB443" s="29">
        <f>'MModule+onboard_volatile'!AA162</f>
        <v>0</v>
      </c>
    </row>
    <row r="444" spans="3:29" s="11" customFormat="1">
      <c r="C444" s="98" t="s">
        <v>26</v>
      </c>
      <c r="D444" s="29">
        <f>'MModule+onboard_volatile'!C163</f>
        <v>0</v>
      </c>
      <c r="E444" s="29">
        <f>'MModule+onboard_volatile'!D163</f>
        <v>0</v>
      </c>
      <c r="F444" s="29">
        <f>'MModule+onboard_volatile'!E163</f>
        <v>0</v>
      </c>
      <c r="G444" s="29" t="str">
        <f>'MModule+onboard_volatile'!F163</f>
        <v>X1603ZA</v>
      </c>
      <c r="H444" s="29" t="str">
        <f>'MModule+onboard_volatile'!G163</f>
        <v>Core i7 ADL</v>
      </c>
      <c r="I444" s="29" t="str">
        <f>'MModule+onboard_volatile'!H163</f>
        <v>Local</v>
      </c>
      <c r="J444" s="29" t="str">
        <f>'MModule+onboard_volatile'!I163</f>
        <v>TBD</v>
      </c>
      <c r="K444" s="29" t="str">
        <f>'MModule+onboard_volatile'!J163</f>
        <v>Mmodule</v>
      </c>
      <c r="L444" s="29" t="str">
        <f>'MModule+onboard_volatile'!K163</f>
        <v>4GB (3200)</v>
      </c>
      <c r="M444" s="29">
        <f>'MModule+onboard_volatile'!L163</f>
        <v>4</v>
      </c>
      <c r="N444" s="29">
        <f>'MModule+onboard_volatile'!M163</f>
        <v>0</v>
      </c>
      <c r="O444" s="29">
        <f>'MModule+onboard_volatile'!N163</f>
        <v>0</v>
      </c>
      <c r="P444" s="29">
        <f>'MModule+onboard_volatile'!P163</f>
        <v>0</v>
      </c>
      <c r="Q444" s="29">
        <f>'MModule+onboard_volatile'!Q163</f>
        <v>0</v>
      </c>
      <c r="R444" s="29">
        <f>'MModule+onboard_volatile'!R163</f>
        <v>0</v>
      </c>
      <c r="S444" s="29">
        <f>'MModule+onboard_volatile'!S163</f>
        <v>0</v>
      </c>
      <c r="T444" s="29">
        <f>'MModule+onboard_volatile'!T163</f>
        <v>0</v>
      </c>
      <c r="U444" s="29">
        <f>'MModule+onboard_volatile'!U163</f>
        <v>0</v>
      </c>
      <c r="V444" s="29">
        <f>'MModule+onboard_volatile'!V163</f>
        <v>0</v>
      </c>
      <c r="W444" s="29">
        <f>'MModule+onboard_volatile'!W163</f>
        <v>0</v>
      </c>
      <c r="X444" s="29">
        <f>'MModule+onboard_volatile'!X163</f>
        <v>0</v>
      </c>
      <c r="Y444" s="29">
        <f>'MModule+onboard_volatile'!Y163</f>
        <v>0</v>
      </c>
      <c r="Z444" s="29" t="e">
        <f>'MModule+onboard_volatile'!#REF!</f>
        <v>#REF!</v>
      </c>
      <c r="AA444" s="29">
        <f>'MModule+onboard_volatile'!Z163</f>
        <v>0</v>
      </c>
      <c r="AB444" s="29">
        <f>'MModule+onboard_volatile'!AA163</f>
        <v>0</v>
      </c>
    </row>
    <row r="445" spans="3:29" s="11" customFormat="1">
      <c r="C445" s="98" t="s">
        <v>26</v>
      </c>
      <c r="D445" s="29">
        <f>'MModule+onboard_volatile'!C164</f>
        <v>0</v>
      </c>
      <c r="E445" s="29">
        <f>'MModule+onboard_volatile'!D164</f>
        <v>0</v>
      </c>
      <c r="F445" s="29">
        <f>'MModule+onboard_volatile'!E164</f>
        <v>0</v>
      </c>
      <c r="G445" s="29" t="str">
        <f>'MModule+onboard_volatile'!F164</f>
        <v>X1603ZA</v>
      </c>
      <c r="H445" s="29" t="str">
        <f>'MModule+onboard_volatile'!G164</f>
        <v>Core i7 ADL</v>
      </c>
      <c r="I445" s="29" t="str">
        <f>'MModule+onboard_volatile'!H164</f>
        <v>Imported</v>
      </c>
      <c r="J445" s="29" t="str">
        <f>'MModule+onboard_volatile'!I164</f>
        <v>Asus</v>
      </c>
      <c r="K445" s="29" t="str">
        <f>'MModule+onboard_volatile'!J164</f>
        <v>M on board</v>
      </c>
      <c r="L445" s="29" t="str">
        <f>'MModule+onboard_volatile'!K164</f>
        <v>4GB OB</v>
      </c>
      <c r="M445" s="29">
        <f>'MModule+onboard_volatile'!L164</f>
        <v>4</v>
      </c>
      <c r="N445" s="29" t="str">
        <f>'MModule+onboard_volatile'!M164</f>
        <v>DDR4 (512x16)</v>
      </c>
      <c r="O445" s="29">
        <f>'MModule+onboard_volatile'!N164</f>
        <v>0</v>
      </c>
      <c r="P445" s="29">
        <f>'MModule+onboard_volatile'!P164</f>
        <v>0</v>
      </c>
      <c r="Q445" s="29">
        <f>'MModule+onboard_volatile'!Q164</f>
        <v>0</v>
      </c>
      <c r="R445" s="29">
        <f>'MModule+onboard_volatile'!R164</f>
        <v>0</v>
      </c>
      <c r="S445" s="29">
        <f>'MModule+onboard_volatile'!S164</f>
        <v>0</v>
      </c>
      <c r="T445" s="29">
        <f>'MModule+onboard_volatile'!T164</f>
        <v>0</v>
      </c>
      <c r="U445" s="29">
        <f>'MModule+onboard_volatile'!U164</f>
        <v>0</v>
      </c>
      <c r="V445" s="29">
        <f>'MModule+onboard_volatile'!V164</f>
        <v>0</v>
      </c>
      <c r="W445" s="29">
        <f>'MModule+onboard_volatile'!W164</f>
        <v>0</v>
      </c>
      <c r="X445" s="29">
        <f>'MModule+onboard_volatile'!X164</f>
        <v>0</v>
      </c>
      <c r="Y445" s="29">
        <f>'MModule+onboard_volatile'!Y164</f>
        <v>0</v>
      </c>
      <c r="Z445" s="29" t="e">
        <f>'MModule+onboard_volatile'!#REF!</f>
        <v>#REF!</v>
      </c>
      <c r="AA445" s="29">
        <f>'MModule+onboard_volatile'!Z164</f>
        <v>0</v>
      </c>
      <c r="AB445" s="29" t="str">
        <f>'MModule+onboard_volatile'!AA164</f>
        <v>n/a</v>
      </c>
    </row>
    <row r="446" spans="3:29" s="11" customFormat="1">
      <c r="C446" s="98" t="s">
        <v>26</v>
      </c>
      <c r="D446" s="29">
        <f>'MModule+onboard_volatile'!C165</f>
        <v>0</v>
      </c>
      <c r="E446" s="29" t="str">
        <f>'MModule+onboard_volatile'!D165</f>
        <v>FCST</v>
      </c>
      <c r="F446" s="29">
        <f>'MModule+onboard_volatile'!E165</f>
        <v>0</v>
      </c>
      <c r="G446" s="29" t="str">
        <f>'MModule+onboard_volatile'!F165</f>
        <v>X1603ZA</v>
      </c>
      <c r="H446" s="29" t="str">
        <f>'MModule+onboard_volatile'!G165</f>
        <v>Core i7 ADL</v>
      </c>
      <c r="I446" s="29">
        <f>'MModule+onboard_volatile'!H165</f>
        <v>0</v>
      </c>
      <c r="J446" s="29">
        <f>'MModule+onboard_volatile'!I165</f>
        <v>0</v>
      </c>
      <c r="K446" s="29">
        <f>'MModule+onboard_volatile'!J165</f>
        <v>0</v>
      </c>
      <c r="L446" s="29" t="str">
        <f>'MModule+onboard_volatile'!K165</f>
        <v>16GB</v>
      </c>
      <c r="M446" s="29">
        <f>'MModule+onboard_volatile'!L165</f>
        <v>0</v>
      </c>
      <c r="N446" s="29">
        <f>'MModule+onboard_volatile'!M165</f>
        <v>0</v>
      </c>
      <c r="O446" s="29">
        <f>'MModule+onboard_volatile'!N165</f>
        <v>0</v>
      </c>
      <c r="P446" s="29">
        <f>'MModule+onboard_volatile'!P165</f>
        <v>0</v>
      </c>
      <c r="Q446" s="29">
        <f>'MModule+onboard_volatile'!Q165</f>
        <v>0</v>
      </c>
      <c r="R446" s="29">
        <f>'MModule+onboard_volatile'!R165</f>
        <v>0</v>
      </c>
      <c r="S446" s="29">
        <f>'MModule+onboard_volatile'!S165</f>
        <v>0</v>
      </c>
      <c r="T446" s="29">
        <f>'MModule+onboard_volatile'!T165</f>
        <v>0</v>
      </c>
      <c r="U446" s="29">
        <f>'MModule+onboard_volatile'!U165</f>
        <v>0</v>
      </c>
      <c r="V446" s="29">
        <f>'MModule+onboard_volatile'!V165</f>
        <v>0</v>
      </c>
      <c r="W446" s="29">
        <f>'MModule+onboard_volatile'!W165</f>
        <v>0</v>
      </c>
      <c r="X446" s="29">
        <f>'MModule+onboard_volatile'!X165</f>
        <v>0</v>
      </c>
      <c r="Y446" s="29">
        <f>'MModule+onboard_volatile'!Y165</f>
        <v>0</v>
      </c>
      <c r="Z446" s="29" t="e">
        <f>'MModule+onboard_volatile'!#REF!</f>
        <v>#REF!</v>
      </c>
      <c r="AA446" s="29">
        <f>'MModule+onboard_volatile'!Z165</f>
        <v>0</v>
      </c>
      <c r="AB446" s="29">
        <f>'MModule+onboard_volatile'!AA165</f>
        <v>0</v>
      </c>
    </row>
    <row r="447" spans="3:29" s="11" customFormat="1">
      <c r="C447" s="98" t="s">
        <v>26</v>
      </c>
      <c r="D447" s="29">
        <f>'MModule+onboard_volatile'!C166</f>
        <v>0</v>
      </c>
      <c r="E447" s="29">
        <f>'MModule+onboard_volatile'!D166</f>
        <v>0</v>
      </c>
      <c r="F447" s="29">
        <f>'MModule+onboard_volatile'!E166</f>
        <v>0</v>
      </c>
      <c r="G447" s="29" t="str">
        <f>'MModule+onboard_volatile'!F166</f>
        <v>X1603ZA</v>
      </c>
      <c r="H447" s="29" t="str">
        <f>'MModule+onboard_volatile'!G166</f>
        <v>Core i7 ADL</v>
      </c>
      <c r="I447" s="29" t="str">
        <f>'MModule+onboard_volatile'!H166</f>
        <v>Imported</v>
      </c>
      <c r="J447" s="29" t="str">
        <f>'MModule+onboard_volatile'!I166</f>
        <v>Asus</v>
      </c>
      <c r="K447" s="29" t="str">
        <f>'MModule+onboard_volatile'!J166</f>
        <v>Mmodule</v>
      </c>
      <c r="L447" s="29" t="str">
        <f>'MModule+onboard_volatile'!K166</f>
        <v>8GB (3200)</v>
      </c>
      <c r="M447" s="29">
        <f>'MModule+onboard_volatile'!L166</f>
        <v>8</v>
      </c>
      <c r="N447" s="29" t="str">
        <f>'MModule+onboard_volatile'!M166</f>
        <v>03A08-00054300
03A08-00053900
03A08-00055100(待驗)</v>
      </c>
      <c r="O447" s="29">
        <f>'MModule+onboard_volatile'!N166</f>
        <v>0</v>
      </c>
      <c r="P447" s="29">
        <f>'MModule+onboard_volatile'!P166</f>
        <v>0</v>
      </c>
      <c r="Q447" s="29">
        <f>'MModule+onboard_volatile'!Q166</f>
        <v>0</v>
      </c>
      <c r="R447" s="29">
        <f>'MModule+onboard_volatile'!R166</f>
        <v>0</v>
      </c>
      <c r="S447" s="29">
        <f>'MModule+onboard_volatile'!S166</f>
        <v>0</v>
      </c>
      <c r="T447" s="29">
        <f>'MModule+onboard_volatile'!T166</f>
        <v>0</v>
      </c>
      <c r="U447" s="29">
        <f>'MModule+onboard_volatile'!U166</f>
        <v>0</v>
      </c>
      <c r="V447" s="29">
        <f>'MModule+onboard_volatile'!V166</f>
        <v>0</v>
      </c>
      <c r="W447" s="29">
        <f>'MModule+onboard_volatile'!W166</f>
        <v>0</v>
      </c>
      <c r="X447" s="29">
        <f>'MModule+onboard_volatile'!X166</f>
        <v>0</v>
      </c>
      <c r="Y447" s="29">
        <f>'MModule+onboard_volatile'!Y166</f>
        <v>0</v>
      </c>
      <c r="Z447" s="29" t="e">
        <f>'MModule+onboard_volatile'!#REF!</f>
        <v>#REF!</v>
      </c>
      <c r="AA447" s="29">
        <f>'MModule+onboard_volatile'!Z166</f>
        <v>0</v>
      </c>
      <c r="AB447" s="29">
        <f>'MModule+onboard_volatile'!AA166</f>
        <v>0</v>
      </c>
    </row>
    <row r="448" spans="3:29" s="11" customFormat="1">
      <c r="C448" s="98" t="s">
        <v>26</v>
      </c>
      <c r="D448" s="29">
        <f>'MModule+onboard_volatile'!C167</f>
        <v>0</v>
      </c>
      <c r="E448" s="29">
        <f>'MModule+onboard_volatile'!D167</f>
        <v>0</v>
      </c>
      <c r="F448" s="29">
        <f>'MModule+onboard_volatile'!E167</f>
        <v>0</v>
      </c>
      <c r="G448" s="29" t="str">
        <f>'MModule+onboard_volatile'!F167</f>
        <v>X1603ZA</v>
      </c>
      <c r="H448" s="29" t="str">
        <f>'MModule+onboard_volatile'!G167</f>
        <v>Core i7 ADL</v>
      </c>
      <c r="I448" s="29" t="str">
        <f>'MModule+onboard_volatile'!H167</f>
        <v>Local</v>
      </c>
      <c r="J448" s="29" t="str">
        <f>'MModule+onboard_volatile'!I167</f>
        <v>TBD</v>
      </c>
      <c r="K448" s="29" t="str">
        <f>'MModule+onboard_volatile'!J167</f>
        <v>Mmodule</v>
      </c>
      <c r="L448" s="29" t="str">
        <f>'MModule+onboard_volatile'!K167</f>
        <v>8GB (3200)</v>
      </c>
      <c r="M448" s="29">
        <f>'MModule+onboard_volatile'!L167</f>
        <v>8</v>
      </c>
      <c r="N448" s="29">
        <f>'MModule+onboard_volatile'!M167</f>
        <v>0</v>
      </c>
      <c r="O448" s="29">
        <f>'MModule+onboard_volatile'!N167</f>
        <v>0</v>
      </c>
      <c r="P448" s="29">
        <f>'MModule+onboard_volatile'!P167</f>
        <v>0</v>
      </c>
      <c r="Q448" s="29">
        <f>'MModule+onboard_volatile'!Q167</f>
        <v>0</v>
      </c>
      <c r="R448" s="29">
        <f>'MModule+onboard_volatile'!R167</f>
        <v>0</v>
      </c>
      <c r="S448" s="29">
        <f>'MModule+onboard_volatile'!S167</f>
        <v>0</v>
      </c>
      <c r="T448" s="29">
        <f>'MModule+onboard_volatile'!T167</f>
        <v>0</v>
      </c>
      <c r="U448" s="29">
        <f>'MModule+onboard_volatile'!U167</f>
        <v>0</v>
      </c>
      <c r="V448" s="29">
        <f>'MModule+onboard_volatile'!V167</f>
        <v>0</v>
      </c>
      <c r="W448" s="29">
        <f>'MModule+onboard_volatile'!W167</f>
        <v>0</v>
      </c>
      <c r="X448" s="29">
        <f>'MModule+onboard_volatile'!X167</f>
        <v>0</v>
      </c>
      <c r="Y448" s="29">
        <f>'MModule+onboard_volatile'!Y167</f>
        <v>0</v>
      </c>
      <c r="Z448" s="29" t="e">
        <f>'MModule+onboard_volatile'!#REF!</f>
        <v>#REF!</v>
      </c>
      <c r="AA448" s="29">
        <f>'MModule+onboard_volatile'!Z167</f>
        <v>0</v>
      </c>
      <c r="AB448" s="29">
        <f>'MModule+onboard_volatile'!AA167</f>
        <v>0</v>
      </c>
    </row>
    <row r="449" spans="3:28" s="11" customFormat="1">
      <c r="C449" s="98" t="s">
        <v>26</v>
      </c>
      <c r="D449" s="29">
        <f>'MModule+onboard_volatile'!C168</f>
        <v>0</v>
      </c>
      <c r="E449" s="29">
        <f>'MModule+onboard_volatile'!D168</f>
        <v>0</v>
      </c>
      <c r="F449" s="29">
        <f>'MModule+onboard_volatile'!E168</f>
        <v>0</v>
      </c>
      <c r="G449" s="29" t="str">
        <f>'MModule+onboard_volatile'!F168</f>
        <v>X1603ZA</v>
      </c>
      <c r="H449" s="29" t="str">
        <f>'MModule+onboard_volatile'!G168</f>
        <v>Core i7 ADL</v>
      </c>
      <c r="I449" s="29" t="str">
        <f>'MModule+onboard_volatile'!H168</f>
        <v>Imported</v>
      </c>
      <c r="J449" s="29" t="str">
        <f>'MModule+onboard_volatile'!I168</f>
        <v>Asus</v>
      </c>
      <c r="K449" s="29" t="str">
        <f>'MModule+onboard_volatile'!J168</f>
        <v>M on board</v>
      </c>
      <c r="L449" s="29" t="str">
        <f>'MModule+onboard_volatile'!K168</f>
        <v>8GB OB</v>
      </c>
      <c r="M449" s="29">
        <f>'MModule+onboard_volatile'!L168</f>
        <v>8</v>
      </c>
      <c r="N449" s="29" t="str">
        <f>'MModule+onboard_volatile'!M168</f>
        <v>03012-00021000
03012-00021300</v>
      </c>
      <c r="O449" s="29">
        <f>'MModule+onboard_volatile'!N168</f>
        <v>0</v>
      </c>
      <c r="P449" s="29">
        <f>'MModule+onboard_volatile'!P168</f>
        <v>0</v>
      </c>
      <c r="Q449" s="29">
        <f>'MModule+onboard_volatile'!Q168</f>
        <v>0</v>
      </c>
      <c r="R449" s="29">
        <f>'MModule+onboard_volatile'!R168</f>
        <v>0</v>
      </c>
      <c r="S449" s="29">
        <f>'MModule+onboard_volatile'!S168</f>
        <v>0</v>
      </c>
      <c r="T449" s="29">
        <f>'MModule+onboard_volatile'!T168</f>
        <v>0</v>
      </c>
      <c r="U449" s="29">
        <f>'MModule+onboard_volatile'!U168</f>
        <v>0</v>
      </c>
      <c r="V449" s="29">
        <f>'MModule+onboard_volatile'!V168</f>
        <v>0</v>
      </c>
      <c r="W449" s="29">
        <f>'MModule+onboard_volatile'!W168</f>
        <v>0</v>
      </c>
      <c r="X449" s="29">
        <f>'MModule+onboard_volatile'!X168</f>
        <v>0</v>
      </c>
      <c r="Y449" s="29">
        <f>'MModule+onboard_volatile'!Y168</f>
        <v>0</v>
      </c>
      <c r="Z449" s="29" t="e">
        <f>'MModule+onboard_volatile'!#REF!</f>
        <v>#REF!</v>
      </c>
      <c r="AA449" s="29">
        <f>'MModule+onboard_volatile'!Z168</f>
        <v>0</v>
      </c>
      <c r="AB449" s="29" t="str">
        <f>'MModule+onboard_volatile'!AA168</f>
        <v>n/a</v>
      </c>
    </row>
    <row r="450" spans="3:28" s="11" customFormat="1">
      <c r="C450" s="98" t="s">
        <v>26</v>
      </c>
      <c r="D450" s="29">
        <f>'MModule+onboard_volatile'!C169</f>
        <v>0</v>
      </c>
      <c r="E450" s="29" t="str">
        <f>'MModule+onboard_volatile'!D169</f>
        <v>FCST</v>
      </c>
      <c r="F450" s="29">
        <f>'MModule+onboard_volatile'!E169</f>
        <v>0</v>
      </c>
      <c r="G450" s="29" t="str">
        <f>'MModule+onboard_volatile'!F169</f>
        <v>UX325JA</v>
      </c>
      <c r="H450" s="29" t="str">
        <f>'MModule+onboard_volatile'!G169</f>
        <v>Core i5-1035G1</v>
      </c>
      <c r="I450" s="29">
        <f>'MModule+onboard_volatile'!H169</f>
        <v>0</v>
      </c>
      <c r="J450" s="29">
        <f>'MModule+onboard_volatile'!I169</f>
        <v>0</v>
      </c>
      <c r="K450" s="29">
        <f>'MModule+onboard_volatile'!J169</f>
        <v>0</v>
      </c>
      <c r="L450" s="29" t="str">
        <f>'MModule+onboard_volatile'!K169</f>
        <v>8GB</v>
      </c>
      <c r="M450" s="29">
        <f>'MModule+onboard_volatile'!L169</f>
        <v>0</v>
      </c>
      <c r="N450" s="29">
        <f>'MModule+onboard_volatile'!M169</f>
        <v>0</v>
      </c>
      <c r="O450" s="29">
        <f>'MModule+onboard_volatile'!N169</f>
        <v>0</v>
      </c>
      <c r="P450" s="29">
        <f>'MModule+onboard_volatile'!P169</f>
        <v>0</v>
      </c>
      <c r="Q450" s="29">
        <f>'MModule+onboard_volatile'!Q169</f>
        <v>0</v>
      </c>
      <c r="R450" s="29">
        <f>'MModule+onboard_volatile'!R169</f>
        <v>0</v>
      </c>
      <c r="S450" s="29">
        <f>'MModule+onboard_volatile'!S169</f>
        <v>0</v>
      </c>
      <c r="T450" s="29">
        <f>'MModule+onboard_volatile'!T169</f>
        <v>0</v>
      </c>
      <c r="U450" s="29">
        <f>'MModule+onboard_volatile'!U169</f>
        <v>0</v>
      </c>
      <c r="V450" s="29">
        <f>'MModule+onboard_volatile'!V169</f>
        <v>0</v>
      </c>
      <c r="W450" s="29">
        <f>'MModule+onboard_volatile'!W169</f>
        <v>0</v>
      </c>
      <c r="X450" s="29">
        <f>'MModule+onboard_volatile'!X169</f>
        <v>0</v>
      </c>
      <c r="Y450" s="29">
        <f>'MModule+onboard_volatile'!Y169</f>
        <v>0</v>
      </c>
      <c r="Z450" s="29" t="e">
        <f>'MModule+onboard_volatile'!#REF!</f>
        <v>#REF!</v>
      </c>
      <c r="AA450" s="29">
        <f>'MModule+onboard_volatile'!Z169</f>
        <v>0</v>
      </c>
      <c r="AB450" s="29">
        <f>'MModule+onboard_volatile'!AA169</f>
        <v>0</v>
      </c>
    </row>
    <row r="451" spans="3:28" s="11" customFormat="1">
      <c r="C451" s="98" t="s">
        <v>26</v>
      </c>
      <c r="D451" s="29">
        <f>'MModule+onboard_volatile'!C170</f>
        <v>0</v>
      </c>
      <c r="E451" s="29">
        <f>'MModule+onboard_volatile'!D170</f>
        <v>0</v>
      </c>
      <c r="F451" s="29">
        <f>'MModule+onboard_volatile'!E170</f>
        <v>0</v>
      </c>
      <c r="G451" s="29" t="str">
        <f>'MModule+onboard_volatile'!F170</f>
        <v>UX325JA</v>
      </c>
      <c r="H451" s="29" t="str">
        <f>'MModule+onboard_volatile'!G170</f>
        <v>Core i5-1035G1</v>
      </c>
      <c r="I451" s="29" t="str">
        <f>'MModule+onboard_volatile'!H170</f>
        <v>Imported</v>
      </c>
      <c r="J451" s="29" t="str">
        <f>'MModule+onboard_volatile'!I170</f>
        <v>Asus</v>
      </c>
      <c r="K451" s="29" t="str">
        <f>'MModule+onboard_volatile'!J170</f>
        <v>M on board</v>
      </c>
      <c r="L451" s="29" t="str">
        <f>'MModule+onboard_volatile'!K170</f>
        <v>8GB (4266)</v>
      </c>
      <c r="M451" s="29">
        <f>'MModule+onboard_volatile'!L170</f>
        <v>4</v>
      </c>
      <c r="N451" s="29" t="str">
        <f>'MModule+onboard_volatile'!M170</f>
        <v>03013-00050400
03013-00050500</v>
      </c>
      <c r="O451" s="29">
        <f>'MModule+onboard_volatile'!N170</f>
        <v>0</v>
      </c>
      <c r="P451" s="29">
        <f>'MModule+onboard_volatile'!P170</f>
        <v>0</v>
      </c>
      <c r="Q451" s="29">
        <f>'MModule+onboard_volatile'!Q170</f>
        <v>0</v>
      </c>
      <c r="R451" s="29">
        <f>'MModule+onboard_volatile'!R170</f>
        <v>0</v>
      </c>
      <c r="S451" s="29">
        <f>'MModule+onboard_volatile'!S170</f>
        <v>0</v>
      </c>
      <c r="T451" s="29">
        <f>'MModule+onboard_volatile'!T170</f>
        <v>0</v>
      </c>
      <c r="U451" s="29">
        <f>'MModule+onboard_volatile'!U170</f>
        <v>0</v>
      </c>
      <c r="V451" s="29">
        <f>'MModule+onboard_volatile'!V170</f>
        <v>0</v>
      </c>
      <c r="W451" s="29">
        <f>'MModule+onboard_volatile'!W170</f>
        <v>0</v>
      </c>
      <c r="X451" s="29">
        <f>'MModule+onboard_volatile'!X170</f>
        <v>0</v>
      </c>
      <c r="Y451" s="29">
        <f>'MModule+onboard_volatile'!Y170</f>
        <v>0</v>
      </c>
      <c r="Z451" s="29" t="e">
        <f>'MModule+onboard_volatile'!#REF!</f>
        <v>#REF!</v>
      </c>
      <c r="AA451" s="29">
        <f>'MModule+onboard_volatile'!Z170</f>
        <v>0</v>
      </c>
      <c r="AB451" s="29" t="str">
        <f>'MModule+onboard_volatile'!AA170</f>
        <v>n/a</v>
      </c>
    </row>
    <row r="452" spans="3:28" s="11" customFormat="1">
      <c r="C452" s="98" t="s">
        <v>26</v>
      </c>
      <c r="D452" s="29">
        <f>'MModule+onboard_volatile'!C171</f>
        <v>0</v>
      </c>
      <c r="E452" s="29">
        <f>'MModule+onboard_volatile'!D171</f>
        <v>0</v>
      </c>
      <c r="F452" s="29">
        <f>'MModule+onboard_volatile'!E171</f>
        <v>0</v>
      </c>
      <c r="G452" s="29" t="str">
        <f>'MModule+onboard_volatile'!F171</f>
        <v>UX325JA</v>
      </c>
      <c r="H452" s="29" t="str">
        <f>'MModule+onboard_volatile'!G171</f>
        <v>Core i5-1035G1</v>
      </c>
      <c r="I452" s="29" t="str">
        <f>'MModule+onboard_volatile'!H171</f>
        <v>Local</v>
      </c>
      <c r="J452" s="29" t="str">
        <f>'MModule+onboard_volatile'!I171</f>
        <v>TBD</v>
      </c>
      <c r="K452" s="29" t="str">
        <f>'MModule+onboard_volatile'!J171</f>
        <v>M on board</v>
      </c>
      <c r="L452" s="29" t="str">
        <f>'MModule+onboard_volatile'!K171</f>
        <v>8GB</v>
      </c>
      <c r="M452" s="29">
        <f>'MModule+onboard_volatile'!L171</f>
        <v>4</v>
      </c>
      <c r="N452" s="29">
        <f>'MModule+onboard_volatile'!M171</f>
        <v>0</v>
      </c>
      <c r="O452" s="29">
        <f>'MModule+onboard_volatile'!N171</f>
        <v>0</v>
      </c>
      <c r="P452" s="29">
        <f>'MModule+onboard_volatile'!P171</f>
        <v>0</v>
      </c>
      <c r="Q452" s="29">
        <f>'MModule+onboard_volatile'!Q171</f>
        <v>0</v>
      </c>
      <c r="R452" s="29">
        <f>'MModule+onboard_volatile'!R171</f>
        <v>0</v>
      </c>
      <c r="S452" s="29">
        <f>'MModule+onboard_volatile'!S171</f>
        <v>0</v>
      </c>
      <c r="T452" s="29">
        <f>'MModule+onboard_volatile'!T171</f>
        <v>0</v>
      </c>
      <c r="U452" s="29">
        <f>'MModule+onboard_volatile'!U171</f>
        <v>0</v>
      </c>
      <c r="V452" s="29">
        <f>'MModule+onboard_volatile'!V171</f>
        <v>0</v>
      </c>
      <c r="W452" s="29">
        <f>'MModule+onboard_volatile'!W171</f>
        <v>0</v>
      </c>
      <c r="X452" s="29">
        <f>'MModule+onboard_volatile'!X171</f>
        <v>0</v>
      </c>
      <c r="Y452" s="29">
        <f>'MModule+onboard_volatile'!Y171</f>
        <v>0</v>
      </c>
      <c r="Z452" s="29" t="e">
        <f>'MModule+onboard_volatile'!#REF!</f>
        <v>#REF!</v>
      </c>
      <c r="AA452" s="29">
        <f>'MModule+onboard_volatile'!Z171</f>
        <v>0</v>
      </c>
      <c r="AB452" s="29" t="str">
        <f>'MModule+onboard_volatile'!AA171</f>
        <v>n/a</v>
      </c>
    </row>
    <row r="453" spans="3:28" s="11" customFormat="1">
      <c r="C453" s="98" t="s">
        <v>26</v>
      </c>
      <c r="D453" s="29">
        <f>'MModule+onboard_volatile'!C175</f>
        <v>0</v>
      </c>
      <c r="E453" s="29" t="str">
        <f>'MModule+onboard_volatile'!D175</f>
        <v>FCST</v>
      </c>
      <c r="F453" s="29">
        <f>'MModule+onboard_volatile'!E175</f>
        <v>0</v>
      </c>
      <c r="G453" s="29" t="str">
        <f>'MModule+onboard_volatile'!F175</f>
        <v>UX482EAR</v>
      </c>
      <c r="H453" s="29" t="str">
        <f>'MModule+onboard_volatile'!G175</f>
        <v>Core i7-1195G7</v>
      </c>
      <c r="I453" s="29">
        <f>'MModule+onboard_volatile'!H175</f>
        <v>0</v>
      </c>
      <c r="J453" s="29">
        <f>'MModule+onboard_volatile'!I175</f>
        <v>0</v>
      </c>
      <c r="K453" s="29">
        <f>'MModule+onboard_volatile'!J175</f>
        <v>0</v>
      </c>
      <c r="L453" s="29" t="str">
        <f>'MModule+onboard_volatile'!K175</f>
        <v>8GB</v>
      </c>
      <c r="M453" s="29">
        <f>'MModule+onboard_volatile'!L175</f>
        <v>0</v>
      </c>
      <c r="N453" s="29">
        <f>'MModule+onboard_volatile'!M175</f>
        <v>0</v>
      </c>
      <c r="O453" s="29">
        <f>'MModule+onboard_volatile'!N175</f>
        <v>0</v>
      </c>
      <c r="P453" s="29">
        <f>'MModule+onboard_volatile'!P175</f>
        <v>0</v>
      </c>
      <c r="Q453" s="29">
        <f>'MModule+onboard_volatile'!Q175</f>
        <v>0</v>
      </c>
      <c r="R453" s="29">
        <f>'MModule+onboard_volatile'!R175</f>
        <v>0</v>
      </c>
      <c r="S453" s="29">
        <f>'MModule+onboard_volatile'!S175</f>
        <v>0</v>
      </c>
      <c r="T453" s="29">
        <f>'MModule+onboard_volatile'!T175</f>
        <v>0</v>
      </c>
      <c r="U453" s="29">
        <f>'MModule+onboard_volatile'!U175</f>
        <v>0</v>
      </c>
      <c r="V453" s="29">
        <f>'MModule+onboard_volatile'!V175</f>
        <v>0</v>
      </c>
      <c r="W453" s="29">
        <f>'MModule+onboard_volatile'!W175</f>
        <v>0</v>
      </c>
      <c r="X453" s="29">
        <f>'MModule+onboard_volatile'!X175</f>
        <v>0</v>
      </c>
      <c r="Y453" s="29">
        <f>'MModule+onboard_volatile'!Y175</f>
        <v>0</v>
      </c>
      <c r="Z453" s="29" t="e">
        <f>'MModule+onboard_volatile'!#REF!</f>
        <v>#REF!</v>
      </c>
      <c r="AA453" s="29">
        <f>'MModule+onboard_volatile'!Z175</f>
        <v>0</v>
      </c>
      <c r="AB453" s="29">
        <f>'MModule+onboard_volatile'!AA175</f>
        <v>0</v>
      </c>
    </row>
    <row r="454" spans="3:28" s="11" customFormat="1">
      <c r="C454" s="98" t="s">
        <v>26</v>
      </c>
      <c r="D454" s="29">
        <f>'MModule+onboard_volatile'!C176</f>
        <v>0</v>
      </c>
      <c r="E454" s="29">
        <f>'MModule+onboard_volatile'!D176</f>
        <v>0</v>
      </c>
      <c r="F454" s="29">
        <f>'MModule+onboard_volatile'!E176</f>
        <v>0</v>
      </c>
      <c r="G454" s="29" t="str">
        <f>'MModule+onboard_volatile'!F176</f>
        <v>UX482EAR</v>
      </c>
      <c r="H454" s="29" t="str">
        <f>'MModule+onboard_volatile'!G176</f>
        <v>Core i7-1195G7</v>
      </c>
      <c r="I454" s="29" t="str">
        <f>'MModule+onboard_volatile'!H176</f>
        <v>Imported</v>
      </c>
      <c r="J454" s="29" t="str">
        <f>'MModule+onboard_volatile'!I176</f>
        <v>Asus</v>
      </c>
      <c r="K454" s="29" t="str">
        <f>'MModule+onboard_volatile'!J176</f>
        <v>M on board</v>
      </c>
      <c r="L454" s="29" t="str">
        <f>'MModule+onboard_volatile'!K176</f>
        <v>8GB (4266)</v>
      </c>
      <c r="M454" s="29">
        <f>'MModule+onboard_volatile'!L176</f>
        <v>4</v>
      </c>
      <c r="N454" s="29" t="str">
        <f>'MModule+onboard_volatile'!M176</f>
        <v>03013-00050400
03013-00050800</v>
      </c>
      <c r="O454" s="29">
        <f>'MModule+onboard_volatile'!N176</f>
        <v>0</v>
      </c>
      <c r="P454" s="29">
        <f>'MModule+onboard_volatile'!P176</f>
        <v>0</v>
      </c>
      <c r="Q454" s="29">
        <f>'MModule+onboard_volatile'!Q176</f>
        <v>0</v>
      </c>
      <c r="R454" s="29">
        <f>'MModule+onboard_volatile'!R176</f>
        <v>0</v>
      </c>
      <c r="S454" s="29">
        <f>'MModule+onboard_volatile'!S176</f>
        <v>0</v>
      </c>
      <c r="T454" s="29">
        <f>'MModule+onboard_volatile'!T176</f>
        <v>0</v>
      </c>
      <c r="U454" s="29">
        <f>'MModule+onboard_volatile'!U176</f>
        <v>0</v>
      </c>
      <c r="V454" s="29">
        <f>'MModule+onboard_volatile'!V176</f>
        <v>0</v>
      </c>
      <c r="W454" s="29">
        <f>'MModule+onboard_volatile'!W176</f>
        <v>0</v>
      </c>
      <c r="X454" s="29">
        <f>'MModule+onboard_volatile'!X176</f>
        <v>0</v>
      </c>
      <c r="Y454" s="29">
        <f>'MModule+onboard_volatile'!Y176</f>
        <v>0</v>
      </c>
      <c r="Z454" s="29" t="e">
        <f>'MModule+onboard_volatile'!#REF!</f>
        <v>#REF!</v>
      </c>
      <c r="AA454" s="29">
        <f>'MModule+onboard_volatile'!Z176</f>
        <v>0</v>
      </c>
      <c r="AB454" s="29" t="str">
        <f>'MModule+onboard_volatile'!AA176</f>
        <v>n/a</v>
      </c>
    </row>
    <row r="455" spans="3:28" s="11" customFormat="1">
      <c r="C455" s="98" t="s">
        <v>26</v>
      </c>
      <c r="D455" s="29">
        <f>'MModule+onboard_volatile'!C177</f>
        <v>0</v>
      </c>
      <c r="E455" s="29">
        <f>'MModule+onboard_volatile'!D177</f>
        <v>0</v>
      </c>
      <c r="F455" s="29">
        <f>'MModule+onboard_volatile'!E177</f>
        <v>0</v>
      </c>
      <c r="G455" s="29" t="str">
        <f>'MModule+onboard_volatile'!F177</f>
        <v>UX482EAR</v>
      </c>
      <c r="H455" s="29" t="str">
        <f>'MModule+onboard_volatile'!G177</f>
        <v>Core i7-1195G7</v>
      </c>
      <c r="I455" s="29" t="str">
        <f>'MModule+onboard_volatile'!H177</f>
        <v>Local</v>
      </c>
      <c r="J455" s="29" t="str">
        <f>'MModule+onboard_volatile'!I177</f>
        <v>TBD</v>
      </c>
      <c r="K455" s="29" t="str">
        <f>'MModule+onboard_volatile'!J177</f>
        <v>M on board</v>
      </c>
      <c r="L455" s="29" t="str">
        <f>'MModule+onboard_volatile'!K177</f>
        <v>8GB</v>
      </c>
      <c r="M455" s="29">
        <f>'MModule+onboard_volatile'!L177</f>
        <v>4</v>
      </c>
      <c r="N455" s="29">
        <f>'MModule+onboard_volatile'!M177</f>
        <v>0</v>
      </c>
      <c r="O455" s="29">
        <f>'MModule+onboard_volatile'!N177</f>
        <v>0</v>
      </c>
      <c r="P455" s="29">
        <f>'MModule+onboard_volatile'!P177</f>
        <v>0</v>
      </c>
      <c r="Q455" s="29">
        <f>'MModule+onboard_volatile'!Q177</f>
        <v>0</v>
      </c>
      <c r="R455" s="29">
        <f>'MModule+onboard_volatile'!R177</f>
        <v>0</v>
      </c>
      <c r="S455" s="29">
        <f>'MModule+onboard_volatile'!S177</f>
        <v>0</v>
      </c>
      <c r="T455" s="29">
        <f>'MModule+onboard_volatile'!T177</f>
        <v>0</v>
      </c>
      <c r="U455" s="29">
        <f>'MModule+onboard_volatile'!U177</f>
        <v>0</v>
      </c>
      <c r="V455" s="29">
        <f>'MModule+onboard_volatile'!V177</f>
        <v>0</v>
      </c>
      <c r="W455" s="29">
        <f>'MModule+onboard_volatile'!W177</f>
        <v>0</v>
      </c>
      <c r="X455" s="29">
        <f>'MModule+onboard_volatile'!X177</f>
        <v>0</v>
      </c>
      <c r="Y455" s="29">
        <f>'MModule+onboard_volatile'!Y177</f>
        <v>0</v>
      </c>
      <c r="Z455" s="29" t="e">
        <f>'MModule+onboard_volatile'!#REF!</f>
        <v>#REF!</v>
      </c>
      <c r="AA455" s="29">
        <f>'MModule+onboard_volatile'!Z177</f>
        <v>0</v>
      </c>
      <c r="AB455" s="29" t="str">
        <f>'MModule+onboard_volatile'!AA177</f>
        <v>n/a</v>
      </c>
    </row>
    <row r="456" spans="3:28" s="11" customFormat="1">
      <c r="C456" s="98" t="s">
        <v>26</v>
      </c>
      <c r="D456" s="29">
        <f>'MModule+onboard_volatile'!C178</f>
        <v>0</v>
      </c>
      <c r="E456" s="29" t="str">
        <f>'MModule+onboard_volatile'!D178</f>
        <v>FCST</v>
      </c>
      <c r="F456" s="29">
        <f>'MModule+onboard_volatile'!E178</f>
        <v>0</v>
      </c>
      <c r="G456" s="29" t="str">
        <f>'MModule+onboard_volatile'!F178</f>
        <v>UX482EAR</v>
      </c>
      <c r="H456" s="29" t="str">
        <f>'MModule+onboard_volatile'!G178</f>
        <v>Core i7-1195G7</v>
      </c>
      <c r="I456" s="29">
        <f>'MModule+onboard_volatile'!H178</f>
        <v>0</v>
      </c>
      <c r="J456" s="29">
        <f>'MModule+onboard_volatile'!I178</f>
        <v>0</v>
      </c>
      <c r="K456" s="29">
        <f>'MModule+onboard_volatile'!J178</f>
        <v>0</v>
      </c>
      <c r="L456" s="29" t="str">
        <f>'MModule+onboard_volatile'!K178</f>
        <v>16GB</v>
      </c>
      <c r="M456" s="29">
        <f>'MModule+onboard_volatile'!L178</f>
        <v>0</v>
      </c>
      <c r="N456" s="29">
        <f>'MModule+onboard_volatile'!M178</f>
        <v>0</v>
      </c>
      <c r="O456" s="29">
        <f>'MModule+onboard_volatile'!N178</f>
        <v>0</v>
      </c>
      <c r="P456" s="29">
        <f>'MModule+onboard_volatile'!P178</f>
        <v>0</v>
      </c>
      <c r="Q456" s="29">
        <f>'MModule+onboard_volatile'!Q178</f>
        <v>0</v>
      </c>
      <c r="R456" s="29">
        <f>'MModule+onboard_volatile'!R178</f>
        <v>0</v>
      </c>
      <c r="S456" s="29">
        <f>'MModule+onboard_volatile'!S178</f>
        <v>0</v>
      </c>
      <c r="T456" s="29">
        <f>'MModule+onboard_volatile'!T178</f>
        <v>0</v>
      </c>
      <c r="U456" s="29">
        <f>'MModule+onboard_volatile'!U178</f>
        <v>0</v>
      </c>
      <c r="V456" s="29">
        <f>'MModule+onboard_volatile'!V178</f>
        <v>0</v>
      </c>
      <c r="W456" s="29">
        <f>'MModule+onboard_volatile'!W178</f>
        <v>0</v>
      </c>
      <c r="X456" s="29">
        <f>'MModule+onboard_volatile'!X178</f>
        <v>0</v>
      </c>
      <c r="Y456" s="29">
        <f>'MModule+onboard_volatile'!Y178</f>
        <v>0</v>
      </c>
      <c r="Z456" s="29" t="e">
        <f>'MModule+onboard_volatile'!#REF!</f>
        <v>#REF!</v>
      </c>
      <c r="AA456" s="29">
        <f>'MModule+onboard_volatile'!Z178</f>
        <v>0</v>
      </c>
      <c r="AB456" s="29">
        <f>'MModule+onboard_volatile'!AA178</f>
        <v>0</v>
      </c>
    </row>
    <row r="457" spans="3:28" s="11" customFormat="1">
      <c r="C457" s="98" t="s">
        <v>26</v>
      </c>
      <c r="D457" s="29">
        <f>'MModule+onboard_volatile'!C179</f>
        <v>0</v>
      </c>
      <c r="E457" s="29">
        <f>'MModule+onboard_volatile'!D179</f>
        <v>0</v>
      </c>
      <c r="F457" s="29">
        <f>'MModule+onboard_volatile'!E179</f>
        <v>0</v>
      </c>
      <c r="G457" s="29" t="str">
        <f>'MModule+onboard_volatile'!F179</f>
        <v>UX482EAR</v>
      </c>
      <c r="H457" s="29" t="str">
        <f>'MModule+onboard_volatile'!G179</f>
        <v>Core i7-1195G7</v>
      </c>
      <c r="I457" s="29" t="str">
        <f>'MModule+onboard_volatile'!H179</f>
        <v>Imported</v>
      </c>
      <c r="J457" s="29" t="str">
        <f>'MModule+onboard_volatile'!I179</f>
        <v>Asus</v>
      </c>
      <c r="K457" s="29" t="str">
        <f>'MModule+onboard_volatile'!J179</f>
        <v>M on board</v>
      </c>
      <c r="L457" s="29" t="str">
        <f>'MModule+onboard_volatile'!K179</f>
        <v>16GB (4266)</v>
      </c>
      <c r="M457" s="29">
        <f>'MModule+onboard_volatile'!L179</f>
        <v>4</v>
      </c>
      <c r="N457" s="29" t="str">
        <f>'MModule+onboard_volatile'!M179</f>
        <v>03013-00100400
03013-00100700</v>
      </c>
      <c r="O457" s="29">
        <f>'MModule+onboard_volatile'!N179</f>
        <v>0</v>
      </c>
      <c r="P457" s="29">
        <f>'MModule+onboard_volatile'!P179</f>
        <v>0</v>
      </c>
      <c r="Q457" s="29">
        <f>'MModule+onboard_volatile'!Q179</f>
        <v>0</v>
      </c>
      <c r="R457" s="29">
        <f>'MModule+onboard_volatile'!R179</f>
        <v>0</v>
      </c>
      <c r="S457" s="29">
        <f>'MModule+onboard_volatile'!S179</f>
        <v>0</v>
      </c>
      <c r="T457" s="29">
        <f>'MModule+onboard_volatile'!T179</f>
        <v>0</v>
      </c>
      <c r="U457" s="29">
        <f>'MModule+onboard_volatile'!U179</f>
        <v>0</v>
      </c>
      <c r="V457" s="29">
        <f>'MModule+onboard_volatile'!V179</f>
        <v>0</v>
      </c>
      <c r="W457" s="29">
        <f>'MModule+onboard_volatile'!W179</f>
        <v>0</v>
      </c>
      <c r="X457" s="29">
        <f>'MModule+onboard_volatile'!X179</f>
        <v>0</v>
      </c>
      <c r="Y457" s="29">
        <f>'MModule+onboard_volatile'!Y179</f>
        <v>0</v>
      </c>
      <c r="Z457" s="29" t="e">
        <f>'MModule+onboard_volatile'!#REF!</f>
        <v>#REF!</v>
      </c>
      <c r="AA457" s="29">
        <f>'MModule+onboard_volatile'!Z179</f>
        <v>0</v>
      </c>
      <c r="AB457" s="29" t="str">
        <f>'MModule+onboard_volatile'!AA179</f>
        <v>n/a</v>
      </c>
    </row>
    <row r="458" spans="3:28" s="11" customFormat="1">
      <c r="C458" s="98" t="s">
        <v>26</v>
      </c>
      <c r="D458" s="29">
        <f>'MModule+onboard_volatile'!C180</f>
        <v>0</v>
      </c>
      <c r="E458" s="29">
        <f>'MModule+onboard_volatile'!D180</f>
        <v>0</v>
      </c>
      <c r="F458" s="29">
        <f>'MModule+onboard_volatile'!E180</f>
        <v>0</v>
      </c>
      <c r="G458" s="29" t="str">
        <f>'MModule+onboard_volatile'!F180</f>
        <v>UX482EAR</v>
      </c>
      <c r="H458" s="29" t="str">
        <f>'MModule+onboard_volatile'!G180</f>
        <v>Core i7-1195G7</v>
      </c>
      <c r="I458" s="29" t="str">
        <f>'MModule+onboard_volatile'!H180</f>
        <v>Local</v>
      </c>
      <c r="J458" s="29" t="str">
        <f>'MModule+onboard_volatile'!I180</f>
        <v>TBD</v>
      </c>
      <c r="K458" s="29" t="str">
        <f>'MModule+onboard_volatile'!J180</f>
        <v>M on board</v>
      </c>
      <c r="L458" s="29" t="str">
        <f>'MModule+onboard_volatile'!K180</f>
        <v>16GB</v>
      </c>
      <c r="M458" s="29">
        <f>'MModule+onboard_volatile'!L180</f>
        <v>4</v>
      </c>
      <c r="N458" s="29">
        <f>'MModule+onboard_volatile'!M180</f>
        <v>0</v>
      </c>
      <c r="O458" s="29">
        <f>'MModule+onboard_volatile'!N180</f>
        <v>0</v>
      </c>
      <c r="P458" s="29">
        <f>'MModule+onboard_volatile'!P180</f>
        <v>0</v>
      </c>
      <c r="Q458" s="29">
        <f>'MModule+onboard_volatile'!Q180</f>
        <v>0</v>
      </c>
      <c r="R458" s="29">
        <f>'MModule+onboard_volatile'!R180</f>
        <v>0</v>
      </c>
      <c r="S458" s="29">
        <f>'MModule+onboard_volatile'!S180</f>
        <v>0</v>
      </c>
      <c r="T458" s="29">
        <f>'MModule+onboard_volatile'!T180</f>
        <v>0</v>
      </c>
      <c r="U458" s="29">
        <f>'MModule+onboard_volatile'!U180</f>
        <v>0</v>
      </c>
      <c r="V458" s="29">
        <f>'MModule+onboard_volatile'!V180</f>
        <v>0</v>
      </c>
      <c r="W458" s="29">
        <f>'MModule+onboard_volatile'!W180</f>
        <v>0</v>
      </c>
      <c r="X458" s="29">
        <f>'MModule+onboard_volatile'!X180</f>
        <v>0</v>
      </c>
      <c r="Y458" s="29">
        <f>'MModule+onboard_volatile'!Y180</f>
        <v>0</v>
      </c>
      <c r="Z458" s="29" t="e">
        <f>'MModule+onboard_volatile'!#REF!</f>
        <v>#REF!</v>
      </c>
      <c r="AA458" s="29">
        <f>'MModule+onboard_volatile'!Z180</f>
        <v>0</v>
      </c>
      <c r="AB458" s="29" t="str">
        <f>'MModule+onboard_volatile'!AA180</f>
        <v>n/a</v>
      </c>
    </row>
    <row r="459" spans="3:28" s="11" customFormat="1">
      <c r="C459" s="98" t="s">
        <v>26</v>
      </c>
      <c r="D459" s="29">
        <f>'MModule+onboard_volatile'!C181</f>
        <v>0</v>
      </c>
      <c r="E459" s="29" t="str">
        <f>'MModule+onboard_volatile'!D181</f>
        <v>FCST</v>
      </c>
      <c r="F459" s="29">
        <f>'MModule+onboard_volatile'!E181</f>
        <v>450</v>
      </c>
      <c r="G459" s="29" t="str">
        <f>'MModule+onboard_volatile'!F181</f>
        <v>UX3402ZA</v>
      </c>
      <c r="H459" s="29" t="str">
        <f>'MModule+onboard_volatile'!G181</f>
        <v>Core i7-1260P</v>
      </c>
      <c r="I459" s="29">
        <f>'MModule+onboard_volatile'!H181</f>
        <v>0</v>
      </c>
      <c r="J459" s="29">
        <f>'MModule+onboard_volatile'!I181</f>
        <v>0</v>
      </c>
      <c r="K459" s="29">
        <f>'MModule+onboard_volatile'!J181</f>
        <v>0</v>
      </c>
      <c r="L459" s="29" t="str">
        <f>'MModule+onboard_volatile'!K181</f>
        <v>16GB</v>
      </c>
      <c r="M459" s="29">
        <f>'MModule+onboard_volatile'!L181</f>
        <v>0</v>
      </c>
      <c r="N459" s="29">
        <f>'MModule+onboard_volatile'!M181</f>
        <v>0</v>
      </c>
      <c r="O459" s="29">
        <f>'MModule+onboard_volatile'!N181</f>
        <v>50</v>
      </c>
      <c r="P459" s="29">
        <f>'MModule+onboard_volatile'!P181</f>
        <v>0</v>
      </c>
      <c r="Q459" s="29">
        <f>'MModule+onboard_volatile'!Q181</f>
        <v>0</v>
      </c>
      <c r="R459" s="29">
        <f>'MModule+onboard_volatile'!R181</f>
        <v>150</v>
      </c>
      <c r="S459" s="29">
        <f>'MModule+onboard_volatile'!S181</f>
        <v>150</v>
      </c>
      <c r="T459" s="29">
        <f>'MModule+onboard_volatile'!T181</f>
        <v>0</v>
      </c>
      <c r="U459" s="29">
        <f>'MModule+onboard_volatile'!U181</f>
        <v>0</v>
      </c>
      <c r="V459" s="29">
        <f>'MModule+onboard_volatile'!V181</f>
        <v>0</v>
      </c>
      <c r="W459" s="29">
        <f>'MModule+onboard_volatile'!W181</f>
        <v>0</v>
      </c>
      <c r="X459" s="29">
        <f>'MModule+onboard_volatile'!X181</f>
        <v>0</v>
      </c>
      <c r="Y459" s="29">
        <f>'MModule+onboard_volatile'!Y181</f>
        <v>0</v>
      </c>
      <c r="Z459" s="29" t="e">
        <f>'MModule+onboard_volatile'!#REF!</f>
        <v>#REF!</v>
      </c>
      <c r="AA459" s="29">
        <f>'MModule+onboard_volatile'!Z181</f>
        <v>0</v>
      </c>
      <c r="AB459" s="29">
        <f>'MModule+onboard_volatile'!AA181</f>
        <v>0</v>
      </c>
    </row>
    <row r="460" spans="3:28" s="11" customFormat="1">
      <c r="C460" s="98" t="s">
        <v>26</v>
      </c>
      <c r="D460" s="29">
        <f>'MModule+onboard_volatile'!C182</f>
        <v>0</v>
      </c>
      <c r="E460" s="29">
        <f>'MModule+onboard_volatile'!D182</f>
        <v>0</v>
      </c>
      <c r="F460" s="29">
        <f>'MModule+onboard_volatile'!E182</f>
        <v>0</v>
      </c>
      <c r="G460" s="29" t="str">
        <f>'MModule+onboard_volatile'!F182</f>
        <v>UX3402ZA</v>
      </c>
      <c r="H460" s="29" t="str">
        <f>'MModule+onboard_volatile'!G182</f>
        <v>Core i7-1260P</v>
      </c>
      <c r="I460" s="29" t="str">
        <f>'MModule+onboard_volatile'!H182</f>
        <v>Imported</v>
      </c>
      <c r="J460" s="29" t="str">
        <f>'MModule+onboard_volatile'!I182</f>
        <v>Asus</v>
      </c>
      <c r="K460" s="29" t="str">
        <f>'MModule+onboard_volatile'!J182</f>
        <v>M on board</v>
      </c>
      <c r="L460" s="29" t="str">
        <f>'MModule+onboard_volatile'!K182</f>
        <v>16GB (6400)</v>
      </c>
      <c r="M460" s="29">
        <f>'MModule+onboard_volatile'!L182</f>
        <v>4</v>
      </c>
      <c r="N460" s="29">
        <f>'MModule+onboard_volatile'!M182</f>
        <v>0</v>
      </c>
      <c r="O460" s="29">
        <f>'MModule+onboard_volatile'!N182</f>
        <v>200</v>
      </c>
      <c r="P460" s="29">
        <f>'MModule+onboard_volatile'!P182</f>
        <v>0</v>
      </c>
      <c r="Q460" s="29">
        <f>'MModule+onboard_volatile'!Q182</f>
        <v>0</v>
      </c>
      <c r="R460" s="29">
        <f>'MModule+onboard_volatile'!R182</f>
        <v>600</v>
      </c>
      <c r="S460" s="29">
        <f>'MModule+onboard_volatile'!S182</f>
        <v>600</v>
      </c>
      <c r="T460" s="29">
        <f>'MModule+onboard_volatile'!T182</f>
        <v>0</v>
      </c>
      <c r="U460" s="29">
        <f>'MModule+onboard_volatile'!U182</f>
        <v>0</v>
      </c>
      <c r="V460" s="29">
        <f>'MModule+onboard_volatile'!V182</f>
        <v>0</v>
      </c>
      <c r="W460" s="29">
        <f>'MModule+onboard_volatile'!W182</f>
        <v>0</v>
      </c>
      <c r="X460" s="29">
        <f>'MModule+onboard_volatile'!X182</f>
        <v>0</v>
      </c>
      <c r="Y460" s="29">
        <f>'MModule+onboard_volatile'!Y182</f>
        <v>0</v>
      </c>
      <c r="Z460" s="29" t="e">
        <f>'MModule+onboard_volatile'!#REF!</f>
        <v>#REF!</v>
      </c>
      <c r="AA460" s="29">
        <f>'MModule+onboard_volatile'!Z182</f>
        <v>1800</v>
      </c>
      <c r="AB460" s="29" t="str">
        <f>'MModule+onboard_volatile'!AA182</f>
        <v>n/a</v>
      </c>
    </row>
    <row r="461" spans="3:28" s="11" customFormat="1">
      <c r="C461" s="98" t="s">
        <v>26</v>
      </c>
      <c r="D461" s="29">
        <f>'MModule+onboard_volatile'!C183</f>
        <v>0</v>
      </c>
      <c r="E461" s="29">
        <f>'MModule+onboard_volatile'!D183</f>
        <v>0</v>
      </c>
      <c r="F461" s="29">
        <f>'MModule+onboard_volatile'!E183</f>
        <v>0</v>
      </c>
      <c r="G461" s="29" t="str">
        <f>'MModule+onboard_volatile'!F183</f>
        <v>UX3402ZA</v>
      </c>
      <c r="H461" s="29" t="str">
        <f>'MModule+onboard_volatile'!G183</f>
        <v>Core i7-1260P</v>
      </c>
      <c r="I461" s="29" t="str">
        <f>'MModule+onboard_volatile'!H183</f>
        <v>Local</v>
      </c>
      <c r="J461" s="29" t="str">
        <f>'MModule+onboard_volatile'!I183</f>
        <v>TBD</v>
      </c>
      <c r="K461" s="29" t="str">
        <f>'MModule+onboard_volatile'!J183</f>
        <v>M on board</v>
      </c>
      <c r="L461" s="29" t="str">
        <f>'MModule+onboard_volatile'!K183</f>
        <v>16GB</v>
      </c>
      <c r="M461" s="29">
        <f>'MModule+onboard_volatile'!L183</f>
        <v>4</v>
      </c>
      <c r="N461" s="29">
        <f>'MModule+onboard_volatile'!M183</f>
        <v>0</v>
      </c>
      <c r="O461" s="29">
        <f>'MModule+onboard_volatile'!N183</f>
        <v>0</v>
      </c>
      <c r="P461" s="29">
        <f>'MModule+onboard_volatile'!P183</f>
        <v>0</v>
      </c>
      <c r="Q461" s="29">
        <f>'MModule+onboard_volatile'!Q183</f>
        <v>0</v>
      </c>
      <c r="R461" s="29">
        <f>'MModule+onboard_volatile'!R183</f>
        <v>0</v>
      </c>
      <c r="S461" s="29">
        <f>'MModule+onboard_volatile'!S183</f>
        <v>0</v>
      </c>
      <c r="T461" s="29">
        <f>'MModule+onboard_volatile'!T183</f>
        <v>0</v>
      </c>
      <c r="U461" s="29">
        <f>'MModule+onboard_volatile'!U183</f>
        <v>0</v>
      </c>
      <c r="V461" s="29">
        <f>'MModule+onboard_volatile'!V183</f>
        <v>0</v>
      </c>
      <c r="W461" s="29">
        <f>'MModule+onboard_volatile'!W183</f>
        <v>0</v>
      </c>
      <c r="X461" s="29">
        <f>'MModule+onboard_volatile'!X183</f>
        <v>0</v>
      </c>
      <c r="Y461" s="29">
        <f>'MModule+onboard_volatile'!Y183</f>
        <v>0</v>
      </c>
      <c r="Z461" s="29" t="e">
        <f>'MModule+onboard_volatile'!#REF!</f>
        <v>#REF!</v>
      </c>
      <c r="AA461" s="29">
        <f>'MModule+onboard_volatile'!Z183</f>
        <v>0</v>
      </c>
      <c r="AB461" s="29" t="str">
        <f>'MModule+onboard_volatile'!AA183</f>
        <v>n/a</v>
      </c>
    </row>
    <row r="462" spans="3:28" s="11" customFormat="1">
      <c r="C462" s="98" t="s">
        <v>26</v>
      </c>
      <c r="D462" s="29">
        <f>'MModule+onboard_volatile'!C184</f>
        <v>0</v>
      </c>
      <c r="E462" s="29" t="str">
        <f>'MModule+onboard_volatile'!D184</f>
        <v>FCST</v>
      </c>
      <c r="F462" s="29">
        <f>'MModule+onboard_volatile'!E184</f>
        <v>0</v>
      </c>
      <c r="G462" s="29" t="str">
        <f>'MModule+onboard_volatile'!F184</f>
        <v>UX5401ZA</v>
      </c>
      <c r="H462" s="29" t="str">
        <f>'MModule+onboard_volatile'!G184</f>
        <v>Core i7-12700H</v>
      </c>
      <c r="I462" s="29">
        <f>'MModule+onboard_volatile'!H184</f>
        <v>0</v>
      </c>
      <c r="J462" s="29">
        <f>'MModule+onboard_volatile'!I184</f>
        <v>0</v>
      </c>
      <c r="K462" s="29">
        <f>'MModule+onboard_volatile'!J184</f>
        <v>0</v>
      </c>
      <c r="L462" s="29" t="str">
        <f>'MModule+onboard_volatile'!K184</f>
        <v>16GB</v>
      </c>
      <c r="M462" s="29">
        <f>'MModule+onboard_volatile'!L184</f>
        <v>0</v>
      </c>
      <c r="N462" s="29">
        <f>'MModule+onboard_volatile'!M184</f>
        <v>0</v>
      </c>
      <c r="O462" s="29">
        <f>'MModule+onboard_volatile'!N184</f>
        <v>0</v>
      </c>
      <c r="P462" s="29">
        <f>'MModule+onboard_volatile'!P184</f>
        <v>0</v>
      </c>
      <c r="Q462" s="29">
        <f>'MModule+onboard_volatile'!Q184</f>
        <v>0</v>
      </c>
      <c r="R462" s="29">
        <f>'MModule+onboard_volatile'!R184</f>
        <v>0</v>
      </c>
      <c r="S462" s="29">
        <f>'MModule+onboard_volatile'!S184</f>
        <v>0</v>
      </c>
      <c r="T462" s="29">
        <f>'MModule+onboard_volatile'!T184</f>
        <v>0</v>
      </c>
      <c r="U462" s="29">
        <f>'MModule+onboard_volatile'!U184</f>
        <v>0</v>
      </c>
      <c r="V462" s="29">
        <f>'MModule+onboard_volatile'!V184</f>
        <v>0</v>
      </c>
      <c r="W462" s="29">
        <f>'MModule+onboard_volatile'!W184</f>
        <v>0</v>
      </c>
      <c r="X462" s="29">
        <f>'MModule+onboard_volatile'!X184</f>
        <v>0</v>
      </c>
      <c r="Y462" s="29">
        <f>'MModule+onboard_volatile'!Y184</f>
        <v>0</v>
      </c>
      <c r="Z462" s="29" t="e">
        <f>'MModule+onboard_volatile'!#REF!</f>
        <v>#REF!</v>
      </c>
      <c r="AA462" s="29">
        <f>'MModule+onboard_volatile'!Z184</f>
        <v>0</v>
      </c>
      <c r="AB462" s="29">
        <f>'MModule+onboard_volatile'!AA184</f>
        <v>0</v>
      </c>
    </row>
    <row r="463" spans="3:28" s="11" customFormat="1">
      <c r="C463" s="98" t="s">
        <v>26</v>
      </c>
      <c r="D463" s="29">
        <f>'MModule+onboard_volatile'!C185</f>
        <v>0</v>
      </c>
      <c r="E463" s="29">
        <f>'MModule+onboard_volatile'!D185</f>
        <v>0</v>
      </c>
      <c r="F463" s="29">
        <f>'MModule+onboard_volatile'!E185</f>
        <v>0</v>
      </c>
      <c r="G463" s="29" t="str">
        <f>'MModule+onboard_volatile'!F185</f>
        <v>UX5401ZA</v>
      </c>
      <c r="H463" s="29" t="str">
        <f>'MModule+onboard_volatile'!G185</f>
        <v>Core i7-12700H</v>
      </c>
      <c r="I463" s="29" t="str">
        <f>'MModule+onboard_volatile'!H185</f>
        <v>Imported</v>
      </c>
      <c r="J463" s="29" t="str">
        <f>'MModule+onboard_volatile'!I185</f>
        <v>Asus</v>
      </c>
      <c r="K463" s="29" t="str">
        <f>'MModule+onboard_volatile'!J185</f>
        <v>M on board</v>
      </c>
      <c r="L463" s="29" t="str">
        <f>'MModule+onboard_volatile'!K185</f>
        <v>16GB (6400)</v>
      </c>
      <c r="M463" s="29">
        <f>'MModule+onboard_volatile'!L185</f>
        <v>4</v>
      </c>
      <c r="N463" s="29" t="str">
        <f>'MModule+onboard_volatile'!M185</f>
        <v>03015-00070000
03015-00070300</v>
      </c>
      <c r="O463" s="29">
        <f>'MModule+onboard_volatile'!N185</f>
        <v>0</v>
      </c>
      <c r="P463" s="29">
        <f>'MModule+onboard_volatile'!P185</f>
        <v>0</v>
      </c>
      <c r="Q463" s="29">
        <f>'MModule+onboard_volatile'!Q185</f>
        <v>0</v>
      </c>
      <c r="R463" s="29">
        <f>'MModule+onboard_volatile'!R185</f>
        <v>0</v>
      </c>
      <c r="S463" s="29">
        <f>'MModule+onboard_volatile'!S185</f>
        <v>0</v>
      </c>
      <c r="T463" s="29">
        <f>'MModule+onboard_volatile'!T185</f>
        <v>0</v>
      </c>
      <c r="U463" s="29">
        <f>'MModule+onboard_volatile'!U185</f>
        <v>0</v>
      </c>
      <c r="V463" s="29">
        <f>'MModule+onboard_volatile'!V185</f>
        <v>0</v>
      </c>
      <c r="W463" s="29">
        <f>'MModule+onboard_volatile'!W185</f>
        <v>0</v>
      </c>
      <c r="X463" s="29">
        <f>'MModule+onboard_volatile'!X185</f>
        <v>0</v>
      </c>
      <c r="Y463" s="29">
        <f>'MModule+onboard_volatile'!Y185</f>
        <v>0</v>
      </c>
      <c r="Z463" s="29" t="e">
        <f>'MModule+onboard_volatile'!#REF!</f>
        <v>#REF!</v>
      </c>
      <c r="AA463" s="29">
        <f>'MModule+onboard_volatile'!Z185</f>
        <v>0</v>
      </c>
      <c r="AB463" s="29" t="str">
        <f>'MModule+onboard_volatile'!AA185</f>
        <v>n/a</v>
      </c>
    </row>
    <row r="464" spans="3:28" s="11" customFormat="1">
      <c r="C464" s="98" t="s">
        <v>26</v>
      </c>
      <c r="D464" s="29">
        <f>'MModule+onboard_volatile'!C186</f>
        <v>0</v>
      </c>
      <c r="E464" s="29">
        <f>'MModule+onboard_volatile'!D186</f>
        <v>0</v>
      </c>
      <c r="F464" s="29">
        <f>'MModule+onboard_volatile'!E186</f>
        <v>0</v>
      </c>
      <c r="G464" s="29" t="str">
        <f>'MModule+onboard_volatile'!F186</f>
        <v>UX5401ZA</v>
      </c>
      <c r="H464" s="29" t="str">
        <f>'MModule+onboard_volatile'!G186</f>
        <v>Core i7-12700H</v>
      </c>
      <c r="I464" s="29" t="str">
        <f>'MModule+onboard_volatile'!H186</f>
        <v>Local</v>
      </c>
      <c r="J464" s="29" t="str">
        <f>'MModule+onboard_volatile'!I186</f>
        <v>TBD</v>
      </c>
      <c r="K464" s="29" t="str">
        <f>'MModule+onboard_volatile'!J186</f>
        <v>M on board</v>
      </c>
      <c r="L464" s="29" t="str">
        <f>'MModule+onboard_volatile'!K186</f>
        <v>16GB</v>
      </c>
      <c r="M464" s="29">
        <f>'MModule+onboard_volatile'!L186</f>
        <v>4</v>
      </c>
      <c r="N464" s="29">
        <f>'MModule+onboard_volatile'!M186</f>
        <v>0</v>
      </c>
      <c r="O464" s="29">
        <f>'MModule+onboard_volatile'!N186</f>
        <v>0</v>
      </c>
      <c r="P464" s="29">
        <f>'MModule+onboard_volatile'!P186</f>
        <v>0</v>
      </c>
      <c r="Q464" s="29">
        <f>'MModule+onboard_volatile'!Q186</f>
        <v>0</v>
      </c>
      <c r="R464" s="29">
        <f>'MModule+onboard_volatile'!R186</f>
        <v>0</v>
      </c>
      <c r="S464" s="29">
        <f>'MModule+onboard_volatile'!S186</f>
        <v>0</v>
      </c>
      <c r="T464" s="29">
        <f>'MModule+onboard_volatile'!T186</f>
        <v>0</v>
      </c>
      <c r="U464" s="29">
        <f>'MModule+onboard_volatile'!U186</f>
        <v>0</v>
      </c>
      <c r="V464" s="29">
        <f>'MModule+onboard_volatile'!V186</f>
        <v>0</v>
      </c>
      <c r="W464" s="29">
        <f>'MModule+onboard_volatile'!W186</f>
        <v>0</v>
      </c>
      <c r="X464" s="29">
        <f>'MModule+onboard_volatile'!X186</f>
        <v>0</v>
      </c>
      <c r="Y464" s="29">
        <f>'MModule+onboard_volatile'!Y186</f>
        <v>0</v>
      </c>
      <c r="Z464" s="29" t="e">
        <f>'MModule+onboard_volatile'!#REF!</f>
        <v>#REF!</v>
      </c>
      <c r="AA464" s="29">
        <f>'MModule+onboard_volatile'!Z186</f>
        <v>0</v>
      </c>
      <c r="AB464" s="29" t="str">
        <f>'MModule+onboard_volatile'!AA186</f>
        <v>n/a</v>
      </c>
    </row>
    <row r="465" spans="3:28" s="11" customFormat="1">
      <c r="C465" s="98" t="s">
        <v>26</v>
      </c>
      <c r="D465" s="29" t="e">
        <f>'MModule+onboard_volatile'!#REF!</f>
        <v>#REF!</v>
      </c>
      <c r="E465" s="29" t="e">
        <f>'MModule+onboard_volatile'!#REF!</f>
        <v>#REF!</v>
      </c>
      <c r="F465" s="29" t="e">
        <f>'MModule+onboard_volatile'!#REF!</f>
        <v>#REF!</v>
      </c>
      <c r="G465" s="29" t="e">
        <f>'MModule+onboard_volatile'!#REF!</f>
        <v>#REF!</v>
      </c>
      <c r="H465" s="29" t="e">
        <f>'MModule+onboard_volatile'!#REF!</f>
        <v>#REF!</v>
      </c>
      <c r="I465" s="29" t="e">
        <f>'MModule+onboard_volatile'!#REF!</f>
        <v>#REF!</v>
      </c>
      <c r="J465" s="29" t="e">
        <f>'MModule+onboard_volatile'!#REF!</f>
        <v>#REF!</v>
      </c>
      <c r="K465" s="29" t="e">
        <f>'MModule+onboard_volatile'!#REF!</f>
        <v>#REF!</v>
      </c>
      <c r="L465" s="29" t="e">
        <f>'MModule+onboard_volatile'!#REF!</f>
        <v>#REF!</v>
      </c>
      <c r="M465" s="29" t="e">
        <f>'MModule+onboard_volatile'!#REF!</f>
        <v>#REF!</v>
      </c>
      <c r="N465" s="29" t="e">
        <f>'MModule+onboard_volatile'!#REF!</f>
        <v>#REF!</v>
      </c>
      <c r="O465" s="29" t="e">
        <f>'MModule+onboard_volatile'!#REF!</f>
        <v>#REF!</v>
      </c>
      <c r="P465" s="29" t="e">
        <f>'MModule+onboard_volatile'!#REF!</f>
        <v>#REF!</v>
      </c>
      <c r="Q465" s="29" t="e">
        <f>'MModule+onboard_volatile'!#REF!</f>
        <v>#REF!</v>
      </c>
      <c r="R465" s="29" t="e">
        <f>'MModule+onboard_volatile'!#REF!</f>
        <v>#REF!</v>
      </c>
      <c r="S465" s="29" t="e">
        <f>'MModule+onboard_volatile'!#REF!</f>
        <v>#REF!</v>
      </c>
      <c r="T465" s="29" t="e">
        <f>'MModule+onboard_volatile'!#REF!</f>
        <v>#REF!</v>
      </c>
      <c r="U465" s="29" t="e">
        <f>'MModule+onboard_volatile'!#REF!</f>
        <v>#REF!</v>
      </c>
      <c r="V465" s="29" t="e">
        <f>'MModule+onboard_volatile'!#REF!</f>
        <v>#REF!</v>
      </c>
      <c r="W465" s="29" t="e">
        <f>'MModule+onboard_volatile'!#REF!</f>
        <v>#REF!</v>
      </c>
      <c r="X465" s="29" t="e">
        <f>'MModule+onboard_volatile'!#REF!</f>
        <v>#REF!</v>
      </c>
      <c r="Y465" s="29" t="e">
        <f>'MModule+onboard_volatile'!#REF!</f>
        <v>#REF!</v>
      </c>
      <c r="Z465" s="29" t="e">
        <f>'MModule+onboard_volatile'!#REF!</f>
        <v>#REF!</v>
      </c>
      <c r="AA465" s="29" t="e">
        <f>'MModule+onboard_volatile'!#REF!</f>
        <v>#REF!</v>
      </c>
      <c r="AB465" s="29" t="e">
        <f>'MModule+onboard_volatile'!#REF!</f>
        <v>#REF!</v>
      </c>
    </row>
    <row r="466" spans="3:28" s="11" customFormat="1">
      <c r="C466" s="98" t="s">
        <v>26</v>
      </c>
      <c r="D466" s="29" t="e">
        <f>'MModule+onboard_volatile'!#REF!</f>
        <v>#REF!</v>
      </c>
      <c r="E466" s="29" t="e">
        <f>'MModule+onboard_volatile'!#REF!</f>
        <v>#REF!</v>
      </c>
      <c r="F466" s="29" t="e">
        <f>'MModule+onboard_volatile'!#REF!</f>
        <v>#REF!</v>
      </c>
      <c r="G466" s="29" t="e">
        <f>'MModule+onboard_volatile'!#REF!</f>
        <v>#REF!</v>
      </c>
      <c r="H466" s="29" t="e">
        <f>'MModule+onboard_volatile'!#REF!</f>
        <v>#REF!</v>
      </c>
      <c r="I466" s="29" t="e">
        <f>'MModule+onboard_volatile'!#REF!</f>
        <v>#REF!</v>
      </c>
      <c r="J466" s="29" t="e">
        <f>'MModule+onboard_volatile'!#REF!</f>
        <v>#REF!</v>
      </c>
      <c r="K466" s="29" t="e">
        <f>'MModule+onboard_volatile'!#REF!</f>
        <v>#REF!</v>
      </c>
      <c r="L466" s="29" t="e">
        <f>'MModule+onboard_volatile'!#REF!</f>
        <v>#REF!</v>
      </c>
      <c r="M466" s="29" t="e">
        <f>'MModule+onboard_volatile'!#REF!</f>
        <v>#REF!</v>
      </c>
      <c r="N466" s="29" t="e">
        <f>'MModule+onboard_volatile'!#REF!</f>
        <v>#REF!</v>
      </c>
      <c r="O466" s="29" t="e">
        <f>'MModule+onboard_volatile'!#REF!</f>
        <v>#REF!</v>
      </c>
      <c r="P466" s="29" t="e">
        <f>'MModule+onboard_volatile'!#REF!</f>
        <v>#REF!</v>
      </c>
      <c r="Q466" s="29" t="e">
        <f>'MModule+onboard_volatile'!#REF!</f>
        <v>#REF!</v>
      </c>
      <c r="R466" s="29" t="e">
        <f>'MModule+onboard_volatile'!#REF!</f>
        <v>#REF!</v>
      </c>
      <c r="S466" s="29" t="e">
        <f>'MModule+onboard_volatile'!#REF!</f>
        <v>#REF!</v>
      </c>
      <c r="T466" s="29" t="e">
        <f>'MModule+onboard_volatile'!#REF!</f>
        <v>#REF!</v>
      </c>
      <c r="U466" s="29" t="e">
        <f>'MModule+onboard_volatile'!#REF!</f>
        <v>#REF!</v>
      </c>
      <c r="V466" s="29" t="e">
        <f>'MModule+onboard_volatile'!#REF!</f>
        <v>#REF!</v>
      </c>
      <c r="W466" s="29" t="e">
        <f>'MModule+onboard_volatile'!#REF!</f>
        <v>#REF!</v>
      </c>
      <c r="X466" s="29" t="e">
        <f>'MModule+onboard_volatile'!#REF!</f>
        <v>#REF!</v>
      </c>
      <c r="Y466" s="29" t="e">
        <f>'MModule+onboard_volatile'!#REF!</f>
        <v>#REF!</v>
      </c>
      <c r="Z466" s="29" t="e">
        <f>'MModule+onboard_volatile'!#REF!</f>
        <v>#REF!</v>
      </c>
      <c r="AA466" s="29" t="e">
        <f>'MModule+onboard_volatile'!#REF!</f>
        <v>#REF!</v>
      </c>
      <c r="AB466" s="29" t="e">
        <f>'MModule+onboard_volatile'!#REF!</f>
        <v>#REF!</v>
      </c>
    </row>
    <row r="467" spans="3:28" s="11" customFormat="1">
      <c r="C467" s="98" t="s">
        <v>26</v>
      </c>
      <c r="D467" s="29" t="e">
        <f>'MModule+onboard_volatile'!#REF!</f>
        <v>#REF!</v>
      </c>
      <c r="E467" s="29" t="e">
        <f>'MModule+onboard_volatile'!#REF!</f>
        <v>#REF!</v>
      </c>
      <c r="F467" s="29" t="e">
        <f>'MModule+onboard_volatile'!#REF!</f>
        <v>#REF!</v>
      </c>
      <c r="G467" s="29" t="e">
        <f>'MModule+onboard_volatile'!#REF!</f>
        <v>#REF!</v>
      </c>
      <c r="H467" s="29" t="e">
        <f>'MModule+onboard_volatile'!#REF!</f>
        <v>#REF!</v>
      </c>
      <c r="I467" s="29" t="e">
        <f>'MModule+onboard_volatile'!#REF!</f>
        <v>#REF!</v>
      </c>
      <c r="J467" s="29" t="e">
        <f>'MModule+onboard_volatile'!#REF!</f>
        <v>#REF!</v>
      </c>
      <c r="K467" s="29" t="e">
        <f>'MModule+onboard_volatile'!#REF!</f>
        <v>#REF!</v>
      </c>
      <c r="L467" s="29" t="e">
        <f>'MModule+onboard_volatile'!#REF!</f>
        <v>#REF!</v>
      </c>
      <c r="M467" s="29" t="e">
        <f>'MModule+onboard_volatile'!#REF!</f>
        <v>#REF!</v>
      </c>
      <c r="N467" s="29" t="e">
        <f>'MModule+onboard_volatile'!#REF!</f>
        <v>#REF!</v>
      </c>
      <c r="O467" s="29" t="e">
        <f>'MModule+onboard_volatile'!#REF!</f>
        <v>#REF!</v>
      </c>
      <c r="P467" s="29" t="e">
        <f>'MModule+onboard_volatile'!#REF!</f>
        <v>#REF!</v>
      </c>
      <c r="Q467" s="29" t="e">
        <f>'MModule+onboard_volatile'!#REF!</f>
        <v>#REF!</v>
      </c>
      <c r="R467" s="29" t="e">
        <f>'MModule+onboard_volatile'!#REF!</f>
        <v>#REF!</v>
      </c>
      <c r="S467" s="29" t="e">
        <f>'MModule+onboard_volatile'!#REF!</f>
        <v>#REF!</v>
      </c>
      <c r="T467" s="29" t="e">
        <f>'MModule+onboard_volatile'!#REF!</f>
        <v>#REF!</v>
      </c>
      <c r="U467" s="29" t="e">
        <f>'MModule+onboard_volatile'!#REF!</f>
        <v>#REF!</v>
      </c>
      <c r="V467" s="29" t="e">
        <f>'MModule+onboard_volatile'!#REF!</f>
        <v>#REF!</v>
      </c>
      <c r="W467" s="29" t="e">
        <f>'MModule+onboard_volatile'!#REF!</f>
        <v>#REF!</v>
      </c>
      <c r="X467" s="29" t="e">
        <f>'MModule+onboard_volatile'!#REF!</f>
        <v>#REF!</v>
      </c>
      <c r="Y467" s="29" t="e">
        <f>'MModule+onboard_volatile'!#REF!</f>
        <v>#REF!</v>
      </c>
      <c r="Z467" s="29" t="e">
        <f>'MModule+onboard_volatile'!#REF!</f>
        <v>#REF!</v>
      </c>
      <c r="AA467" s="29" t="e">
        <f>'MModule+onboard_volatile'!#REF!</f>
        <v>#REF!</v>
      </c>
      <c r="AB467" s="29" t="e">
        <f>'MModule+onboard_volatile'!#REF!</f>
        <v>#REF!</v>
      </c>
    </row>
    <row r="468" spans="3:28" s="11" customFormat="1">
      <c r="C468" s="98" t="s">
        <v>26</v>
      </c>
      <c r="D468" s="29" t="e">
        <f>'MModule+onboard_volatile'!#REF!</f>
        <v>#REF!</v>
      </c>
      <c r="E468" s="29" t="e">
        <f>'MModule+onboard_volatile'!#REF!</f>
        <v>#REF!</v>
      </c>
      <c r="F468" s="29" t="e">
        <f>'MModule+onboard_volatile'!#REF!</f>
        <v>#REF!</v>
      </c>
      <c r="G468" s="29" t="e">
        <f>'MModule+onboard_volatile'!#REF!</f>
        <v>#REF!</v>
      </c>
      <c r="H468" s="29" t="e">
        <f>'MModule+onboard_volatile'!#REF!</f>
        <v>#REF!</v>
      </c>
      <c r="I468" s="29" t="e">
        <f>'MModule+onboard_volatile'!#REF!</f>
        <v>#REF!</v>
      </c>
      <c r="J468" s="29" t="e">
        <f>'MModule+onboard_volatile'!#REF!</f>
        <v>#REF!</v>
      </c>
      <c r="K468" s="29" t="e">
        <f>'MModule+onboard_volatile'!#REF!</f>
        <v>#REF!</v>
      </c>
      <c r="L468" s="29" t="e">
        <f>'MModule+onboard_volatile'!#REF!</f>
        <v>#REF!</v>
      </c>
      <c r="M468" s="29" t="e">
        <f>'MModule+onboard_volatile'!#REF!</f>
        <v>#REF!</v>
      </c>
      <c r="N468" s="29" t="e">
        <f>'MModule+onboard_volatile'!#REF!</f>
        <v>#REF!</v>
      </c>
      <c r="O468" s="29" t="e">
        <f>'MModule+onboard_volatile'!#REF!</f>
        <v>#REF!</v>
      </c>
      <c r="P468" s="29" t="e">
        <f>'MModule+onboard_volatile'!#REF!</f>
        <v>#REF!</v>
      </c>
      <c r="Q468" s="29" t="e">
        <f>'MModule+onboard_volatile'!#REF!</f>
        <v>#REF!</v>
      </c>
      <c r="R468" s="29" t="e">
        <f>'MModule+onboard_volatile'!#REF!</f>
        <v>#REF!</v>
      </c>
      <c r="S468" s="29" t="e">
        <f>'MModule+onboard_volatile'!#REF!</f>
        <v>#REF!</v>
      </c>
      <c r="T468" s="29" t="e">
        <f>'MModule+onboard_volatile'!#REF!</f>
        <v>#REF!</v>
      </c>
      <c r="U468" s="29" t="e">
        <f>'MModule+onboard_volatile'!#REF!</f>
        <v>#REF!</v>
      </c>
      <c r="V468" s="29" t="e">
        <f>'MModule+onboard_volatile'!#REF!</f>
        <v>#REF!</v>
      </c>
      <c r="W468" s="29" t="e">
        <f>'MModule+onboard_volatile'!#REF!</f>
        <v>#REF!</v>
      </c>
      <c r="X468" s="29" t="e">
        <f>'MModule+onboard_volatile'!#REF!</f>
        <v>#REF!</v>
      </c>
      <c r="Y468" s="29" t="e">
        <f>'MModule+onboard_volatile'!#REF!</f>
        <v>#REF!</v>
      </c>
      <c r="Z468" s="29" t="e">
        <f>'MModule+onboard_volatile'!#REF!</f>
        <v>#REF!</v>
      </c>
      <c r="AA468" s="29" t="e">
        <f>'MModule+onboard_volatile'!#REF!</f>
        <v>#REF!</v>
      </c>
      <c r="AB468" s="29" t="e">
        <f>'MModule+onboard_volatile'!#REF!</f>
        <v>#REF!</v>
      </c>
    </row>
    <row r="469" spans="3:28" s="11" customFormat="1">
      <c r="C469" s="98" t="s">
        <v>26</v>
      </c>
      <c r="D469" s="29" t="e">
        <f>'MModule+onboard_volatile'!#REF!</f>
        <v>#REF!</v>
      </c>
      <c r="E469" s="29" t="e">
        <f>'MModule+onboard_volatile'!#REF!</f>
        <v>#REF!</v>
      </c>
      <c r="F469" s="29" t="e">
        <f>'MModule+onboard_volatile'!#REF!</f>
        <v>#REF!</v>
      </c>
      <c r="G469" s="29" t="e">
        <f>'MModule+onboard_volatile'!#REF!</f>
        <v>#REF!</v>
      </c>
      <c r="H469" s="29" t="e">
        <f>'MModule+onboard_volatile'!#REF!</f>
        <v>#REF!</v>
      </c>
      <c r="I469" s="29" t="e">
        <f>'MModule+onboard_volatile'!#REF!</f>
        <v>#REF!</v>
      </c>
      <c r="J469" s="29" t="e">
        <f>'MModule+onboard_volatile'!#REF!</f>
        <v>#REF!</v>
      </c>
      <c r="K469" s="29" t="e">
        <f>'MModule+onboard_volatile'!#REF!</f>
        <v>#REF!</v>
      </c>
      <c r="L469" s="29" t="e">
        <f>'MModule+onboard_volatile'!#REF!</f>
        <v>#REF!</v>
      </c>
      <c r="M469" s="29" t="e">
        <f>'MModule+onboard_volatile'!#REF!</f>
        <v>#REF!</v>
      </c>
      <c r="N469" s="29" t="e">
        <f>'MModule+onboard_volatile'!#REF!</f>
        <v>#REF!</v>
      </c>
      <c r="O469" s="29" t="e">
        <f>'MModule+onboard_volatile'!#REF!</f>
        <v>#REF!</v>
      </c>
      <c r="P469" s="29" t="e">
        <f>'MModule+onboard_volatile'!#REF!</f>
        <v>#REF!</v>
      </c>
      <c r="Q469" s="29" t="e">
        <f>'MModule+onboard_volatile'!#REF!</f>
        <v>#REF!</v>
      </c>
      <c r="R469" s="29" t="e">
        <f>'MModule+onboard_volatile'!#REF!</f>
        <v>#REF!</v>
      </c>
      <c r="S469" s="29" t="e">
        <f>'MModule+onboard_volatile'!#REF!</f>
        <v>#REF!</v>
      </c>
      <c r="T469" s="29" t="e">
        <f>'MModule+onboard_volatile'!#REF!</f>
        <v>#REF!</v>
      </c>
      <c r="U469" s="29" t="e">
        <f>'MModule+onboard_volatile'!#REF!</f>
        <v>#REF!</v>
      </c>
      <c r="V469" s="29" t="e">
        <f>'MModule+onboard_volatile'!#REF!</f>
        <v>#REF!</v>
      </c>
      <c r="W469" s="29" t="e">
        <f>'MModule+onboard_volatile'!#REF!</f>
        <v>#REF!</v>
      </c>
      <c r="X469" s="29" t="e">
        <f>'MModule+onboard_volatile'!#REF!</f>
        <v>#REF!</v>
      </c>
      <c r="Y469" s="29" t="e">
        <f>'MModule+onboard_volatile'!#REF!</f>
        <v>#REF!</v>
      </c>
      <c r="Z469" s="29" t="e">
        <f>'MModule+onboard_volatile'!#REF!</f>
        <v>#REF!</v>
      </c>
      <c r="AA469" s="29" t="e">
        <f>'MModule+onboard_volatile'!#REF!</f>
        <v>#REF!</v>
      </c>
      <c r="AB469" s="29" t="e">
        <f>'MModule+onboard_volatile'!#REF!</f>
        <v>#REF!</v>
      </c>
    </row>
    <row r="470" spans="3:28" s="11" customFormat="1">
      <c r="C470" s="98" t="s">
        <v>26</v>
      </c>
      <c r="D470" s="29" t="e">
        <f>'MModule+onboard_volatile'!#REF!</f>
        <v>#REF!</v>
      </c>
      <c r="E470" s="29" t="e">
        <f>'MModule+onboard_volatile'!#REF!</f>
        <v>#REF!</v>
      </c>
      <c r="F470" s="29" t="e">
        <f>'MModule+onboard_volatile'!#REF!</f>
        <v>#REF!</v>
      </c>
      <c r="G470" s="29" t="e">
        <f>'MModule+onboard_volatile'!#REF!</f>
        <v>#REF!</v>
      </c>
      <c r="H470" s="29" t="e">
        <f>'MModule+onboard_volatile'!#REF!</f>
        <v>#REF!</v>
      </c>
      <c r="I470" s="29" t="e">
        <f>'MModule+onboard_volatile'!#REF!</f>
        <v>#REF!</v>
      </c>
      <c r="J470" s="29" t="e">
        <f>'MModule+onboard_volatile'!#REF!</f>
        <v>#REF!</v>
      </c>
      <c r="K470" s="29" t="e">
        <f>'MModule+onboard_volatile'!#REF!</f>
        <v>#REF!</v>
      </c>
      <c r="L470" s="29" t="e">
        <f>'MModule+onboard_volatile'!#REF!</f>
        <v>#REF!</v>
      </c>
      <c r="M470" s="29" t="e">
        <f>'MModule+onboard_volatile'!#REF!</f>
        <v>#REF!</v>
      </c>
      <c r="N470" s="29" t="e">
        <f>'MModule+onboard_volatile'!#REF!</f>
        <v>#REF!</v>
      </c>
      <c r="O470" s="29" t="e">
        <f>'MModule+onboard_volatile'!#REF!</f>
        <v>#REF!</v>
      </c>
      <c r="P470" s="29" t="e">
        <f>'MModule+onboard_volatile'!#REF!</f>
        <v>#REF!</v>
      </c>
      <c r="Q470" s="29" t="e">
        <f>'MModule+onboard_volatile'!#REF!</f>
        <v>#REF!</v>
      </c>
      <c r="R470" s="29" t="e">
        <f>'MModule+onboard_volatile'!#REF!</f>
        <v>#REF!</v>
      </c>
      <c r="S470" s="29" t="e">
        <f>'MModule+onboard_volatile'!#REF!</f>
        <v>#REF!</v>
      </c>
      <c r="T470" s="29" t="e">
        <f>'MModule+onboard_volatile'!#REF!</f>
        <v>#REF!</v>
      </c>
      <c r="U470" s="29" t="e">
        <f>'MModule+onboard_volatile'!#REF!</f>
        <v>#REF!</v>
      </c>
      <c r="V470" s="29" t="e">
        <f>'MModule+onboard_volatile'!#REF!</f>
        <v>#REF!</v>
      </c>
      <c r="W470" s="29" t="e">
        <f>'MModule+onboard_volatile'!#REF!</f>
        <v>#REF!</v>
      </c>
      <c r="X470" s="29" t="e">
        <f>'MModule+onboard_volatile'!#REF!</f>
        <v>#REF!</v>
      </c>
      <c r="Y470" s="29" t="e">
        <f>'MModule+onboard_volatile'!#REF!</f>
        <v>#REF!</v>
      </c>
      <c r="Z470" s="29" t="e">
        <f>'MModule+onboard_volatile'!#REF!</f>
        <v>#REF!</v>
      </c>
      <c r="AA470" s="29" t="e">
        <f>'MModule+onboard_volatile'!#REF!</f>
        <v>#REF!</v>
      </c>
      <c r="AB470" s="29" t="e">
        <f>'MModule+onboard_volatile'!#REF!</f>
        <v>#REF!</v>
      </c>
    </row>
    <row r="471" spans="3:28" s="11" customFormat="1">
      <c r="C471" s="98" t="s">
        <v>26</v>
      </c>
      <c r="D471" s="29" t="e">
        <f>'MModule+onboard_volatile'!#REF!</f>
        <v>#REF!</v>
      </c>
      <c r="E471" s="29" t="e">
        <f>'MModule+onboard_volatile'!#REF!</f>
        <v>#REF!</v>
      </c>
      <c r="F471" s="29" t="e">
        <f>'MModule+onboard_volatile'!#REF!</f>
        <v>#REF!</v>
      </c>
      <c r="G471" s="29" t="e">
        <f>'MModule+onboard_volatile'!#REF!</f>
        <v>#REF!</v>
      </c>
      <c r="H471" s="29" t="e">
        <f>'MModule+onboard_volatile'!#REF!</f>
        <v>#REF!</v>
      </c>
      <c r="I471" s="29" t="e">
        <f>'MModule+onboard_volatile'!#REF!</f>
        <v>#REF!</v>
      </c>
      <c r="J471" s="29" t="e">
        <f>'MModule+onboard_volatile'!#REF!</f>
        <v>#REF!</v>
      </c>
      <c r="K471" s="29" t="e">
        <f>'MModule+onboard_volatile'!#REF!</f>
        <v>#REF!</v>
      </c>
      <c r="L471" s="29" t="e">
        <f>'MModule+onboard_volatile'!#REF!</f>
        <v>#REF!</v>
      </c>
      <c r="M471" s="29" t="e">
        <f>'MModule+onboard_volatile'!#REF!</f>
        <v>#REF!</v>
      </c>
      <c r="N471" s="29" t="e">
        <f>'MModule+onboard_volatile'!#REF!</f>
        <v>#REF!</v>
      </c>
      <c r="O471" s="29" t="e">
        <f>'MModule+onboard_volatile'!#REF!</f>
        <v>#REF!</v>
      </c>
      <c r="P471" s="29" t="e">
        <f>'MModule+onboard_volatile'!#REF!</f>
        <v>#REF!</v>
      </c>
      <c r="Q471" s="29" t="e">
        <f>'MModule+onboard_volatile'!#REF!</f>
        <v>#REF!</v>
      </c>
      <c r="R471" s="29" t="e">
        <f>'MModule+onboard_volatile'!#REF!</f>
        <v>#REF!</v>
      </c>
      <c r="S471" s="29" t="e">
        <f>'MModule+onboard_volatile'!#REF!</f>
        <v>#REF!</v>
      </c>
      <c r="T471" s="29" t="e">
        <f>'MModule+onboard_volatile'!#REF!</f>
        <v>#REF!</v>
      </c>
      <c r="U471" s="29" t="e">
        <f>'MModule+onboard_volatile'!#REF!</f>
        <v>#REF!</v>
      </c>
      <c r="V471" s="29" t="e">
        <f>'MModule+onboard_volatile'!#REF!</f>
        <v>#REF!</v>
      </c>
      <c r="W471" s="29" t="e">
        <f>'MModule+onboard_volatile'!#REF!</f>
        <v>#REF!</v>
      </c>
      <c r="X471" s="29" t="e">
        <f>'MModule+onboard_volatile'!#REF!</f>
        <v>#REF!</v>
      </c>
      <c r="Y471" s="29" t="e">
        <f>'MModule+onboard_volatile'!#REF!</f>
        <v>#REF!</v>
      </c>
      <c r="Z471" s="29" t="e">
        <f>'MModule+onboard_volatile'!#REF!</f>
        <v>#REF!</v>
      </c>
      <c r="AA471" s="29" t="e">
        <f>'MModule+onboard_volatile'!#REF!</f>
        <v>#REF!</v>
      </c>
      <c r="AB471" s="29" t="e">
        <f>'MModule+onboard_volatile'!#REF!</f>
        <v>#REF!</v>
      </c>
    </row>
    <row r="472" spans="3:28" s="11" customFormat="1">
      <c r="C472" s="98" t="s">
        <v>26</v>
      </c>
      <c r="D472" s="29" t="e">
        <f>'MModule+onboard_volatile'!#REF!</f>
        <v>#REF!</v>
      </c>
      <c r="E472" s="29" t="e">
        <f>'MModule+onboard_volatile'!#REF!</f>
        <v>#REF!</v>
      </c>
      <c r="F472" s="29" t="e">
        <f>'MModule+onboard_volatile'!#REF!</f>
        <v>#REF!</v>
      </c>
      <c r="G472" s="29" t="e">
        <f>'MModule+onboard_volatile'!#REF!</f>
        <v>#REF!</v>
      </c>
      <c r="H472" s="29" t="e">
        <f>'MModule+onboard_volatile'!#REF!</f>
        <v>#REF!</v>
      </c>
      <c r="I472" s="29" t="e">
        <f>'MModule+onboard_volatile'!#REF!</f>
        <v>#REF!</v>
      </c>
      <c r="J472" s="29" t="e">
        <f>'MModule+onboard_volatile'!#REF!</f>
        <v>#REF!</v>
      </c>
      <c r="K472" s="29" t="e">
        <f>'MModule+onboard_volatile'!#REF!</f>
        <v>#REF!</v>
      </c>
      <c r="L472" s="29" t="e">
        <f>'MModule+onboard_volatile'!#REF!</f>
        <v>#REF!</v>
      </c>
      <c r="M472" s="29" t="e">
        <f>'MModule+onboard_volatile'!#REF!</f>
        <v>#REF!</v>
      </c>
      <c r="N472" s="29" t="e">
        <f>'MModule+onboard_volatile'!#REF!</f>
        <v>#REF!</v>
      </c>
      <c r="O472" s="29" t="e">
        <f>'MModule+onboard_volatile'!#REF!</f>
        <v>#REF!</v>
      </c>
      <c r="P472" s="29" t="e">
        <f>'MModule+onboard_volatile'!#REF!</f>
        <v>#REF!</v>
      </c>
      <c r="Q472" s="29" t="e">
        <f>'MModule+onboard_volatile'!#REF!</f>
        <v>#REF!</v>
      </c>
      <c r="R472" s="29" t="e">
        <f>'MModule+onboard_volatile'!#REF!</f>
        <v>#REF!</v>
      </c>
      <c r="S472" s="29" t="e">
        <f>'MModule+onboard_volatile'!#REF!</f>
        <v>#REF!</v>
      </c>
      <c r="T472" s="29" t="e">
        <f>'MModule+onboard_volatile'!#REF!</f>
        <v>#REF!</v>
      </c>
      <c r="U472" s="29" t="e">
        <f>'MModule+onboard_volatile'!#REF!</f>
        <v>#REF!</v>
      </c>
      <c r="V472" s="29" t="e">
        <f>'MModule+onboard_volatile'!#REF!</f>
        <v>#REF!</v>
      </c>
      <c r="W472" s="29" t="e">
        <f>'MModule+onboard_volatile'!#REF!</f>
        <v>#REF!</v>
      </c>
      <c r="X472" s="29" t="e">
        <f>'MModule+onboard_volatile'!#REF!</f>
        <v>#REF!</v>
      </c>
      <c r="Y472" s="29" t="e">
        <f>'MModule+onboard_volatile'!#REF!</f>
        <v>#REF!</v>
      </c>
      <c r="Z472" s="29" t="e">
        <f>'MModule+onboard_volatile'!#REF!</f>
        <v>#REF!</v>
      </c>
      <c r="AA472" s="29" t="e">
        <f>'MModule+onboard_volatile'!#REF!</f>
        <v>#REF!</v>
      </c>
      <c r="AB472" s="29" t="e">
        <f>'MModule+onboard_volatile'!#REF!</f>
        <v>#REF!</v>
      </c>
    </row>
    <row r="473" spans="3:28" s="11" customFormat="1">
      <c r="C473" s="98" t="s">
        <v>26</v>
      </c>
      <c r="D473" s="29" t="e">
        <f>'MModule+onboard_volatile'!#REF!</f>
        <v>#REF!</v>
      </c>
      <c r="E473" s="29" t="e">
        <f>'MModule+onboard_volatile'!#REF!</f>
        <v>#REF!</v>
      </c>
      <c r="F473" s="29" t="e">
        <f>'MModule+onboard_volatile'!#REF!</f>
        <v>#REF!</v>
      </c>
      <c r="G473" s="29" t="e">
        <f>'MModule+onboard_volatile'!#REF!</f>
        <v>#REF!</v>
      </c>
      <c r="H473" s="29" t="e">
        <f>'MModule+onboard_volatile'!#REF!</f>
        <v>#REF!</v>
      </c>
      <c r="I473" s="29" t="e">
        <f>'MModule+onboard_volatile'!#REF!</f>
        <v>#REF!</v>
      </c>
      <c r="J473" s="29" t="e">
        <f>'MModule+onboard_volatile'!#REF!</f>
        <v>#REF!</v>
      </c>
      <c r="K473" s="29" t="e">
        <f>'MModule+onboard_volatile'!#REF!</f>
        <v>#REF!</v>
      </c>
      <c r="L473" s="29" t="e">
        <f>'MModule+onboard_volatile'!#REF!</f>
        <v>#REF!</v>
      </c>
      <c r="M473" s="29" t="e">
        <f>'MModule+onboard_volatile'!#REF!</f>
        <v>#REF!</v>
      </c>
      <c r="N473" s="29" t="e">
        <f>'MModule+onboard_volatile'!#REF!</f>
        <v>#REF!</v>
      </c>
      <c r="O473" s="29" t="e">
        <f>'MModule+onboard_volatile'!#REF!</f>
        <v>#REF!</v>
      </c>
      <c r="P473" s="29" t="e">
        <f>'MModule+onboard_volatile'!#REF!</f>
        <v>#REF!</v>
      </c>
      <c r="Q473" s="29" t="e">
        <f>'MModule+onboard_volatile'!#REF!</f>
        <v>#REF!</v>
      </c>
      <c r="R473" s="29" t="e">
        <f>'MModule+onboard_volatile'!#REF!</f>
        <v>#REF!</v>
      </c>
      <c r="S473" s="29" t="e">
        <f>'MModule+onboard_volatile'!#REF!</f>
        <v>#REF!</v>
      </c>
      <c r="T473" s="29" t="e">
        <f>'MModule+onboard_volatile'!#REF!</f>
        <v>#REF!</v>
      </c>
      <c r="U473" s="29" t="e">
        <f>'MModule+onboard_volatile'!#REF!</f>
        <v>#REF!</v>
      </c>
      <c r="V473" s="29" t="e">
        <f>'MModule+onboard_volatile'!#REF!</f>
        <v>#REF!</v>
      </c>
      <c r="W473" s="29" t="e">
        <f>'MModule+onboard_volatile'!#REF!</f>
        <v>#REF!</v>
      </c>
      <c r="X473" s="29" t="e">
        <f>'MModule+onboard_volatile'!#REF!</f>
        <v>#REF!</v>
      </c>
      <c r="Y473" s="29" t="e">
        <f>'MModule+onboard_volatile'!#REF!</f>
        <v>#REF!</v>
      </c>
      <c r="Z473" s="29" t="e">
        <f>'MModule+onboard_volatile'!#REF!</f>
        <v>#REF!</v>
      </c>
      <c r="AA473" s="29" t="e">
        <f>'MModule+onboard_volatile'!#REF!</f>
        <v>#REF!</v>
      </c>
      <c r="AB473" s="29" t="e">
        <f>'MModule+onboard_volatile'!#REF!</f>
        <v>#REF!</v>
      </c>
    </row>
    <row r="474" spans="3:28" s="11" customFormat="1">
      <c r="C474" s="98" t="s">
        <v>26</v>
      </c>
      <c r="D474" s="29" t="e">
        <f>'MModule+onboard_volatile'!#REF!</f>
        <v>#REF!</v>
      </c>
      <c r="E474" s="29" t="e">
        <f>'MModule+onboard_volatile'!#REF!</f>
        <v>#REF!</v>
      </c>
      <c r="F474" s="29" t="e">
        <f>'MModule+onboard_volatile'!#REF!</f>
        <v>#REF!</v>
      </c>
      <c r="G474" s="29" t="e">
        <f>'MModule+onboard_volatile'!#REF!</f>
        <v>#REF!</v>
      </c>
      <c r="H474" s="29" t="e">
        <f>'MModule+onboard_volatile'!#REF!</f>
        <v>#REF!</v>
      </c>
      <c r="I474" s="29" t="e">
        <f>'MModule+onboard_volatile'!#REF!</f>
        <v>#REF!</v>
      </c>
      <c r="J474" s="29" t="e">
        <f>'MModule+onboard_volatile'!#REF!</f>
        <v>#REF!</v>
      </c>
      <c r="K474" s="29" t="e">
        <f>'MModule+onboard_volatile'!#REF!</f>
        <v>#REF!</v>
      </c>
      <c r="L474" s="29" t="e">
        <f>'MModule+onboard_volatile'!#REF!</f>
        <v>#REF!</v>
      </c>
      <c r="M474" s="29" t="e">
        <f>'MModule+onboard_volatile'!#REF!</f>
        <v>#REF!</v>
      </c>
      <c r="N474" s="29" t="e">
        <f>'MModule+onboard_volatile'!#REF!</f>
        <v>#REF!</v>
      </c>
      <c r="O474" s="29" t="e">
        <f>'MModule+onboard_volatile'!#REF!</f>
        <v>#REF!</v>
      </c>
      <c r="P474" s="29" t="e">
        <f>'MModule+onboard_volatile'!#REF!</f>
        <v>#REF!</v>
      </c>
      <c r="Q474" s="29" t="e">
        <f>'MModule+onboard_volatile'!#REF!</f>
        <v>#REF!</v>
      </c>
      <c r="R474" s="29" t="e">
        <f>'MModule+onboard_volatile'!#REF!</f>
        <v>#REF!</v>
      </c>
      <c r="S474" s="29" t="e">
        <f>'MModule+onboard_volatile'!#REF!</f>
        <v>#REF!</v>
      </c>
      <c r="T474" s="29" t="e">
        <f>'MModule+onboard_volatile'!#REF!</f>
        <v>#REF!</v>
      </c>
      <c r="U474" s="29" t="e">
        <f>'MModule+onboard_volatile'!#REF!</f>
        <v>#REF!</v>
      </c>
      <c r="V474" s="29" t="e">
        <f>'MModule+onboard_volatile'!#REF!</f>
        <v>#REF!</v>
      </c>
      <c r="W474" s="29" t="e">
        <f>'MModule+onboard_volatile'!#REF!</f>
        <v>#REF!</v>
      </c>
      <c r="X474" s="29" t="e">
        <f>'MModule+onboard_volatile'!#REF!</f>
        <v>#REF!</v>
      </c>
      <c r="Y474" s="29" t="e">
        <f>'MModule+onboard_volatile'!#REF!</f>
        <v>#REF!</v>
      </c>
      <c r="Z474" s="29" t="e">
        <f>'MModule+onboard_volatile'!#REF!</f>
        <v>#REF!</v>
      </c>
      <c r="AA474" s="29" t="e">
        <f>'MModule+onboard_volatile'!#REF!</f>
        <v>#REF!</v>
      </c>
      <c r="AB474" s="29" t="e">
        <f>'MModule+onboard_volatile'!#REF!</f>
        <v>#REF!</v>
      </c>
    </row>
    <row r="475" spans="3:28" s="11" customFormat="1">
      <c r="C475" s="98" t="s">
        <v>26</v>
      </c>
      <c r="D475" s="29" t="e">
        <f>'MModule+onboard_volatile'!#REF!</f>
        <v>#REF!</v>
      </c>
      <c r="E475" s="29" t="e">
        <f>'MModule+onboard_volatile'!#REF!</f>
        <v>#REF!</v>
      </c>
      <c r="F475" s="29" t="e">
        <f>'MModule+onboard_volatile'!#REF!</f>
        <v>#REF!</v>
      </c>
      <c r="G475" s="29" t="e">
        <f>'MModule+onboard_volatile'!#REF!</f>
        <v>#REF!</v>
      </c>
      <c r="H475" s="29" t="e">
        <f>'MModule+onboard_volatile'!#REF!</f>
        <v>#REF!</v>
      </c>
      <c r="I475" s="29" t="e">
        <f>'MModule+onboard_volatile'!#REF!</f>
        <v>#REF!</v>
      </c>
      <c r="J475" s="29" t="e">
        <f>'MModule+onboard_volatile'!#REF!</f>
        <v>#REF!</v>
      </c>
      <c r="K475" s="29" t="e">
        <f>'MModule+onboard_volatile'!#REF!</f>
        <v>#REF!</v>
      </c>
      <c r="L475" s="29" t="e">
        <f>'MModule+onboard_volatile'!#REF!</f>
        <v>#REF!</v>
      </c>
      <c r="M475" s="29" t="e">
        <f>'MModule+onboard_volatile'!#REF!</f>
        <v>#REF!</v>
      </c>
      <c r="N475" s="29" t="e">
        <f>'MModule+onboard_volatile'!#REF!</f>
        <v>#REF!</v>
      </c>
      <c r="O475" s="29" t="e">
        <f>'MModule+onboard_volatile'!#REF!</f>
        <v>#REF!</v>
      </c>
      <c r="P475" s="29" t="e">
        <f>'MModule+onboard_volatile'!#REF!</f>
        <v>#REF!</v>
      </c>
      <c r="Q475" s="29" t="e">
        <f>'MModule+onboard_volatile'!#REF!</f>
        <v>#REF!</v>
      </c>
      <c r="R475" s="29" t="e">
        <f>'MModule+onboard_volatile'!#REF!</f>
        <v>#REF!</v>
      </c>
      <c r="S475" s="29" t="e">
        <f>'MModule+onboard_volatile'!#REF!</f>
        <v>#REF!</v>
      </c>
      <c r="T475" s="29" t="e">
        <f>'MModule+onboard_volatile'!#REF!</f>
        <v>#REF!</v>
      </c>
      <c r="U475" s="29" t="e">
        <f>'MModule+onboard_volatile'!#REF!</f>
        <v>#REF!</v>
      </c>
      <c r="V475" s="29" t="e">
        <f>'MModule+onboard_volatile'!#REF!</f>
        <v>#REF!</v>
      </c>
      <c r="W475" s="29" t="e">
        <f>'MModule+onboard_volatile'!#REF!</f>
        <v>#REF!</v>
      </c>
      <c r="X475" s="29" t="e">
        <f>'MModule+onboard_volatile'!#REF!</f>
        <v>#REF!</v>
      </c>
      <c r="Y475" s="29" t="e">
        <f>'MModule+onboard_volatile'!#REF!</f>
        <v>#REF!</v>
      </c>
      <c r="Z475" s="29" t="e">
        <f>'MModule+onboard_volatile'!#REF!</f>
        <v>#REF!</v>
      </c>
      <c r="AA475" s="29" t="e">
        <f>'MModule+onboard_volatile'!#REF!</f>
        <v>#REF!</v>
      </c>
      <c r="AB475" s="29" t="e">
        <f>'MModule+onboard_volatile'!#REF!</f>
        <v>#REF!</v>
      </c>
    </row>
    <row r="476" spans="3:28" s="11" customFormat="1">
      <c r="C476" s="98" t="s">
        <v>26</v>
      </c>
      <c r="D476" s="29" t="e">
        <f>'MModule+onboard_volatile'!#REF!</f>
        <v>#REF!</v>
      </c>
      <c r="E476" s="29" t="e">
        <f>'MModule+onboard_volatile'!#REF!</f>
        <v>#REF!</v>
      </c>
      <c r="F476" s="29" t="e">
        <f>'MModule+onboard_volatile'!#REF!</f>
        <v>#REF!</v>
      </c>
      <c r="G476" s="29" t="e">
        <f>'MModule+onboard_volatile'!#REF!</f>
        <v>#REF!</v>
      </c>
      <c r="H476" s="29" t="e">
        <f>'MModule+onboard_volatile'!#REF!</f>
        <v>#REF!</v>
      </c>
      <c r="I476" s="29" t="e">
        <f>'MModule+onboard_volatile'!#REF!</f>
        <v>#REF!</v>
      </c>
      <c r="J476" s="29" t="e">
        <f>'MModule+onboard_volatile'!#REF!</f>
        <v>#REF!</v>
      </c>
      <c r="K476" s="29" t="e">
        <f>'MModule+onboard_volatile'!#REF!</f>
        <v>#REF!</v>
      </c>
      <c r="L476" s="29" t="e">
        <f>'MModule+onboard_volatile'!#REF!</f>
        <v>#REF!</v>
      </c>
      <c r="M476" s="29" t="e">
        <f>'MModule+onboard_volatile'!#REF!</f>
        <v>#REF!</v>
      </c>
      <c r="N476" s="29" t="e">
        <f>'MModule+onboard_volatile'!#REF!</f>
        <v>#REF!</v>
      </c>
      <c r="O476" s="29" t="e">
        <f>'MModule+onboard_volatile'!#REF!</f>
        <v>#REF!</v>
      </c>
      <c r="P476" s="29" t="e">
        <f>'MModule+onboard_volatile'!#REF!</f>
        <v>#REF!</v>
      </c>
      <c r="Q476" s="29" t="e">
        <f>'MModule+onboard_volatile'!#REF!</f>
        <v>#REF!</v>
      </c>
      <c r="R476" s="29" t="e">
        <f>'MModule+onboard_volatile'!#REF!</f>
        <v>#REF!</v>
      </c>
      <c r="S476" s="29" t="e">
        <f>'MModule+onboard_volatile'!#REF!</f>
        <v>#REF!</v>
      </c>
      <c r="T476" s="29" t="e">
        <f>'MModule+onboard_volatile'!#REF!</f>
        <v>#REF!</v>
      </c>
      <c r="U476" s="29" t="e">
        <f>'MModule+onboard_volatile'!#REF!</f>
        <v>#REF!</v>
      </c>
      <c r="V476" s="29" t="e">
        <f>'MModule+onboard_volatile'!#REF!</f>
        <v>#REF!</v>
      </c>
      <c r="W476" s="29" t="e">
        <f>'MModule+onboard_volatile'!#REF!</f>
        <v>#REF!</v>
      </c>
      <c r="X476" s="29" t="e">
        <f>'MModule+onboard_volatile'!#REF!</f>
        <v>#REF!</v>
      </c>
      <c r="Y476" s="29" t="e">
        <f>'MModule+onboard_volatile'!#REF!</f>
        <v>#REF!</v>
      </c>
      <c r="Z476" s="29" t="e">
        <f>'MModule+onboard_volatile'!#REF!</f>
        <v>#REF!</v>
      </c>
      <c r="AA476" s="29" t="e">
        <f>'MModule+onboard_volatile'!#REF!</f>
        <v>#REF!</v>
      </c>
      <c r="AB476" s="29" t="e">
        <f>'MModule+onboard_volatile'!#REF!</f>
        <v>#REF!</v>
      </c>
    </row>
    <row r="477" spans="3:28" s="11" customFormat="1">
      <c r="C477" s="98" t="s">
        <v>26</v>
      </c>
      <c r="D477" s="29" t="str">
        <f>'MModule+onboard_volatile'!C187</f>
        <v>new</v>
      </c>
      <c r="E477" s="29" t="str">
        <f>'MModule+onboard_volatile'!D187</f>
        <v>FCST</v>
      </c>
      <c r="F477" s="29">
        <f>'MModule+onboard_volatile'!E187</f>
        <v>4450</v>
      </c>
      <c r="G477" s="29" t="str">
        <f>'MModule+onboard_volatile'!F187</f>
        <v>K6502HC</v>
      </c>
      <c r="H477" s="29" t="str">
        <f>'MModule+onboard_volatile'!G187</f>
        <v>Core i9-11900H</v>
      </c>
      <c r="I477" s="29">
        <f>'MModule+onboard_volatile'!H187</f>
        <v>0</v>
      </c>
      <c r="J477" s="29">
        <f>'MModule+onboard_volatile'!I187</f>
        <v>0</v>
      </c>
      <c r="K477" s="29">
        <f>'MModule+onboard_volatile'!J187</f>
        <v>0</v>
      </c>
      <c r="L477" s="29" t="str">
        <f>'MModule+onboard_volatile'!K187</f>
        <v>16GB</v>
      </c>
      <c r="M477" s="29">
        <f>'MModule+onboard_volatile'!L187</f>
        <v>0</v>
      </c>
      <c r="N477" s="29">
        <f>'MModule+onboard_volatile'!M187</f>
        <v>0</v>
      </c>
      <c r="O477" s="29">
        <f>'MModule+onboard_volatile'!N187</f>
        <v>250</v>
      </c>
      <c r="P477" s="29">
        <f>'MModule+onboard_volatile'!P187</f>
        <v>550</v>
      </c>
      <c r="Q477" s="29">
        <f>'MModule+onboard_volatile'!Q187</f>
        <v>700</v>
      </c>
      <c r="R477" s="29">
        <f>'MModule+onboard_volatile'!R187</f>
        <v>450</v>
      </c>
      <c r="S477" s="29">
        <f>'MModule+onboard_volatile'!S187</f>
        <v>600</v>
      </c>
      <c r="T477" s="29">
        <f>'MModule+onboard_volatile'!T187</f>
        <v>450</v>
      </c>
      <c r="U477" s="29">
        <f>'MModule+onboard_volatile'!U187</f>
        <v>550</v>
      </c>
      <c r="V477" s="29">
        <f>'MModule+onboard_volatile'!V187</f>
        <v>550</v>
      </c>
      <c r="W477" s="29">
        <f>'MModule+onboard_volatile'!W187</f>
        <v>0</v>
      </c>
      <c r="X477" s="29">
        <f>'MModule+onboard_volatile'!X187</f>
        <v>0</v>
      </c>
      <c r="Y477" s="29">
        <f>'MModule+onboard_volatile'!Y187</f>
        <v>0</v>
      </c>
      <c r="Z477" s="29" t="e">
        <f>'MModule+onboard_volatile'!#REF!</f>
        <v>#REF!</v>
      </c>
      <c r="AA477" s="29">
        <f>'MModule+onboard_volatile'!Z187</f>
        <v>0</v>
      </c>
      <c r="AB477" s="29">
        <f>'MModule+onboard_volatile'!AA187</f>
        <v>0</v>
      </c>
    </row>
    <row r="478" spans="3:28" s="11" customFormat="1">
      <c r="C478" s="98" t="s">
        <v>26</v>
      </c>
      <c r="D478" s="29">
        <f>'MModule+onboard_volatile'!C188</f>
        <v>0</v>
      </c>
      <c r="E478" s="29">
        <f>'MModule+onboard_volatile'!D188</f>
        <v>0</v>
      </c>
      <c r="F478" s="29">
        <f>'MModule+onboard_volatile'!E188</f>
        <v>0</v>
      </c>
      <c r="G478" s="29" t="str">
        <f>'MModule+onboard_volatile'!F188</f>
        <v>K6502HC</v>
      </c>
      <c r="H478" s="29" t="str">
        <f>'MModule+onboard_volatile'!G188</f>
        <v>Core i9-11900H</v>
      </c>
      <c r="I478" s="29" t="str">
        <f>'MModule+onboard_volatile'!H188</f>
        <v>Imported</v>
      </c>
      <c r="J478" s="29" t="str">
        <f>'MModule+onboard_volatile'!I188</f>
        <v>Asus</v>
      </c>
      <c r="K478" s="29" t="str">
        <f>'MModule+onboard_volatile'!J188</f>
        <v>GPU VRAM</v>
      </c>
      <c r="L478" s="29" t="str">
        <f>'MModule+onboard_volatile'!K188</f>
        <v>V4G</v>
      </c>
      <c r="M478" s="29">
        <f>'MModule+onboard_volatile'!L188</f>
        <v>4</v>
      </c>
      <c r="N478" s="29" t="str">
        <f>'MModule+onboard_volatile'!M188</f>
        <v>03014-00010600
03014-00011300</v>
      </c>
      <c r="O478" s="29">
        <f>'MModule+onboard_volatile'!N188</f>
        <v>1000</v>
      </c>
      <c r="P478" s="29">
        <f>'MModule+onboard_volatile'!P188</f>
        <v>2200</v>
      </c>
      <c r="Q478" s="29">
        <f>'MModule+onboard_volatile'!Q188</f>
        <v>2800</v>
      </c>
      <c r="R478" s="29">
        <f>'MModule+onboard_volatile'!R188</f>
        <v>1800</v>
      </c>
      <c r="S478" s="29">
        <f>'MModule+onboard_volatile'!S188</f>
        <v>2400</v>
      </c>
      <c r="T478" s="29">
        <f>'MModule+onboard_volatile'!T188</f>
        <v>1800</v>
      </c>
      <c r="U478" s="29">
        <f>'MModule+onboard_volatile'!U188</f>
        <v>2200</v>
      </c>
      <c r="V478" s="29">
        <f>'MModule+onboard_volatile'!V188</f>
        <v>2200</v>
      </c>
      <c r="W478" s="29">
        <f>'MModule+onboard_volatile'!W188</f>
        <v>0</v>
      </c>
      <c r="X478" s="29">
        <f>'MModule+onboard_volatile'!X188</f>
        <v>0</v>
      </c>
      <c r="Y478" s="29">
        <f>'MModule+onboard_volatile'!Y188</f>
        <v>0</v>
      </c>
      <c r="Z478" s="29" t="e">
        <f>'MModule+onboard_volatile'!#REF!</f>
        <v>#REF!</v>
      </c>
      <c r="AA478" s="29">
        <f>'MModule+onboard_volatile'!Z188</f>
        <v>17800</v>
      </c>
      <c r="AB478" s="29" t="str">
        <f>'MModule+onboard_volatile'!AA188</f>
        <v>n/a</v>
      </c>
    </row>
    <row r="479" spans="3:28" s="11" customFormat="1">
      <c r="C479" s="98" t="s">
        <v>26</v>
      </c>
      <c r="D479" s="29">
        <f>'MModule+onboard_volatile'!C189</f>
        <v>0</v>
      </c>
      <c r="E479" s="29">
        <f>'MModule+onboard_volatile'!D189</f>
        <v>0</v>
      </c>
      <c r="F479" s="29">
        <f>'MModule+onboard_volatile'!E189</f>
        <v>0</v>
      </c>
      <c r="G479" s="29" t="str">
        <f>'MModule+onboard_volatile'!F189</f>
        <v>K6502HC</v>
      </c>
      <c r="H479" s="29" t="str">
        <f>'MModule+onboard_volatile'!G189</f>
        <v>Core i9-11900H</v>
      </c>
      <c r="I479" s="29" t="str">
        <f>'MModule+onboard_volatile'!H189</f>
        <v>Imported</v>
      </c>
      <c r="J479" s="29" t="str">
        <f>'MModule+onboard_volatile'!I189</f>
        <v>Asus</v>
      </c>
      <c r="K479" s="29" t="str">
        <f>'MModule+onboard_volatile'!J189</f>
        <v>M on board</v>
      </c>
      <c r="L479" s="29" t="str">
        <f>'MModule+onboard_volatile'!K189</f>
        <v>16GB (3200)</v>
      </c>
      <c r="M479" s="29">
        <f>'MModule+onboard_volatile'!L189</f>
        <v>8</v>
      </c>
      <c r="N479" s="29" t="str">
        <f>'MModule+onboard_volatile'!M189</f>
        <v>03012-00041000</v>
      </c>
      <c r="O479" s="29">
        <f>'MModule+onboard_volatile'!N189</f>
        <v>2000</v>
      </c>
      <c r="P479" s="29">
        <f>'MModule+onboard_volatile'!P189</f>
        <v>4400</v>
      </c>
      <c r="Q479" s="29">
        <f>'MModule+onboard_volatile'!Q189</f>
        <v>5600</v>
      </c>
      <c r="R479" s="29">
        <f>'MModule+onboard_volatile'!R189</f>
        <v>3600</v>
      </c>
      <c r="S479" s="29">
        <f>'MModule+onboard_volatile'!S189</f>
        <v>4800</v>
      </c>
      <c r="T479" s="29">
        <f>'MModule+onboard_volatile'!T189</f>
        <v>3600</v>
      </c>
      <c r="U479" s="29">
        <f>'MModule+onboard_volatile'!U189</f>
        <v>4400</v>
      </c>
      <c r="V479" s="29">
        <f>'MModule+onboard_volatile'!V189</f>
        <v>4400</v>
      </c>
      <c r="W479" s="29">
        <f>'MModule+onboard_volatile'!W189</f>
        <v>0</v>
      </c>
      <c r="X479" s="29">
        <f>'MModule+onboard_volatile'!X189</f>
        <v>0</v>
      </c>
      <c r="Y479" s="29">
        <f>'MModule+onboard_volatile'!Y189</f>
        <v>0</v>
      </c>
      <c r="Z479" s="29" t="e">
        <f>'MModule+onboard_volatile'!#REF!</f>
        <v>#REF!</v>
      </c>
      <c r="AA479" s="29">
        <f>'MModule+onboard_volatile'!Z189</f>
        <v>35600</v>
      </c>
      <c r="AB479" s="29" t="str">
        <f>'MModule+onboard_volatile'!AA189</f>
        <v>n/a</v>
      </c>
    </row>
    <row r="480" spans="3:28" s="11" customFormat="1">
      <c r="C480" s="98" t="s">
        <v>26</v>
      </c>
      <c r="D480" s="29">
        <f>'MModule+onboard_volatile'!C190</f>
        <v>0</v>
      </c>
      <c r="E480" s="29">
        <f>'MModule+onboard_volatile'!D190</f>
        <v>0</v>
      </c>
      <c r="F480" s="29">
        <f>'MModule+onboard_volatile'!E190</f>
        <v>0</v>
      </c>
      <c r="G480" s="29" t="str">
        <f>'MModule+onboard_volatile'!F190</f>
        <v>K6502HC</v>
      </c>
      <c r="H480" s="29" t="str">
        <f>'MModule+onboard_volatile'!G190</f>
        <v>Core i9 TGL H45</v>
      </c>
      <c r="I480" s="29" t="str">
        <f>'MModule+onboard_volatile'!H190</f>
        <v>Local</v>
      </c>
      <c r="J480" s="29" t="str">
        <f>'MModule+onboard_volatile'!I190</f>
        <v>TBD</v>
      </c>
      <c r="K480" s="29" t="str">
        <f>'MModule+onboard_volatile'!J190</f>
        <v>M on board</v>
      </c>
      <c r="L480" s="29" t="str">
        <f>'MModule+onboard_volatile'!K190</f>
        <v>16GB</v>
      </c>
      <c r="M480" s="29">
        <f>'MModule+onboard_volatile'!L190</f>
        <v>8</v>
      </c>
      <c r="N480" s="29">
        <f>'MModule+onboard_volatile'!M190</f>
        <v>0</v>
      </c>
      <c r="O480" s="29">
        <f>'MModule+onboard_volatile'!N190</f>
        <v>0</v>
      </c>
      <c r="P480" s="29">
        <f>'MModule+onboard_volatile'!P190</f>
        <v>0</v>
      </c>
      <c r="Q480" s="29">
        <f>'MModule+onboard_volatile'!Q190</f>
        <v>0</v>
      </c>
      <c r="R480" s="29">
        <f>'MModule+onboard_volatile'!R190</f>
        <v>0</v>
      </c>
      <c r="S480" s="29">
        <f>'MModule+onboard_volatile'!S190</f>
        <v>0</v>
      </c>
      <c r="T480" s="29">
        <f>'MModule+onboard_volatile'!T190</f>
        <v>0</v>
      </c>
      <c r="U480" s="29">
        <f>'MModule+onboard_volatile'!U190</f>
        <v>0</v>
      </c>
      <c r="V480" s="29">
        <f>'MModule+onboard_volatile'!V190</f>
        <v>0</v>
      </c>
      <c r="W480" s="29">
        <f>'MModule+onboard_volatile'!W190</f>
        <v>0</v>
      </c>
      <c r="X480" s="29">
        <f>'MModule+onboard_volatile'!X190</f>
        <v>0</v>
      </c>
      <c r="Y480" s="29">
        <f>'MModule+onboard_volatile'!Y190</f>
        <v>0</v>
      </c>
      <c r="Z480" s="29" t="e">
        <f>'MModule+onboard_volatile'!#REF!</f>
        <v>#REF!</v>
      </c>
      <c r="AA480" s="29">
        <f>'MModule+onboard_volatile'!Z190</f>
        <v>0</v>
      </c>
      <c r="AB480" s="29" t="str">
        <f>'MModule+onboard_volatile'!AA190</f>
        <v>n/a</v>
      </c>
    </row>
    <row r="481" spans="3:29" s="11" customFormat="1">
      <c r="C481" s="98" t="s">
        <v>26</v>
      </c>
      <c r="D481" s="29" t="str">
        <f>'MModule+onboard_volatile'!C195</f>
        <v>new</v>
      </c>
      <c r="E481" s="29" t="str">
        <f>'MModule+onboard_volatile'!D195</f>
        <v>FCST</v>
      </c>
      <c r="F481" s="29">
        <f>'MModule+onboard_volatile'!E195</f>
        <v>300</v>
      </c>
      <c r="G481" s="29" t="str">
        <f>'MModule+onboard_volatile'!F195</f>
        <v>M6500RC</v>
      </c>
      <c r="H481" s="29" t="str">
        <f>'MModule+onboard_volatile'!G195</f>
        <v>Ryzen 7-6800H</v>
      </c>
      <c r="I481" s="29">
        <f>'MModule+onboard_volatile'!H195</f>
        <v>0</v>
      </c>
      <c r="J481" s="29">
        <f>'MModule+onboard_volatile'!I195</f>
        <v>0</v>
      </c>
      <c r="K481" s="29">
        <f>'MModule+onboard_volatile'!J195</f>
        <v>0</v>
      </c>
      <c r="L481" s="29" t="str">
        <f>'MModule+onboard_volatile'!K195</f>
        <v>16GB</v>
      </c>
      <c r="M481" s="29">
        <f>'MModule+onboard_volatile'!L195</f>
        <v>0</v>
      </c>
      <c r="N481" s="29">
        <f>'MModule+onboard_volatile'!M195</f>
        <v>0</v>
      </c>
      <c r="O481" s="29">
        <f>'MModule+onboard_volatile'!N195</f>
        <v>0</v>
      </c>
      <c r="P481" s="29">
        <f>'MModule+onboard_volatile'!P195</f>
        <v>0</v>
      </c>
      <c r="Q481" s="29">
        <f>'MModule+onboard_volatile'!Q195</f>
        <v>100</v>
      </c>
      <c r="R481" s="29">
        <f>'MModule+onboard_volatile'!R195</f>
        <v>0</v>
      </c>
      <c r="S481" s="29">
        <f>'MModule+onboard_volatile'!S195</f>
        <v>0</v>
      </c>
      <c r="T481" s="29">
        <f>'MModule+onboard_volatile'!T195</f>
        <v>0</v>
      </c>
      <c r="U481" s="29">
        <f>'MModule+onboard_volatile'!U195</f>
        <v>0</v>
      </c>
      <c r="V481" s="29">
        <f>'MModule+onboard_volatile'!V195</f>
        <v>0</v>
      </c>
      <c r="W481" s="29">
        <f>'MModule+onboard_volatile'!W195</f>
        <v>0</v>
      </c>
      <c r="X481" s="29">
        <f>'MModule+onboard_volatile'!X195</f>
        <v>0</v>
      </c>
      <c r="Y481" s="29">
        <f>'MModule+onboard_volatile'!Y195</f>
        <v>0</v>
      </c>
      <c r="Z481" s="29" t="e">
        <f>'MModule+onboard_volatile'!#REF!</f>
        <v>#REF!</v>
      </c>
      <c r="AA481" s="29">
        <f>'MModule+onboard_volatile'!Z195</f>
        <v>0</v>
      </c>
      <c r="AB481" s="29">
        <f>'MModule+onboard_volatile'!AA195</f>
        <v>0</v>
      </c>
    </row>
    <row r="482" spans="3:29" s="11" customFormat="1">
      <c r="C482" s="98" t="s">
        <v>26</v>
      </c>
      <c r="D482" s="29">
        <f>'MModule+onboard_volatile'!C196</f>
        <v>0</v>
      </c>
      <c r="E482" s="29">
        <f>'MModule+onboard_volatile'!D196</f>
        <v>0</v>
      </c>
      <c r="F482" s="29">
        <f>'MModule+onboard_volatile'!E196</f>
        <v>0</v>
      </c>
      <c r="G482" s="29" t="str">
        <f>'MModule+onboard_volatile'!F196</f>
        <v>M6500RC</v>
      </c>
      <c r="H482" s="29" t="str">
        <f>'MModule+onboard_volatile'!G196</f>
        <v>Ryzen 7-6800H</v>
      </c>
      <c r="I482" s="29" t="str">
        <f>'MModule+onboard_volatile'!H196</f>
        <v>Imported</v>
      </c>
      <c r="J482" s="29" t="str">
        <f>'MModule+onboard_volatile'!I196</f>
        <v>Asus</v>
      </c>
      <c r="K482" s="29" t="str">
        <f>'MModule+onboard_volatile'!J196</f>
        <v>GPU VRAM</v>
      </c>
      <c r="L482" s="29" t="str">
        <f>'MModule+onboard_volatile'!K196</f>
        <v>V4G</v>
      </c>
      <c r="M482" s="29">
        <f>'MModule+onboard_volatile'!L196</f>
        <v>4</v>
      </c>
      <c r="N482" s="29" t="str">
        <f>'MModule+onboard_volatile'!M196</f>
        <v>03014-00010600
03014-00011300</v>
      </c>
      <c r="O482" s="29">
        <f>'MModule+onboard_volatile'!N196</f>
        <v>0</v>
      </c>
      <c r="P482" s="29">
        <f>'MModule+onboard_volatile'!P196</f>
        <v>0</v>
      </c>
      <c r="Q482" s="29">
        <f>'MModule+onboard_volatile'!Q196</f>
        <v>400</v>
      </c>
      <c r="R482" s="29">
        <f>'MModule+onboard_volatile'!R196</f>
        <v>0</v>
      </c>
      <c r="S482" s="29">
        <f>'MModule+onboard_volatile'!S196</f>
        <v>0</v>
      </c>
      <c r="T482" s="29">
        <f>'MModule+onboard_volatile'!T196</f>
        <v>0</v>
      </c>
      <c r="U482" s="29">
        <f>'MModule+onboard_volatile'!U196</f>
        <v>0</v>
      </c>
      <c r="V482" s="29">
        <f>'MModule+onboard_volatile'!V196</f>
        <v>0</v>
      </c>
      <c r="W482" s="29">
        <f>'MModule+onboard_volatile'!W196</f>
        <v>0</v>
      </c>
      <c r="X482" s="29">
        <f>'MModule+onboard_volatile'!X196</f>
        <v>0</v>
      </c>
      <c r="Y482" s="29">
        <f>'MModule+onboard_volatile'!Y196</f>
        <v>0</v>
      </c>
      <c r="Z482" s="29" t="e">
        <f>'MModule+onboard_volatile'!#REF!</f>
        <v>#REF!</v>
      </c>
      <c r="AA482" s="29">
        <f>'MModule+onboard_volatile'!Z196</f>
        <v>1200</v>
      </c>
      <c r="AB482" s="29" t="str">
        <f>'MModule+onboard_volatile'!AA196</f>
        <v>n/a</v>
      </c>
    </row>
    <row r="483" spans="3:29" s="11" customFormat="1">
      <c r="C483" s="98" t="s">
        <v>26</v>
      </c>
      <c r="D483" s="29">
        <f>'MModule+onboard_volatile'!C197</f>
        <v>0</v>
      </c>
      <c r="E483" s="29">
        <f>'MModule+onboard_volatile'!D197</f>
        <v>0</v>
      </c>
      <c r="F483" s="29">
        <f>'MModule+onboard_volatile'!E197</f>
        <v>0</v>
      </c>
      <c r="G483" s="29" t="str">
        <f>'MModule+onboard_volatile'!F197</f>
        <v>M6500RC</v>
      </c>
      <c r="H483" s="29" t="str">
        <f>'MModule+onboard_volatile'!G197</f>
        <v>Ryzen 7-6800H</v>
      </c>
      <c r="I483" s="29" t="str">
        <f>'MModule+onboard_volatile'!H197</f>
        <v>Imported</v>
      </c>
      <c r="J483" s="29" t="str">
        <f>'MModule+onboard_volatile'!I197</f>
        <v>Asus</v>
      </c>
      <c r="K483" s="29" t="str">
        <f>'MModule+onboard_volatile'!J197</f>
        <v>M on board</v>
      </c>
      <c r="L483" s="29" t="str">
        <f>'MModule+onboard_volatile'!K197</f>
        <v>16GB (3200) 
LPDDR5</v>
      </c>
      <c r="M483" s="29">
        <f>'MModule+onboard_volatile'!L197</f>
        <v>4</v>
      </c>
      <c r="N483" s="29" t="str">
        <f>'MModule+onboard_volatile'!M197</f>
        <v>03015-00070000
03015-00070300</v>
      </c>
      <c r="O483" s="29">
        <f>'MModule+onboard_volatile'!N197</f>
        <v>0</v>
      </c>
      <c r="P483" s="29">
        <f>'MModule+onboard_volatile'!P197</f>
        <v>0</v>
      </c>
      <c r="Q483" s="29">
        <f>'MModule+onboard_volatile'!Q197</f>
        <v>400</v>
      </c>
      <c r="R483" s="29">
        <f>'MModule+onboard_volatile'!R197</f>
        <v>0</v>
      </c>
      <c r="S483" s="29">
        <f>'MModule+onboard_volatile'!S197</f>
        <v>0</v>
      </c>
      <c r="T483" s="29">
        <f>'MModule+onboard_volatile'!T197</f>
        <v>0</v>
      </c>
      <c r="U483" s="29">
        <f>'MModule+onboard_volatile'!U197</f>
        <v>0</v>
      </c>
      <c r="V483" s="29">
        <f>'MModule+onboard_volatile'!V197</f>
        <v>0</v>
      </c>
      <c r="W483" s="29">
        <f>'MModule+onboard_volatile'!W197</f>
        <v>0</v>
      </c>
      <c r="X483" s="29">
        <f>'MModule+onboard_volatile'!X197</f>
        <v>0</v>
      </c>
      <c r="Y483" s="29">
        <f>'MModule+onboard_volatile'!Y197</f>
        <v>0</v>
      </c>
      <c r="Z483" s="29" t="e">
        <f>'MModule+onboard_volatile'!#REF!</f>
        <v>#REF!</v>
      </c>
      <c r="AA483" s="29">
        <f>'MModule+onboard_volatile'!Z197</f>
        <v>1200</v>
      </c>
      <c r="AB483" s="29" t="str">
        <f>'MModule+onboard_volatile'!AA197</f>
        <v>n/a</v>
      </c>
    </row>
    <row r="484" spans="3:29">
      <c r="C484" s="98" t="s">
        <v>88</v>
      </c>
      <c r="D484" s="29">
        <f>LocalPacking!C14</f>
        <v>0</v>
      </c>
      <c r="E484" s="29" t="str">
        <f>LocalPacking!G14</f>
        <v>Core i3-1005G1</v>
      </c>
      <c r="F484" s="29" t="str">
        <f>LocalPacking!D14</f>
        <v>FCST</v>
      </c>
      <c r="G484" s="29">
        <f>LocalPacking!E14</f>
        <v>21300</v>
      </c>
      <c r="H484" s="29" t="str">
        <f>LocalPacking!F14</f>
        <v>X515JA</v>
      </c>
      <c r="I484" s="29">
        <f>LocalPacking!H14</f>
        <v>0</v>
      </c>
      <c r="J484" s="29">
        <f>LocalPacking!I14</f>
        <v>0</v>
      </c>
      <c r="K484" s="29">
        <f>LocalPacking!J14</f>
        <v>0</v>
      </c>
      <c r="L484" s="29">
        <f>LocalPacking!K14</f>
        <v>0</v>
      </c>
      <c r="M484" s="29">
        <f>LocalPacking!L14</f>
        <v>0</v>
      </c>
      <c r="N484" s="29">
        <f>LocalPacking!M14</f>
        <v>0</v>
      </c>
      <c r="O484" s="29">
        <f>LocalPacking!N14</f>
        <v>8800</v>
      </c>
      <c r="P484" s="29">
        <f>LocalPacking!P14</f>
        <v>6800</v>
      </c>
      <c r="Q484" s="29">
        <f>LocalPacking!Q14</f>
        <v>0</v>
      </c>
      <c r="R484" s="29">
        <f>LocalPacking!R14</f>
        <v>0</v>
      </c>
      <c r="S484" s="29">
        <f>LocalPacking!S14</f>
        <v>0</v>
      </c>
      <c r="T484" s="29">
        <f>LocalPacking!T14</f>
        <v>0</v>
      </c>
      <c r="U484" s="29">
        <f>LocalPacking!U14</f>
        <v>0</v>
      </c>
      <c r="V484" s="29">
        <f>LocalPacking!V14</f>
        <v>0</v>
      </c>
      <c r="W484" s="29">
        <f>LocalPacking!W14</f>
        <v>0</v>
      </c>
      <c r="X484" s="29">
        <f>LocalPacking!X14</f>
        <v>0</v>
      </c>
      <c r="Y484" s="29">
        <f>LocalPacking!Y14</f>
        <v>0</v>
      </c>
      <c r="Z484" s="29" t="e">
        <f>LocalPacking!#REF!</f>
        <v>#REF!</v>
      </c>
      <c r="AA484" s="29">
        <f>LocalPacking!Z14</f>
        <v>0</v>
      </c>
      <c r="AB484" s="29">
        <f>LocalPacking!AA14</f>
        <v>0</v>
      </c>
      <c r="AC484" s="11"/>
    </row>
    <row r="485" spans="3:29">
      <c r="C485" s="98" t="s">
        <v>88</v>
      </c>
      <c r="D485" s="29">
        <f>LocalPacking!C15</f>
        <v>0</v>
      </c>
      <c r="E485" s="29" t="str">
        <f>LocalPacking!G15</f>
        <v>Core i3-1005G1</v>
      </c>
      <c r="F485" s="29">
        <f>LocalPacking!D15</f>
        <v>0</v>
      </c>
      <c r="G485" s="29">
        <f>LocalPacking!E15</f>
        <v>0</v>
      </c>
      <c r="H485" s="29" t="str">
        <f>LocalPacking!F15</f>
        <v>X515JA</v>
      </c>
      <c r="I485" s="29" t="str">
        <f>LocalPacking!H15</f>
        <v>Imported</v>
      </c>
      <c r="J485" s="29" t="str">
        <f>LocalPacking!I15</f>
        <v>Asus</v>
      </c>
      <c r="K485" s="29" t="str">
        <f>LocalPacking!J15</f>
        <v>Giftbox</v>
      </c>
      <c r="L485" s="29">
        <f>LocalPacking!K15</f>
        <v>0</v>
      </c>
      <c r="M485" s="29">
        <f>LocalPacking!L15</f>
        <v>0</v>
      </c>
      <c r="N485" s="29">
        <f>LocalPacking!M15</f>
        <v>0</v>
      </c>
      <c r="O485" s="29">
        <f>LocalPacking!N15</f>
        <v>0</v>
      </c>
      <c r="P485" s="29">
        <f>LocalPacking!P15</f>
        <v>0</v>
      </c>
      <c r="Q485" s="29">
        <f>LocalPacking!Q15</f>
        <v>0</v>
      </c>
      <c r="R485" s="29">
        <f>LocalPacking!R15</f>
        <v>0</v>
      </c>
      <c r="S485" s="29">
        <f>LocalPacking!S15</f>
        <v>0</v>
      </c>
      <c r="T485" s="29">
        <f>LocalPacking!T15</f>
        <v>0</v>
      </c>
      <c r="U485" s="29">
        <f>LocalPacking!U15</f>
        <v>0</v>
      </c>
      <c r="V485" s="29">
        <f>LocalPacking!V15</f>
        <v>0</v>
      </c>
      <c r="W485" s="29">
        <f>LocalPacking!W15</f>
        <v>0</v>
      </c>
      <c r="X485" s="29">
        <f>LocalPacking!X15</f>
        <v>0</v>
      </c>
      <c r="Y485" s="29">
        <f>LocalPacking!Y15</f>
        <v>0</v>
      </c>
      <c r="Z485" s="29" t="e">
        <f>LocalPacking!#REF!</f>
        <v>#REF!</v>
      </c>
      <c r="AA485" s="29">
        <f>LocalPacking!Z15</f>
        <v>0</v>
      </c>
      <c r="AB485" s="29">
        <f>LocalPacking!AA15</f>
        <v>0</v>
      </c>
      <c r="AC485" s="11"/>
    </row>
    <row r="486" spans="3:29">
      <c r="C486" s="98" t="s">
        <v>88</v>
      </c>
      <c r="D486" s="29">
        <f>LocalPacking!C16</f>
        <v>0</v>
      </c>
      <c r="E486" s="29" t="str">
        <f>LocalPacking!G16</f>
        <v>Core i3-1005G1</v>
      </c>
      <c r="F486" s="29">
        <f>LocalPacking!D16</f>
        <v>0</v>
      </c>
      <c r="G486" s="29">
        <f>LocalPacking!E16</f>
        <v>0</v>
      </c>
      <c r="H486" s="29" t="str">
        <f>LocalPacking!F16</f>
        <v>X515JA</v>
      </c>
      <c r="I486" s="29" t="str">
        <f>LocalPacking!H16</f>
        <v>Local</v>
      </c>
      <c r="J486" s="29" t="str">
        <f>LocalPacking!I16</f>
        <v>Larondine</v>
      </c>
      <c r="K486" s="29" t="str">
        <f>LocalPacking!J16</f>
        <v>Giftbox</v>
      </c>
      <c r="L486" s="29">
        <f>LocalPacking!K16</f>
        <v>0</v>
      </c>
      <c r="M486" s="29">
        <f>LocalPacking!L16</f>
        <v>0</v>
      </c>
      <c r="N486" s="29" t="str">
        <f>LocalPacking!M16</f>
        <v>15000-09107100</v>
      </c>
      <c r="O486" s="29">
        <f>LocalPacking!N16</f>
        <v>8800</v>
      </c>
      <c r="P486" s="29">
        <f>LocalPacking!P16</f>
        <v>6800</v>
      </c>
      <c r="Q486" s="29">
        <f>LocalPacking!Q16</f>
        <v>0</v>
      </c>
      <c r="R486" s="29">
        <f>LocalPacking!R16</f>
        <v>0</v>
      </c>
      <c r="S486" s="29">
        <f>LocalPacking!S16</f>
        <v>0</v>
      </c>
      <c r="T486" s="29">
        <f>LocalPacking!T16</f>
        <v>0</v>
      </c>
      <c r="U486" s="29">
        <f>LocalPacking!U16</f>
        <v>0</v>
      </c>
      <c r="V486" s="29">
        <f>LocalPacking!V16</f>
        <v>0</v>
      </c>
      <c r="W486" s="29">
        <f>LocalPacking!W16</f>
        <v>0</v>
      </c>
      <c r="X486" s="29">
        <f>LocalPacking!X16</f>
        <v>0</v>
      </c>
      <c r="Y486" s="29">
        <f>LocalPacking!Y16</f>
        <v>0</v>
      </c>
      <c r="Z486" s="29" t="e">
        <f>LocalPacking!#REF!</f>
        <v>#REF!</v>
      </c>
      <c r="AA486" s="29">
        <f>LocalPacking!Z16</f>
        <v>21300</v>
      </c>
      <c r="AB486" s="29">
        <f>LocalPacking!AA16</f>
        <v>0</v>
      </c>
      <c r="AC486" s="11"/>
    </row>
    <row r="487" spans="3:29">
      <c r="C487" s="98" t="s">
        <v>88</v>
      </c>
      <c r="D487" s="29">
        <f>LocalPacking!C17</f>
        <v>0</v>
      </c>
      <c r="E487" s="29" t="str">
        <f>LocalPacking!G17</f>
        <v>Core i3-1005G1</v>
      </c>
      <c r="F487" s="29">
        <f>LocalPacking!D17</f>
        <v>0</v>
      </c>
      <c r="G487" s="29">
        <f>LocalPacking!E17</f>
        <v>0</v>
      </c>
      <c r="H487" s="29" t="str">
        <f>LocalPacking!F17</f>
        <v>X515JA</v>
      </c>
      <c r="I487" s="29" t="str">
        <f>LocalPacking!H17</f>
        <v>Local</v>
      </c>
      <c r="J487" s="29" t="str">
        <f>LocalPacking!I17</f>
        <v>Larondine</v>
      </c>
      <c r="K487" s="29" t="str">
        <f>LocalPacking!J17</f>
        <v xml:space="preserve">ACCESSORY BOX </v>
      </c>
      <c r="L487" s="29">
        <f>LocalPacking!K17</f>
        <v>0</v>
      </c>
      <c r="M487" s="29">
        <f>LocalPacking!L17</f>
        <v>0</v>
      </c>
      <c r="N487" s="29" t="str">
        <f>LocalPacking!M17</f>
        <v>15020-03220000</v>
      </c>
      <c r="O487" s="29">
        <f>LocalPacking!N17</f>
        <v>8800</v>
      </c>
      <c r="P487" s="29">
        <f>LocalPacking!P17</f>
        <v>6800</v>
      </c>
      <c r="Q487" s="29">
        <f>LocalPacking!Q17</f>
        <v>0</v>
      </c>
      <c r="R487" s="29">
        <f>LocalPacking!R17</f>
        <v>0</v>
      </c>
      <c r="S487" s="29">
        <f>LocalPacking!S17</f>
        <v>0</v>
      </c>
      <c r="T487" s="29">
        <f>LocalPacking!T17</f>
        <v>0</v>
      </c>
      <c r="U487" s="29">
        <f>LocalPacking!U17</f>
        <v>0</v>
      </c>
      <c r="V487" s="29">
        <f>LocalPacking!V17</f>
        <v>0</v>
      </c>
      <c r="W487" s="29">
        <f>LocalPacking!W17</f>
        <v>0</v>
      </c>
      <c r="X487" s="29">
        <f>LocalPacking!X17</f>
        <v>0</v>
      </c>
      <c r="Y487" s="29">
        <f>LocalPacking!Y17</f>
        <v>0</v>
      </c>
      <c r="Z487" s="29" t="e">
        <f>LocalPacking!#REF!</f>
        <v>#REF!</v>
      </c>
      <c r="AA487" s="29">
        <f>LocalPacking!Z17</f>
        <v>0</v>
      </c>
      <c r="AB487" s="29">
        <f>LocalPacking!AA17</f>
        <v>0</v>
      </c>
      <c r="AC487" s="11"/>
    </row>
    <row r="488" spans="3:29">
      <c r="C488" s="98" t="s">
        <v>88</v>
      </c>
      <c r="D488" s="29">
        <f>LocalPacking!C18</f>
        <v>0</v>
      </c>
      <c r="E488" s="29" t="str">
        <f>LocalPacking!G18</f>
        <v>Core i3-1005G1</v>
      </c>
      <c r="F488" s="29">
        <f>LocalPacking!D18</f>
        <v>0</v>
      </c>
      <c r="G488" s="29">
        <f>LocalPacking!E18</f>
        <v>0</v>
      </c>
      <c r="H488" s="29" t="str">
        <f>LocalPacking!F18</f>
        <v>X515JA</v>
      </c>
      <c r="I488" s="29" t="str">
        <f>LocalPacking!H18</f>
        <v>Local</v>
      </c>
      <c r="J488" s="29" t="str">
        <f>LocalPacking!I18</f>
        <v>Larondine</v>
      </c>
      <c r="K488" s="29" t="str">
        <f>LocalPacking!J18</f>
        <v>EPE</v>
      </c>
      <c r="L488" s="29">
        <f>LocalPacking!K18</f>
        <v>0</v>
      </c>
      <c r="M488" s="29">
        <f>LocalPacking!L18</f>
        <v>2</v>
      </c>
      <c r="N488" s="29" t="str">
        <f>LocalPacking!M18</f>
        <v>15050-04165000</v>
      </c>
      <c r="O488" s="29">
        <f>LocalPacking!N18</f>
        <v>17600</v>
      </c>
      <c r="P488" s="29">
        <f>LocalPacking!P18</f>
        <v>13600</v>
      </c>
      <c r="Q488" s="29">
        <f>LocalPacking!Q18</f>
        <v>0</v>
      </c>
      <c r="R488" s="29">
        <f>LocalPacking!R18</f>
        <v>0</v>
      </c>
      <c r="S488" s="29">
        <f>LocalPacking!S18</f>
        <v>0</v>
      </c>
      <c r="T488" s="29">
        <f>LocalPacking!T18</f>
        <v>0</v>
      </c>
      <c r="U488" s="29">
        <f>LocalPacking!U18</f>
        <v>0</v>
      </c>
      <c r="V488" s="29">
        <f>LocalPacking!V18</f>
        <v>0</v>
      </c>
      <c r="W488" s="29">
        <f>LocalPacking!W18</f>
        <v>0</v>
      </c>
      <c r="X488" s="29">
        <f>LocalPacking!X18</f>
        <v>0</v>
      </c>
      <c r="Y488" s="29">
        <f>LocalPacking!Y18</f>
        <v>0</v>
      </c>
      <c r="Z488" s="29" t="e">
        <f>LocalPacking!#REF!</f>
        <v>#REF!</v>
      </c>
      <c r="AA488" s="29">
        <f>LocalPacking!Z18</f>
        <v>0</v>
      </c>
      <c r="AB488" s="29">
        <f>LocalPacking!AA18</f>
        <v>0</v>
      </c>
      <c r="AC488" s="11"/>
    </row>
    <row r="489" spans="3:29">
      <c r="C489" s="98" t="s">
        <v>88</v>
      </c>
      <c r="D489" s="29">
        <f>LocalPacking!C19</f>
        <v>0</v>
      </c>
      <c r="E489" s="29" t="str">
        <f>LocalPacking!G19</f>
        <v>Core i5-1035G1</v>
      </c>
      <c r="F489" s="29" t="str">
        <f>LocalPacking!D19</f>
        <v>FCST</v>
      </c>
      <c r="G489" s="29">
        <f>LocalPacking!E19</f>
        <v>23050</v>
      </c>
      <c r="H489" s="29" t="str">
        <f>LocalPacking!F19</f>
        <v>X515JA</v>
      </c>
      <c r="I489" s="29">
        <f>LocalPacking!H19</f>
        <v>0</v>
      </c>
      <c r="J489" s="29">
        <f>LocalPacking!I19</f>
        <v>0</v>
      </c>
      <c r="K489" s="29">
        <f>LocalPacking!J19</f>
        <v>0</v>
      </c>
      <c r="L489" s="29">
        <f>LocalPacking!K19</f>
        <v>0</v>
      </c>
      <c r="M489" s="29">
        <f>LocalPacking!L19</f>
        <v>0</v>
      </c>
      <c r="N489" s="29">
        <f>LocalPacking!M19</f>
        <v>0</v>
      </c>
      <c r="O489" s="29">
        <f>LocalPacking!N19</f>
        <v>5500</v>
      </c>
      <c r="P489" s="29">
        <f>LocalPacking!P19</f>
        <v>8000</v>
      </c>
      <c r="Q489" s="29">
        <f>LocalPacking!Q19</f>
        <v>5750</v>
      </c>
      <c r="R489" s="29">
        <f>LocalPacking!R19</f>
        <v>0</v>
      </c>
      <c r="S489" s="29">
        <f>LocalPacking!S19</f>
        <v>0</v>
      </c>
      <c r="T489" s="29">
        <f>LocalPacking!T19</f>
        <v>0</v>
      </c>
      <c r="U489" s="29">
        <f>LocalPacking!U19</f>
        <v>0</v>
      </c>
      <c r="V489" s="29">
        <f>LocalPacking!V19</f>
        <v>0</v>
      </c>
      <c r="W489" s="29">
        <f>LocalPacking!W19</f>
        <v>0</v>
      </c>
      <c r="X489" s="29">
        <f>LocalPacking!X19</f>
        <v>0</v>
      </c>
      <c r="Y489" s="29">
        <f>LocalPacking!Y19</f>
        <v>0</v>
      </c>
      <c r="Z489" s="29" t="e">
        <f>LocalPacking!#REF!</f>
        <v>#REF!</v>
      </c>
      <c r="AA489" s="29">
        <f>LocalPacking!Z19</f>
        <v>0</v>
      </c>
      <c r="AB489" s="29">
        <f>LocalPacking!AA19</f>
        <v>0</v>
      </c>
      <c r="AC489" s="11"/>
    </row>
    <row r="490" spans="3:29">
      <c r="C490" s="98" t="s">
        <v>88</v>
      </c>
      <c r="D490" s="29">
        <f>LocalPacking!C20</f>
        <v>0</v>
      </c>
      <c r="E490" s="29" t="str">
        <f>LocalPacking!G20</f>
        <v>Core i5-1035G1</v>
      </c>
      <c r="F490" s="29">
        <f>LocalPacking!D20</f>
        <v>0</v>
      </c>
      <c r="G490" s="29">
        <f>LocalPacking!E20</f>
        <v>0</v>
      </c>
      <c r="H490" s="29" t="str">
        <f>LocalPacking!F20</f>
        <v>X515JA</v>
      </c>
      <c r="I490" s="29" t="str">
        <f>LocalPacking!H20</f>
        <v>Imported</v>
      </c>
      <c r="J490" s="29" t="str">
        <f>LocalPacking!I20</f>
        <v>Asus</v>
      </c>
      <c r="K490" s="29" t="str">
        <f>LocalPacking!J20</f>
        <v>Giftbox</v>
      </c>
      <c r="L490" s="29">
        <f>LocalPacking!K20</f>
        <v>0</v>
      </c>
      <c r="M490" s="29">
        <f>LocalPacking!L20</f>
        <v>0</v>
      </c>
      <c r="N490" s="29">
        <f>LocalPacking!M20</f>
        <v>0</v>
      </c>
      <c r="O490" s="29">
        <f>LocalPacking!N20</f>
        <v>0</v>
      </c>
      <c r="P490" s="29">
        <f>LocalPacking!P20</f>
        <v>0</v>
      </c>
      <c r="Q490" s="29">
        <f>LocalPacking!Q20</f>
        <v>0</v>
      </c>
      <c r="R490" s="29">
        <f>LocalPacking!R20</f>
        <v>0</v>
      </c>
      <c r="S490" s="29">
        <f>LocalPacking!S20</f>
        <v>0</v>
      </c>
      <c r="T490" s="29">
        <f>LocalPacking!T20</f>
        <v>0</v>
      </c>
      <c r="U490" s="29">
        <f>LocalPacking!U20</f>
        <v>0</v>
      </c>
      <c r="V490" s="29">
        <f>LocalPacking!V20</f>
        <v>0</v>
      </c>
      <c r="W490" s="29">
        <f>LocalPacking!W20</f>
        <v>0</v>
      </c>
      <c r="X490" s="29">
        <f>LocalPacking!X20</f>
        <v>0</v>
      </c>
      <c r="Y490" s="29">
        <f>LocalPacking!Y20</f>
        <v>0</v>
      </c>
      <c r="Z490" s="29" t="e">
        <f>LocalPacking!#REF!</f>
        <v>#REF!</v>
      </c>
      <c r="AA490" s="29">
        <f>LocalPacking!Z20</f>
        <v>0</v>
      </c>
      <c r="AB490" s="29">
        <f>LocalPacking!AA20</f>
        <v>0</v>
      </c>
      <c r="AC490" s="11"/>
    </row>
    <row r="491" spans="3:29">
      <c r="C491" s="98" t="s">
        <v>88</v>
      </c>
      <c r="D491" s="29">
        <f>LocalPacking!C21</f>
        <v>0</v>
      </c>
      <c r="E491" s="29" t="str">
        <f>LocalPacking!G21</f>
        <v>Core i5-1035G1</v>
      </c>
      <c r="F491" s="29">
        <f>LocalPacking!D21</f>
        <v>0</v>
      </c>
      <c r="G491" s="29">
        <f>LocalPacking!E21</f>
        <v>0</v>
      </c>
      <c r="H491" s="29" t="str">
        <f>LocalPacking!F21</f>
        <v>X515JA</v>
      </c>
      <c r="I491" s="29" t="str">
        <f>LocalPacking!H21</f>
        <v>Local</v>
      </c>
      <c r="J491" s="29" t="str">
        <f>LocalPacking!I21</f>
        <v>Larondine</v>
      </c>
      <c r="K491" s="29" t="str">
        <f>LocalPacking!J21</f>
        <v>Giftbox</v>
      </c>
      <c r="L491" s="29">
        <f>LocalPacking!K21</f>
        <v>0</v>
      </c>
      <c r="M491" s="29">
        <f>LocalPacking!L21</f>
        <v>0</v>
      </c>
      <c r="N491" s="29" t="str">
        <f>LocalPacking!M21</f>
        <v>15000-09107100</v>
      </c>
      <c r="O491" s="29">
        <f>LocalPacking!N21</f>
        <v>5500</v>
      </c>
      <c r="P491" s="29">
        <f>LocalPacking!P21</f>
        <v>8000</v>
      </c>
      <c r="Q491" s="29">
        <f>LocalPacking!Q21</f>
        <v>5750</v>
      </c>
      <c r="R491" s="29">
        <f>LocalPacking!R21</f>
        <v>0</v>
      </c>
      <c r="S491" s="29">
        <f>LocalPacking!S21</f>
        <v>0</v>
      </c>
      <c r="T491" s="29">
        <f>LocalPacking!T21</f>
        <v>0</v>
      </c>
      <c r="U491" s="29">
        <f>LocalPacking!U21</f>
        <v>0</v>
      </c>
      <c r="V491" s="29">
        <f>LocalPacking!V21</f>
        <v>0</v>
      </c>
      <c r="W491" s="29">
        <f>LocalPacking!W21</f>
        <v>0</v>
      </c>
      <c r="X491" s="29">
        <f>LocalPacking!X21</f>
        <v>0</v>
      </c>
      <c r="Y491" s="29">
        <f>LocalPacking!Y21</f>
        <v>0</v>
      </c>
      <c r="Z491" s="29" t="e">
        <f>LocalPacking!#REF!</f>
        <v>#REF!</v>
      </c>
      <c r="AA491" s="29">
        <f>LocalPacking!Z21</f>
        <v>23050</v>
      </c>
      <c r="AB491" s="29">
        <f>LocalPacking!AA21</f>
        <v>0</v>
      </c>
      <c r="AC491" s="11"/>
    </row>
    <row r="492" spans="3:29">
      <c r="C492" s="98" t="s">
        <v>88</v>
      </c>
      <c r="D492" s="29">
        <f>LocalPacking!C22</f>
        <v>0</v>
      </c>
      <c r="E492" s="29" t="str">
        <f>LocalPacking!G22</f>
        <v>Core i5-1035G1</v>
      </c>
      <c r="F492" s="29">
        <f>LocalPacking!D22</f>
        <v>0</v>
      </c>
      <c r="G492" s="29">
        <f>LocalPacking!E22</f>
        <v>0</v>
      </c>
      <c r="H492" s="29" t="str">
        <f>LocalPacking!F22</f>
        <v>X515JA</v>
      </c>
      <c r="I492" s="29" t="str">
        <f>LocalPacking!H22</f>
        <v>Local</v>
      </c>
      <c r="J492" s="29" t="str">
        <f>LocalPacking!I22</f>
        <v>Larondine</v>
      </c>
      <c r="K492" s="29" t="str">
        <f>LocalPacking!J22</f>
        <v xml:space="preserve">ACCESSORY BOX </v>
      </c>
      <c r="L492" s="29">
        <f>LocalPacking!K22</f>
        <v>0</v>
      </c>
      <c r="M492" s="29">
        <f>LocalPacking!L22</f>
        <v>0</v>
      </c>
      <c r="N492" s="29" t="str">
        <f>LocalPacking!M22</f>
        <v>15020-03220000</v>
      </c>
      <c r="O492" s="29">
        <f>LocalPacking!N22</f>
        <v>5500</v>
      </c>
      <c r="P492" s="29">
        <f>LocalPacking!P22</f>
        <v>8000</v>
      </c>
      <c r="Q492" s="29">
        <f>LocalPacking!Q22</f>
        <v>5750</v>
      </c>
      <c r="R492" s="29">
        <f>LocalPacking!R22</f>
        <v>0</v>
      </c>
      <c r="S492" s="29">
        <f>LocalPacking!S22</f>
        <v>0</v>
      </c>
      <c r="T492" s="29">
        <f>LocalPacking!T22</f>
        <v>0</v>
      </c>
      <c r="U492" s="29">
        <f>LocalPacking!U22</f>
        <v>0</v>
      </c>
      <c r="V492" s="29">
        <f>LocalPacking!V22</f>
        <v>0</v>
      </c>
      <c r="W492" s="29">
        <f>LocalPacking!W22</f>
        <v>0</v>
      </c>
      <c r="X492" s="29">
        <f>LocalPacking!X22</f>
        <v>0</v>
      </c>
      <c r="Y492" s="29">
        <f>LocalPacking!Y22</f>
        <v>0</v>
      </c>
      <c r="Z492" s="29" t="e">
        <f>LocalPacking!#REF!</f>
        <v>#REF!</v>
      </c>
      <c r="AA492" s="29">
        <f>LocalPacking!Z22</f>
        <v>0</v>
      </c>
      <c r="AB492" s="29">
        <f>LocalPacking!AA22</f>
        <v>0</v>
      </c>
      <c r="AC492" s="11"/>
    </row>
    <row r="493" spans="3:29">
      <c r="C493" s="98" t="s">
        <v>88</v>
      </c>
      <c r="D493" s="29">
        <f>LocalPacking!C23</f>
        <v>0</v>
      </c>
      <c r="E493" s="29" t="str">
        <f>LocalPacking!G23</f>
        <v>Core i5-1035G1</v>
      </c>
      <c r="F493" s="29">
        <f>LocalPacking!D23</f>
        <v>0</v>
      </c>
      <c r="G493" s="29">
        <f>LocalPacking!E23</f>
        <v>0</v>
      </c>
      <c r="H493" s="29" t="str">
        <f>LocalPacking!F23</f>
        <v>X515JA</v>
      </c>
      <c r="I493" s="29" t="str">
        <f>LocalPacking!H23</f>
        <v>Local</v>
      </c>
      <c r="J493" s="29" t="str">
        <f>LocalPacking!I23</f>
        <v>Larondine</v>
      </c>
      <c r="K493" s="29" t="str">
        <f>LocalPacking!J23</f>
        <v>EPE</v>
      </c>
      <c r="L493" s="29">
        <f>LocalPacking!K23</f>
        <v>0</v>
      </c>
      <c r="M493" s="29">
        <f>LocalPacking!L23</f>
        <v>2</v>
      </c>
      <c r="N493" s="29" t="str">
        <f>LocalPacking!M23</f>
        <v>15050-04165000</v>
      </c>
      <c r="O493" s="29">
        <f>LocalPacking!N23</f>
        <v>11000</v>
      </c>
      <c r="P493" s="29">
        <f>LocalPacking!P23</f>
        <v>16000</v>
      </c>
      <c r="Q493" s="29">
        <f>LocalPacking!Q23</f>
        <v>11500</v>
      </c>
      <c r="R493" s="29">
        <f>LocalPacking!R23</f>
        <v>0</v>
      </c>
      <c r="S493" s="29">
        <f>LocalPacking!S23</f>
        <v>0</v>
      </c>
      <c r="T493" s="29">
        <f>LocalPacking!T23</f>
        <v>0</v>
      </c>
      <c r="U493" s="29">
        <f>LocalPacking!U23</f>
        <v>0</v>
      </c>
      <c r="V493" s="29">
        <f>LocalPacking!V23</f>
        <v>0</v>
      </c>
      <c r="W493" s="29">
        <f>LocalPacking!W23</f>
        <v>0</v>
      </c>
      <c r="X493" s="29">
        <f>LocalPacking!X23</f>
        <v>0</v>
      </c>
      <c r="Y493" s="29">
        <f>LocalPacking!Y23</f>
        <v>0</v>
      </c>
      <c r="Z493" s="29" t="e">
        <f>LocalPacking!#REF!</f>
        <v>#REF!</v>
      </c>
      <c r="AA493" s="29">
        <f>LocalPacking!Z23</f>
        <v>0</v>
      </c>
      <c r="AB493" s="29">
        <f>LocalPacking!AA23</f>
        <v>0</v>
      </c>
      <c r="AC493" s="11"/>
    </row>
    <row r="494" spans="3:29">
      <c r="C494" s="98" t="s">
        <v>88</v>
      </c>
      <c r="D494" s="29">
        <f>LocalPacking!C24</f>
        <v>0</v>
      </c>
      <c r="E494" s="29" t="str">
        <f>LocalPacking!G24</f>
        <v>Core i5-1035G1</v>
      </c>
      <c r="F494" s="29" t="str">
        <f>LocalPacking!D24</f>
        <v>FCST</v>
      </c>
      <c r="G494" s="29">
        <f>LocalPacking!E24</f>
        <v>2800</v>
      </c>
      <c r="H494" s="29" t="str">
        <f>LocalPacking!F24</f>
        <v>X515JF</v>
      </c>
      <c r="I494" s="29">
        <f>LocalPacking!H24</f>
        <v>0</v>
      </c>
      <c r="J494" s="29">
        <f>LocalPacking!I24</f>
        <v>0</v>
      </c>
      <c r="K494" s="29">
        <f>LocalPacking!J24</f>
        <v>0</v>
      </c>
      <c r="L494" s="29">
        <f>LocalPacking!K24</f>
        <v>0</v>
      </c>
      <c r="M494" s="29">
        <f>LocalPacking!L24</f>
        <v>0</v>
      </c>
      <c r="N494" s="29">
        <f>LocalPacking!M24</f>
        <v>0</v>
      </c>
      <c r="O494" s="29">
        <f>LocalPacking!N24</f>
        <v>700</v>
      </c>
      <c r="P494" s="29">
        <f>LocalPacking!P24</f>
        <v>1050</v>
      </c>
      <c r="Q494" s="29">
        <f>LocalPacking!Q24</f>
        <v>0</v>
      </c>
      <c r="R494" s="29">
        <f>LocalPacking!R24</f>
        <v>0</v>
      </c>
      <c r="S494" s="29">
        <f>LocalPacking!S24</f>
        <v>0</v>
      </c>
      <c r="T494" s="29">
        <f>LocalPacking!T24</f>
        <v>0</v>
      </c>
      <c r="U494" s="29">
        <f>LocalPacking!U24</f>
        <v>0</v>
      </c>
      <c r="V494" s="29">
        <f>LocalPacking!V24</f>
        <v>0</v>
      </c>
      <c r="W494" s="29">
        <f>LocalPacking!W24</f>
        <v>0</v>
      </c>
      <c r="X494" s="29">
        <f>LocalPacking!X24</f>
        <v>0</v>
      </c>
      <c r="Y494" s="29">
        <f>LocalPacking!Y24</f>
        <v>0</v>
      </c>
      <c r="Z494" s="29" t="e">
        <f>LocalPacking!#REF!</f>
        <v>#REF!</v>
      </c>
      <c r="AA494" s="29">
        <f>LocalPacking!Z24</f>
        <v>0</v>
      </c>
      <c r="AB494" s="29">
        <f>LocalPacking!AA24</f>
        <v>0</v>
      </c>
      <c r="AC494" s="11"/>
    </row>
    <row r="495" spans="3:29">
      <c r="C495" s="98" t="s">
        <v>88</v>
      </c>
      <c r="D495" s="29">
        <f>LocalPacking!C25</f>
        <v>0</v>
      </c>
      <c r="E495" s="29" t="str">
        <f>LocalPacking!G25</f>
        <v>Core i5-1035G1</v>
      </c>
      <c r="F495" s="29">
        <f>LocalPacking!D25</f>
        <v>0</v>
      </c>
      <c r="G495" s="29">
        <f>LocalPacking!E25</f>
        <v>0</v>
      </c>
      <c r="H495" s="29" t="str">
        <f>LocalPacking!F25</f>
        <v>X515JF</v>
      </c>
      <c r="I495" s="29" t="str">
        <f>LocalPacking!H25</f>
        <v>Imported</v>
      </c>
      <c r="J495" s="29" t="str">
        <f>LocalPacking!I25</f>
        <v>Asus</v>
      </c>
      <c r="K495" s="29" t="str">
        <f>LocalPacking!J25</f>
        <v>Giftbox</v>
      </c>
      <c r="L495" s="29">
        <f>LocalPacking!K25</f>
        <v>0</v>
      </c>
      <c r="M495" s="29">
        <f>LocalPacking!L25</f>
        <v>0</v>
      </c>
      <c r="N495" s="29">
        <f>LocalPacking!M25</f>
        <v>0</v>
      </c>
      <c r="O495" s="29">
        <f>LocalPacking!N25</f>
        <v>0</v>
      </c>
      <c r="P495" s="29">
        <f>LocalPacking!P25</f>
        <v>0</v>
      </c>
      <c r="Q495" s="29">
        <f>LocalPacking!Q25</f>
        <v>0</v>
      </c>
      <c r="R495" s="29">
        <f>LocalPacking!R25</f>
        <v>0</v>
      </c>
      <c r="S495" s="29">
        <f>LocalPacking!S25</f>
        <v>0</v>
      </c>
      <c r="T495" s="29">
        <f>LocalPacking!T25</f>
        <v>0</v>
      </c>
      <c r="U495" s="29">
        <f>LocalPacking!U25</f>
        <v>0</v>
      </c>
      <c r="V495" s="29">
        <f>LocalPacking!V25</f>
        <v>0</v>
      </c>
      <c r="W495" s="29">
        <f>LocalPacking!W25</f>
        <v>0</v>
      </c>
      <c r="X495" s="29">
        <f>LocalPacking!X25</f>
        <v>0</v>
      </c>
      <c r="Y495" s="29">
        <f>LocalPacking!Y25</f>
        <v>0</v>
      </c>
      <c r="Z495" s="29" t="e">
        <f>LocalPacking!#REF!</f>
        <v>#REF!</v>
      </c>
      <c r="AA495" s="29">
        <f>LocalPacking!Z25</f>
        <v>0</v>
      </c>
      <c r="AB495" s="29">
        <f>LocalPacking!AA25</f>
        <v>0</v>
      </c>
      <c r="AC495" s="11"/>
    </row>
    <row r="496" spans="3:29">
      <c r="C496" s="98" t="s">
        <v>88</v>
      </c>
      <c r="D496" s="29">
        <f>LocalPacking!C26</f>
        <v>0</v>
      </c>
      <c r="E496" s="29" t="str">
        <f>LocalPacking!G26</f>
        <v>Core i5-1035G1</v>
      </c>
      <c r="F496" s="29">
        <f>LocalPacking!D26</f>
        <v>0</v>
      </c>
      <c r="G496" s="29">
        <f>LocalPacking!E26</f>
        <v>0</v>
      </c>
      <c r="H496" s="29" t="str">
        <f>LocalPacking!F26</f>
        <v>X515JF</v>
      </c>
      <c r="I496" s="29" t="str">
        <f>LocalPacking!H26</f>
        <v>Local</v>
      </c>
      <c r="J496" s="29" t="str">
        <f>LocalPacking!I26</f>
        <v>Larondine</v>
      </c>
      <c r="K496" s="29" t="str">
        <f>LocalPacking!J26</f>
        <v>Giftbox</v>
      </c>
      <c r="L496" s="29">
        <f>LocalPacking!K26</f>
        <v>0</v>
      </c>
      <c r="M496" s="29">
        <f>LocalPacking!L26</f>
        <v>0</v>
      </c>
      <c r="N496" s="29" t="str">
        <f>LocalPacking!M26</f>
        <v>15000-09107100</v>
      </c>
      <c r="O496" s="29">
        <f>LocalPacking!N26</f>
        <v>700</v>
      </c>
      <c r="P496" s="29">
        <f>LocalPacking!P26</f>
        <v>1050</v>
      </c>
      <c r="Q496" s="29">
        <f>LocalPacking!Q26</f>
        <v>0</v>
      </c>
      <c r="R496" s="29">
        <f>LocalPacking!R26</f>
        <v>0</v>
      </c>
      <c r="S496" s="29">
        <f>LocalPacking!S26</f>
        <v>0</v>
      </c>
      <c r="T496" s="29">
        <f>LocalPacking!T26</f>
        <v>0</v>
      </c>
      <c r="U496" s="29">
        <f>LocalPacking!U26</f>
        <v>0</v>
      </c>
      <c r="V496" s="29">
        <f>LocalPacking!V26</f>
        <v>0</v>
      </c>
      <c r="W496" s="29">
        <f>LocalPacking!W26</f>
        <v>0</v>
      </c>
      <c r="X496" s="29">
        <f>LocalPacking!X26</f>
        <v>0</v>
      </c>
      <c r="Y496" s="29">
        <f>LocalPacking!Y26</f>
        <v>0</v>
      </c>
      <c r="Z496" s="29" t="e">
        <f>LocalPacking!#REF!</f>
        <v>#REF!</v>
      </c>
      <c r="AA496" s="29">
        <f>LocalPacking!Z26</f>
        <v>2800</v>
      </c>
      <c r="AB496" s="29">
        <f>LocalPacking!AA26</f>
        <v>0</v>
      </c>
      <c r="AC496" s="11"/>
    </row>
    <row r="497" spans="3:29">
      <c r="C497" s="98" t="s">
        <v>88</v>
      </c>
      <c r="D497" s="29">
        <f>LocalPacking!C27</f>
        <v>0</v>
      </c>
      <c r="E497" s="29" t="str">
        <f>LocalPacking!G27</f>
        <v>Core i5-1035G1</v>
      </c>
      <c r="F497" s="29">
        <f>LocalPacking!D27</f>
        <v>0</v>
      </c>
      <c r="G497" s="29">
        <f>LocalPacking!E27</f>
        <v>0</v>
      </c>
      <c r="H497" s="29" t="str">
        <f>LocalPacking!F27</f>
        <v>X515JF</v>
      </c>
      <c r="I497" s="29" t="str">
        <f>LocalPacking!H27</f>
        <v>Local</v>
      </c>
      <c r="J497" s="29" t="str">
        <f>LocalPacking!I27</f>
        <v>Larondine</v>
      </c>
      <c r="K497" s="29" t="str">
        <f>LocalPacking!J27</f>
        <v xml:space="preserve">ACCESSORY BOX </v>
      </c>
      <c r="L497" s="29">
        <f>LocalPacking!K27</f>
        <v>0</v>
      </c>
      <c r="M497" s="29">
        <f>LocalPacking!L27</f>
        <v>0</v>
      </c>
      <c r="N497" s="29" t="str">
        <f>LocalPacking!M27</f>
        <v>15020-03220000</v>
      </c>
      <c r="O497" s="29">
        <f>LocalPacking!N27</f>
        <v>700</v>
      </c>
      <c r="P497" s="29">
        <f>LocalPacking!P27</f>
        <v>1050</v>
      </c>
      <c r="Q497" s="29">
        <f>LocalPacking!Q27</f>
        <v>0</v>
      </c>
      <c r="R497" s="29">
        <f>LocalPacking!R27</f>
        <v>0</v>
      </c>
      <c r="S497" s="29">
        <f>LocalPacking!S27</f>
        <v>0</v>
      </c>
      <c r="T497" s="29">
        <f>LocalPacking!T27</f>
        <v>0</v>
      </c>
      <c r="U497" s="29">
        <f>LocalPacking!U27</f>
        <v>0</v>
      </c>
      <c r="V497" s="29">
        <f>LocalPacking!V27</f>
        <v>0</v>
      </c>
      <c r="W497" s="29">
        <f>LocalPacking!W27</f>
        <v>0</v>
      </c>
      <c r="X497" s="29">
        <f>LocalPacking!X27</f>
        <v>0</v>
      </c>
      <c r="Y497" s="29">
        <f>LocalPacking!Y27</f>
        <v>0</v>
      </c>
      <c r="Z497" s="29" t="e">
        <f>LocalPacking!#REF!</f>
        <v>#REF!</v>
      </c>
      <c r="AA497" s="29">
        <f>LocalPacking!Z27</f>
        <v>0</v>
      </c>
      <c r="AB497" s="29">
        <f>LocalPacking!AA27</f>
        <v>0</v>
      </c>
      <c r="AC497" s="11"/>
    </row>
    <row r="498" spans="3:29">
      <c r="C498" s="98" t="s">
        <v>88</v>
      </c>
      <c r="D498" s="29">
        <f>LocalPacking!C28</f>
        <v>0</v>
      </c>
      <c r="E498" s="29" t="str">
        <f>LocalPacking!G28</f>
        <v>Core i5-1035G1</v>
      </c>
      <c r="F498" s="29">
        <f>LocalPacking!D28</f>
        <v>0</v>
      </c>
      <c r="G498" s="29">
        <f>LocalPacking!E28</f>
        <v>0</v>
      </c>
      <c r="H498" s="29" t="str">
        <f>LocalPacking!F28</f>
        <v>X515JF</v>
      </c>
      <c r="I498" s="29" t="str">
        <f>LocalPacking!H28</f>
        <v>Local</v>
      </c>
      <c r="J498" s="29" t="str">
        <f>LocalPacking!I28</f>
        <v>Larondine</v>
      </c>
      <c r="K498" s="29" t="str">
        <f>LocalPacking!J28</f>
        <v>EPE</v>
      </c>
      <c r="L498" s="29">
        <f>LocalPacking!K28</f>
        <v>0</v>
      </c>
      <c r="M498" s="29">
        <f>LocalPacking!L28</f>
        <v>2</v>
      </c>
      <c r="N498" s="29" t="str">
        <f>LocalPacking!M28</f>
        <v>15050-04165000</v>
      </c>
      <c r="O498" s="29">
        <f>LocalPacking!N28</f>
        <v>1400</v>
      </c>
      <c r="P498" s="29">
        <f>LocalPacking!P28</f>
        <v>2100</v>
      </c>
      <c r="Q498" s="29">
        <f>LocalPacking!Q28</f>
        <v>0</v>
      </c>
      <c r="R498" s="29">
        <f>LocalPacking!R28</f>
        <v>0</v>
      </c>
      <c r="S498" s="29">
        <f>LocalPacking!S28</f>
        <v>0</v>
      </c>
      <c r="T498" s="29">
        <f>LocalPacking!T28</f>
        <v>0</v>
      </c>
      <c r="U498" s="29">
        <f>LocalPacking!U28</f>
        <v>0</v>
      </c>
      <c r="V498" s="29">
        <f>LocalPacking!V28</f>
        <v>0</v>
      </c>
      <c r="W498" s="29">
        <f>LocalPacking!W28</f>
        <v>0</v>
      </c>
      <c r="X498" s="29">
        <f>LocalPacking!X28</f>
        <v>0</v>
      </c>
      <c r="Y498" s="29">
        <f>LocalPacking!Y28</f>
        <v>0</v>
      </c>
      <c r="Z498" s="29" t="e">
        <f>LocalPacking!#REF!</f>
        <v>#REF!</v>
      </c>
      <c r="AA498" s="29">
        <f>LocalPacking!Z28</f>
        <v>0</v>
      </c>
      <c r="AB498" s="29">
        <f>LocalPacking!AA28</f>
        <v>0</v>
      </c>
      <c r="AC498" s="11"/>
    </row>
    <row r="499" spans="3:29">
      <c r="C499" s="98" t="s">
        <v>88</v>
      </c>
      <c r="D499" s="29">
        <f>LocalPacking!C29</f>
        <v>0</v>
      </c>
      <c r="E499" s="29" t="str">
        <f>LocalPacking!G29</f>
        <v>Core I3-1115G4</v>
      </c>
      <c r="F499" s="29" t="str">
        <f>LocalPacking!D29</f>
        <v>FCST</v>
      </c>
      <c r="G499" s="29">
        <f>LocalPacking!E29</f>
        <v>0</v>
      </c>
      <c r="H499" s="29" t="str">
        <f>LocalPacking!F29</f>
        <v>X515EA</v>
      </c>
      <c r="I499" s="29">
        <f>LocalPacking!H29</f>
        <v>0</v>
      </c>
      <c r="J499" s="29">
        <f>LocalPacking!I29</f>
        <v>0</v>
      </c>
      <c r="K499" s="29">
        <f>LocalPacking!J29</f>
        <v>0</v>
      </c>
      <c r="L499" s="29">
        <f>LocalPacking!K29</f>
        <v>0</v>
      </c>
      <c r="M499" s="29">
        <f>LocalPacking!L29</f>
        <v>0</v>
      </c>
      <c r="N499" s="29">
        <f>LocalPacking!M29</f>
        <v>0</v>
      </c>
      <c r="O499" s="29">
        <f>LocalPacking!N29</f>
        <v>0</v>
      </c>
      <c r="P499" s="29">
        <f>LocalPacking!P29</f>
        <v>0</v>
      </c>
      <c r="Q499" s="29">
        <f>LocalPacking!Q29</f>
        <v>0</v>
      </c>
      <c r="R499" s="29">
        <f>LocalPacking!R29</f>
        <v>0</v>
      </c>
      <c r="S499" s="29">
        <f>LocalPacking!S29</f>
        <v>0</v>
      </c>
      <c r="T499" s="29">
        <f>LocalPacking!T29</f>
        <v>0</v>
      </c>
      <c r="U499" s="29">
        <f>LocalPacking!U29</f>
        <v>0</v>
      </c>
      <c r="V499" s="29">
        <f>LocalPacking!V29</f>
        <v>0</v>
      </c>
      <c r="W499" s="29">
        <f>LocalPacking!W29</f>
        <v>0</v>
      </c>
      <c r="X499" s="29">
        <f>LocalPacking!X29</f>
        <v>0</v>
      </c>
      <c r="Y499" s="29">
        <f>LocalPacking!Y29</f>
        <v>0</v>
      </c>
      <c r="Z499" s="29" t="e">
        <f>LocalPacking!#REF!</f>
        <v>#REF!</v>
      </c>
      <c r="AA499" s="29">
        <f>LocalPacking!Z29</f>
        <v>0</v>
      </c>
      <c r="AB499" s="29">
        <f>LocalPacking!AA29</f>
        <v>0</v>
      </c>
      <c r="AC499" s="11"/>
    </row>
    <row r="500" spans="3:29">
      <c r="C500" s="98" t="s">
        <v>88</v>
      </c>
      <c r="D500" s="29">
        <f>LocalPacking!C30</f>
        <v>0</v>
      </c>
      <c r="E500" s="29" t="str">
        <f>LocalPacking!G30</f>
        <v>Core I3-1115G4</v>
      </c>
      <c r="F500" s="29">
        <f>LocalPacking!D30</f>
        <v>0</v>
      </c>
      <c r="G500" s="29">
        <f>LocalPacking!E30</f>
        <v>0</v>
      </c>
      <c r="H500" s="29" t="str">
        <f>LocalPacking!F30</f>
        <v>X515EA</v>
      </c>
      <c r="I500" s="29" t="str">
        <f>LocalPacking!H30</f>
        <v>Imported</v>
      </c>
      <c r="J500" s="29" t="str">
        <f>LocalPacking!I30</f>
        <v>Asus</v>
      </c>
      <c r="K500" s="29" t="str">
        <f>LocalPacking!J30</f>
        <v>Giftbox</v>
      </c>
      <c r="L500" s="29">
        <f>LocalPacking!K30</f>
        <v>0</v>
      </c>
      <c r="M500" s="29">
        <f>LocalPacking!L30</f>
        <v>0</v>
      </c>
      <c r="N500" s="29">
        <f>LocalPacking!M30</f>
        <v>0</v>
      </c>
      <c r="O500" s="29">
        <f>LocalPacking!N30</f>
        <v>0</v>
      </c>
      <c r="P500" s="29">
        <f>LocalPacking!P30</f>
        <v>0</v>
      </c>
      <c r="Q500" s="29">
        <f>LocalPacking!Q30</f>
        <v>0</v>
      </c>
      <c r="R500" s="29">
        <f>LocalPacking!R30</f>
        <v>0</v>
      </c>
      <c r="S500" s="29">
        <f>LocalPacking!S30</f>
        <v>0</v>
      </c>
      <c r="T500" s="29">
        <f>LocalPacking!T30</f>
        <v>0</v>
      </c>
      <c r="U500" s="29">
        <f>LocalPacking!U30</f>
        <v>0</v>
      </c>
      <c r="V500" s="29">
        <f>LocalPacking!V30</f>
        <v>0</v>
      </c>
      <c r="W500" s="29">
        <f>LocalPacking!W30</f>
        <v>0</v>
      </c>
      <c r="X500" s="29">
        <f>LocalPacking!X30</f>
        <v>0</v>
      </c>
      <c r="Y500" s="29">
        <f>LocalPacking!Y30</f>
        <v>0</v>
      </c>
      <c r="Z500" s="29" t="e">
        <f>LocalPacking!#REF!</f>
        <v>#REF!</v>
      </c>
      <c r="AA500" s="29">
        <f>LocalPacking!Z30</f>
        <v>0</v>
      </c>
      <c r="AB500" s="29">
        <f>LocalPacking!AA30</f>
        <v>0</v>
      </c>
      <c r="AC500" s="11"/>
    </row>
    <row r="501" spans="3:29">
      <c r="C501" s="98" t="s">
        <v>88</v>
      </c>
      <c r="D501" s="29">
        <f>LocalPacking!C31</f>
        <v>0</v>
      </c>
      <c r="E501" s="29" t="str">
        <f>LocalPacking!G31</f>
        <v>Core I3-1115G4</v>
      </c>
      <c r="F501" s="29">
        <f>LocalPacking!D31</f>
        <v>0</v>
      </c>
      <c r="G501" s="29">
        <f>LocalPacking!E31</f>
        <v>0</v>
      </c>
      <c r="H501" s="29" t="str">
        <f>LocalPacking!F31</f>
        <v>X515EA</v>
      </c>
      <c r="I501" s="29" t="str">
        <f>LocalPacking!H31</f>
        <v>Local</v>
      </c>
      <c r="J501" s="29" t="str">
        <f>LocalPacking!I31</f>
        <v>Larondine</v>
      </c>
      <c r="K501" s="29" t="str">
        <f>LocalPacking!J31</f>
        <v>Giftbox</v>
      </c>
      <c r="L501" s="29">
        <f>LocalPacking!K31</f>
        <v>0</v>
      </c>
      <c r="M501" s="29">
        <f>LocalPacking!L31</f>
        <v>0</v>
      </c>
      <c r="N501" s="29" t="str">
        <f>LocalPacking!M31</f>
        <v>15000-09107100</v>
      </c>
      <c r="O501" s="29">
        <f>LocalPacking!N31</f>
        <v>0</v>
      </c>
      <c r="P501" s="29">
        <f>LocalPacking!P31</f>
        <v>0</v>
      </c>
      <c r="Q501" s="29">
        <f>LocalPacking!Q31</f>
        <v>0</v>
      </c>
      <c r="R501" s="29">
        <f>LocalPacking!R31</f>
        <v>0</v>
      </c>
      <c r="S501" s="29">
        <f>LocalPacking!S31</f>
        <v>0</v>
      </c>
      <c r="T501" s="29">
        <f>LocalPacking!T31</f>
        <v>0</v>
      </c>
      <c r="U501" s="29">
        <f>LocalPacking!U31</f>
        <v>0</v>
      </c>
      <c r="V501" s="29">
        <f>LocalPacking!V31</f>
        <v>0</v>
      </c>
      <c r="W501" s="29">
        <f>LocalPacking!W31</f>
        <v>0</v>
      </c>
      <c r="X501" s="29">
        <f>LocalPacking!X31</f>
        <v>0</v>
      </c>
      <c r="Y501" s="29">
        <f>LocalPacking!Y31</f>
        <v>0</v>
      </c>
      <c r="Z501" s="29" t="e">
        <f>LocalPacking!#REF!</f>
        <v>#REF!</v>
      </c>
      <c r="AA501" s="29">
        <f>LocalPacking!Z31</f>
        <v>0</v>
      </c>
      <c r="AB501" s="29">
        <f>LocalPacking!AA31</f>
        <v>0</v>
      </c>
    </row>
    <row r="502" spans="3:29">
      <c r="C502" s="98" t="s">
        <v>88</v>
      </c>
      <c r="D502" s="29">
        <f>LocalPacking!C32</f>
        <v>0</v>
      </c>
      <c r="E502" s="29" t="str">
        <f>LocalPacking!G32</f>
        <v>Core I3-1115G4</v>
      </c>
      <c r="F502" s="29">
        <f>LocalPacking!D32</f>
        <v>0</v>
      </c>
      <c r="G502" s="29">
        <f>LocalPacking!E32</f>
        <v>0</v>
      </c>
      <c r="H502" s="29" t="str">
        <f>LocalPacking!F32</f>
        <v>X515EA</v>
      </c>
      <c r="I502" s="29" t="str">
        <f>LocalPacking!H32</f>
        <v>Local</v>
      </c>
      <c r="J502" s="29" t="str">
        <f>LocalPacking!I32</f>
        <v>Larondine</v>
      </c>
      <c r="K502" s="29" t="str">
        <f>LocalPacking!J32</f>
        <v xml:space="preserve">ACCESSORY BOX </v>
      </c>
      <c r="L502" s="29">
        <f>LocalPacking!K32</f>
        <v>0</v>
      </c>
      <c r="M502" s="29">
        <f>LocalPacking!L32</f>
        <v>0</v>
      </c>
      <c r="N502" s="29" t="str">
        <f>LocalPacking!M32</f>
        <v>15020-03220000</v>
      </c>
      <c r="O502" s="29">
        <f>LocalPacking!N32</f>
        <v>0</v>
      </c>
      <c r="P502" s="29">
        <f>LocalPacking!P32</f>
        <v>0</v>
      </c>
      <c r="Q502" s="29">
        <f>LocalPacking!Q32</f>
        <v>0</v>
      </c>
      <c r="R502" s="29">
        <f>LocalPacking!R32</f>
        <v>0</v>
      </c>
      <c r="S502" s="29">
        <f>LocalPacking!S32</f>
        <v>0</v>
      </c>
      <c r="T502" s="29">
        <f>LocalPacking!T32</f>
        <v>0</v>
      </c>
      <c r="U502" s="29">
        <f>LocalPacking!U32</f>
        <v>0</v>
      </c>
      <c r="V502" s="29">
        <f>LocalPacking!V32</f>
        <v>0</v>
      </c>
      <c r="W502" s="29">
        <f>LocalPacking!W32</f>
        <v>0</v>
      </c>
      <c r="X502" s="29">
        <f>LocalPacking!X32</f>
        <v>0</v>
      </c>
      <c r="Y502" s="29">
        <f>LocalPacking!Y32</f>
        <v>0</v>
      </c>
      <c r="Z502" s="29" t="e">
        <f>LocalPacking!#REF!</f>
        <v>#REF!</v>
      </c>
      <c r="AA502" s="29">
        <f>LocalPacking!Z32</f>
        <v>0</v>
      </c>
      <c r="AB502" s="29">
        <f>LocalPacking!AA32</f>
        <v>0</v>
      </c>
    </row>
    <row r="503" spans="3:29">
      <c r="C503" s="98" t="s">
        <v>88</v>
      </c>
      <c r="D503" s="29">
        <f>LocalPacking!C33</f>
        <v>0</v>
      </c>
      <c r="E503" s="29" t="str">
        <f>LocalPacking!G33</f>
        <v>Core I3-1115G4</v>
      </c>
      <c r="F503" s="29">
        <f>LocalPacking!D33</f>
        <v>0</v>
      </c>
      <c r="G503" s="29">
        <f>LocalPacking!E33</f>
        <v>0</v>
      </c>
      <c r="H503" s="29" t="str">
        <f>LocalPacking!F33</f>
        <v>X515EA</v>
      </c>
      <c r="I503" s="29" t="str">
        <f>LocalPacking!H33</f>
        <v>Local</v>
      </c>
      <c r="J503" s="29" t="str">
        <f>LocalPacking!I33</f>
        <v>Larondine</v>
      </c>
      <c r="K503" s="29" t="str">
        <f>LocalPacking!J33</f>
        <v>EPE</v>
      </c>
      <c r="L503" s="29">
        <f>LocalPacking!K33</f>
        <v>0</v>
      </c>
      <c r="M503" s="29">
        <f>LocalPacking!L33</f>
        <v>2</v>
      </c>
      <c r="N503" s="29" t="str">
        <f>LocalPacking!M33</f>
        <v>15050-04165000</v>
      </c>
      <c r="O503" s="29">
        <f>LocalPacking!N33</f>
        <v>0</v>
      </c>
      <c r="P503" s="29">
        <f>LocalPacking!P33</f>
        <v>0</v>
      </c>
      <c r="Q503" s="29">
        <f>LocalPacking!Q33</f>
        <v>0</v>
      </c>
      <c r="R503" s="29">
        <f>LocalPacking!R33</f>
        <v>0</v>
      </c>
      <c r="S503" s="29">
        <f>LocalPacking!S33</f>
        <v>0</v>
      </c>
      <c r="T503" s="29">
        <f>LocalPacking!T33</f>
        <v>0</v>
      </c>
      <c r="U503" s="29">
        <f>LocalPacking!U33</f>
        <v>0</v>
      </c>
      <c r="V503" s="29">
        <f>LocalPacking!V33</f>
        <v>0</v>
      </c>
      <c r="W503" s="29">
        <f>LocalPacking!W33</f>
        <v>0</v>
      </c>
      <c r="X503" s="29">
        <f>LocalPacking!X33</f>
        <v>0</v>
      </c>
      <c r="Y503" s="29">
        <f>LocalPacking!Y33</f>
        <v>0</v>
      </c>
      <c r="Z503" s="29" t="e">
        <f>LocalPacking!#REF!</f>
        <v>#REF!</v>
      </c>
      <c r="AA503" s="29">
        <f>LocalPacking!Z33</f>
        <v>0</v>
      </c>
      <c r="AB503" s="29">
        <f>LocalPacking!AA33</f>
        <v>0</v>
      </c>
    </row>
    <row r="504" spans="3:29">
      <c r="C504" s="98" t="s">
        <v>88</v>
      </c>
      <c r="D504" s="29">
        <f>LocalPacking!C34</f>
        <v>0</v>
      </c>
      <c r="E504" s="29" t="str">
        <f>LocalPacking!G34</f>
        <v>Celeron N4020</v>
      </c>
      <c r="F504" s="29" t="str">
        <f>LocalPacking!D34</f>
        <v>FCST</v>
      </c>
      <c r="G504" s="29">
        <f>LocalPacking!E34</f>
        <v>14100</v>
      </c>
      <c r="H504" s="29" t="str">
        <f>LocalPacking!F34</f>
        <v>X515MA</v>
      </c>
      <c r="I504" s="29">
        <f>LocalPacking!H34</f>
        <v>0</v>
      </c>
      <c r="J504" s="29">
        <f>LocalPacking!I34</f>
        <v>0</v>
      </c>
      <c r="K504" s="29">
        <f>LocalPacking!J34</f>
        <v>0</v>
      </c>
      <c r="L504" s="29">
        <f>LocalPacking!K34</f>
        <v>0</v>
      </c>
      <c r="M504" s="29">
        <f>LocalPacking!L34</f>
        <v>0</v>
      </c>
      <c r="N504" s="29">
        <f>LocalPacking!M34</f>
        <v>0</v>
      </c>
      <c r="O504" s="29">
        <f>LocalPacking!N34</f>
        <v>4000</v>
      </c>
      <c r="P504" s="29">
        <f>LocalPacking!P34</f>
        <v>0</v>
      </c>
      <c r="Q504" s="29">
        <f>LocalPacking!Q34</f>
        <v>0</v>
      </c>
      <c r="R504" s="29">
        <f>LocalPacking!R34</f>
        <v>0</v>
      </c>
      <c r="S504" s="29">
        <f>LocalPacking!S34</f>
        <v>0</v>
      </c>
      <c r="T504" s="29">
        <f>LocalPacking!T34</f>
        <v>2000</v>
      </c>
      <c r="U504" s="29">
        <f>LocalPacking!U34</f>
        <v>2000</v>
      </c>
      <c r="V504" s="29">
        <f>LocalPacking!V34</f>
        <v>1000</v>
      </c>
      <c r="W504" s="29">
        <f>LocalPacking!W34</f>
        <v>0</v>
      </c>
      <c r="X504" s="29">
        <f>LocalPacking!X34</f>
        <v>0</v>
      </c>
      <c r="Y504" s="29">
        <f>LocalPacking!Y34</f>
        <v>0</v>
      </c>
      <c r="Z504" s="29" t="e">
        <f>LocalPacking!#REF!</f>
        <v>#REF!</v>
      </c>
      <c r="AA504" s="29">
        <f>LocalPacking!Z34</f>
        <v>0</v>
      </c>
      <c r="AB504" s="29">
        <f>LocalPacking!AA34</f>
        <v>0</v>
      </c>
    </row>
    <row r="505" spans="3:29">
      <c r="C505" s="98" t="s">
        <v>88</v>
      </c>
      <c r="D505" s="29">
        <f>LocalPacking!C35</f>
        <v>0</v>
      </c>
      <c r="E505" s="29" t="str">
        <f>LocalPacking!G35</f>
        <v>Celeron N4020</v>
      </c>
      <c r="F505" s="29">
        <f>LocalPacking!D35</f>
        <v>0</v>
      </c>
      <c r="G505" s="29">
        <f>LocalPacking!E35</f>
        <v>0</v>
      </c>
      <c r="H505" s="29" t="str">
        <f>LocalPacking!F35</f>
        <v>X515MA</v>
      </c>
      <c r="I505" s="29" t="str">
        <f>LocalPacking!H35</f>
        <v>Imported</v>
      </c>
      <c r="J505" s="29" t="str">
        <f>LocalPacking!I35</f>
        <v>Asus</v>
      </c>
      <c r="K505" s="29" t="str">
        <f>LocalPacking!J35</f>
        <v>Giftbox</v>
      </c>
      <c r="L505" s="29">
        <f>LocalPacking!K35</f>
        <v>0</v>
      </c>
      <c r="M505" s="29">
        <f>LocalPacking!L35</f>
        <v>0</v>
      </c>
      <c r="N505" s="29">
        <f>LocalPacking!M35</f>
        <v>0</v>
      </c>
      <c r="O505" s="29">
        <f>LocalPacking!N35</f>
        <v>0</v>
      </c>
      <c r="P505" s="29">
        <f>LocalPacking!P35</f>
        <v>0</v>
      </c>
      <c r="Q505" s="29">
        <f>LocalPacking!Q35</f>
        <v>0</v>
      </c>
      <c r="R505" s="29">
        <f>LocalPacking!R35</f>
        <v>0</v>
      </c>
      <c r="S505" s="29">
        <f>LocalPacking!S35</f>
        <v>0</v>
      </c>
      <c r="T505" s="29">
        <f>LocalPacking!T35</f>
        <v>0</v>
      </c>
      <c r="U505" s="29">
        <f>LocalPacking!U35</f>
        <v>0</v>
      </c>
      <c r="V505" s="29">
        <f>LocalPacking!V35</f>
        <v>0</v>
      </c>
      <c r="W505" s="29">
        <f>LocalPacking!W35</f>
        <v>0</v>
      </c>
      <c r="X505" s="29">
        <f>LocalPacking!X35</f>
        <v>0</v>
      </c>
      <c r="Y505" s="29">
        <f>LocalPacking!Y35</f>
        <v>0</v>
      </c>
      <c r="Z505" s="29" t="e">
        <f>LocalPacking!#REF!</f>
        <v>#REF!</v>
      </c>
      <c r="AA505" s="29">
        <f>LocalPacking!Z35</f>
        <v>0</v>
      </c>
      <c r="AB505" s="29">
        <f>LocalPacking!AA35</f>
        <v>0</v>
      </c>
    </row>
    <row r="506" spans="3:29">
      <c r="C506" s="98" t="s">
        <v>88</v>
      </c>
      <c r="D506" s="29">
        <f>LocalPacking!C36</f>
        <v>0</v>
      </c>
      <c r="E506" s="29" t="str">
        <f>LocalPacking!G36</f>
        <v>Celeron N4020</v>
      </c>
      <c r="F506" s="29">
        <f>LocalPacking!D36</f>
        <v>0</v>
      </c>
      <c r="G506" s="29">
        <f>LocalPacking!E36</f>
        <v>0</v>
      </c>
      <c r="H506" s="29" t="str">
        <f>LocalPacking!F36</f>
        <v>X515MA</v>
      </c>
      <c r="I506" s="29" t="str">
        <f>LocalPacking!H36</f>
        <v>Local</v>
      </c>
      <c r="J506" s="29" t="str">
        <f>LocalPacking!I36</f>
        <v>Larondine</v>
      </c>
      <c r="K506" s="29" t="str">
        <f>LocalPacking!J36</f>
        <v>Giftbox</v>
      </c>
      <c r="L506" s="29">
        <f>LocalPacking!K36</f>
        <v>0</v>
      </c>
      <c r="M506" s="29">
        <f>LocalPacking!L36</f>
        <v>0</v>
      </c>
      <c r="N506" s="29" t="str">
        <f>LocalPacking!M36</f>
        <v>15000-09107100</v>
      </c>
      <c r="O506" s="29">
        <f>LocalPacking!N36</f>
        <v>4000</v>
      </c>
      <c r="P506" s="29">
        <f>LocalPacking!P36</f>
        <v>0</v>
      </c>
      <c r="Q506" s="29">
        <f>LocalPacking!Q36</f>
        <v>0</v>
      </c>
      <c r="R506" s="29">
        <f>LocalPacking!R36</f>
        <v>0</v>
      </c>
      <c r="S506" s="29">
        <f>LocalPacking!S36</f>
        <v>0</v>
      </c>
      <c r="T506" s="29">
        <f>LocalPacking!T36</f>
        <v>2000</v>
      </c>
      <c r="U506" s="29">
        <f>LocalPacking!U36</f>
        <v>2000</v>
      </c>
      <c r="V506" s="29">
        <f>LocalPacking!V36</f>
        <v>1000</v>
      </c>
      <c r="W506" s="29">
        <f>LocalPacking!W36</f>
        <v>0</v>
      </c>
      <c r="X506" s="29">
        <f>LocalPacking!X36</f>
        <v>0</v>
      </c>
      <c r="Y506" s="29">
        <f>LocalPacking!Y36</f>
        <v>0</v>
      </c>
      <c r="Z506" s="29" t="e">
        <f>LocalPacking!#REF!</f>
        <v>#REF!</v>
      </c>
      <c r="AA506" s="29">
        <f>LocalPacking!Z36</f>
        <v>14100</v>
      </c>
      <c r="AB506" s="29">
        <f>LocalPacking!AA36</f>
        <v>0</v>
      </c>
    </row>
    <row r="507" spans="3:29">
      <c r="C507" s="98" t="s">
        <v>88</v>
      </c>
      <c r="D507" s="29">
        <f>LocalPacking!C37</f>
        <v>0</v>
      </c>
      <c r="E507" s="29" t="str">
        <f>LocalPacking!G37</f>
        <v>Celeron N4020</v>
      </c>
      <c r="F507" s="29">
        <f>LocalPacking!D37</f>
        <v>0</v>
      </c>
      <c r="G507" s="29">
        <f>LocalPacking!E37</f>
        <v>0</v>
      </c>
      <c r="H507" s="29" t="str">
        <f>LocalPacking!F37</f>
        <v>X515MA</v>
      </c>
      <c r="I507" s="29" t="str">
        <f>LocalPacking!H37</f>
        <v>Local</v>
      </c>
      <c r="J507" s="29" t="str">
        <f>LocalPacking!I37</f>
        <v>Larondine</v>
      </c>
      <c r="K507" s="29" t="str">
        <f>LocalPacking!J37</f>
        <v xml:space="preserve">ACCESSORY BOX </v>
      </c>
      <c r="L507" s="29">
        <f>LocalPacking!K37</f>
        <v>0</v>
      </c>
      <c r="M507" s="29">
        <f>LocalPacking!L37</f>
        <v>0</v>
      </c>
      <c r="N507" s="29" t="str">
        <f>LocalPacking!M37</f>
        <v>15020-03220000</v>
      </c>
      <c r="O507" s="29">
        <f>LocalPacking!N37</f>
        <v>4000</v>
      </c>
      <c r="P507" s="29">
        <f>LocalPacking!P37</f>
        <v>0</v>
      </c>
      <c r="Q507" s="29">
        <f>LocalPacking!Q37</f>
        <v>0</v>
      </c>
      <c r="R507" s="29">
        <f>LocalPacking!R37</f>
        <v>0</v>
      </c>
      <c r="S507" s="29">
        <f>LocalPacking!S37</f>
        <v>0</v>
      </c>
      <c r="T507" s="29">
        <f>LocalPacking!T37</f>
        <v>2000</v>
      </c>
      <c r="U507" s="29">
        <f>LocalPacking!U37</f>
        <v>2000</v>
      </c>
      <c r="V507" s="29">
        <f>LocalPacking!V37</f>
        <v>1000</v>
      </c>
      <c r="W507" s="29">
        <f>LocalPacking!W37</f>
        <v>0</v>
      </c>
      <c r="X507" s="29">
        <f>LocalPacking!X37</f>
        <v>0</v>
      </c>
      <c r="Y507" s="29">
        <f>LocalPacking!Y37</f>
        <v>0</v>
      </c>
      <c r="Z507" s="29" t="e">
        <f>LocalPacking!#REF!</f>
        <v>#REF!</v>
      </c>
      <c r="AA507" s="29">
        <f>LocalPacking!Z37</f>
        <v>0</v>
      </c>
      <c r="AB507" s="29">
        <f>LocalPacking!AA37</f>
        <v>0</v>
      </c>
    </row>
    <row r="508" spans="3:29">
      <c r="C508" s="98" t="s">
        <v>88</v>
      </c>
      <c r="D508" s="29">
        <f>LocalPacking!C38</f>
        <v>0</v>
      </c>
      <c r="E508" s="29" t="str">
        <f>LocalPacking!G38</f>
        <v>Celeron N4020</v>
      </c>
      <c r="F508" s="29">
        <f>LocalPacking!D38</f>
        <v>0</v>
      </c>
      <c r="G508" s="29">
        <f>LocalPacking!E38</f>
        <v>0</v>
      </c>
      <c r="H508" s="29" t="str">
        <f>LocalPacking!F38</f>
        <v>X515MA</v>
      </c>
      <c r="I508" s="29" t="str">
        <f>LocalPacking!H38</f>
        <v>Local</v>
      </c>
      <c r="J508" s="29" t="str">
        <f>LocalPacking!I38</f>
        <v>Larondine</v>
      </c>
      <c r="K508" s="29" t="str">
        <f>LocalPacking!J38</f>
        <v>EPE</v>
      </c>
      <c r="L508" s="29">
        <f>LocalPacking!K38</f>
        <v>0</v>
      </c>
      <c r="M508" s="29">
        <f>LocalPacking!L38</f>
        <v>2</v>
      </c>
      <c r="N508" s="29" t="str">
        <f>LocalPacking!M38</f>
        <v>15050-04165000</v>
      </c>
      <c r="O508" s="29">
        <f>LocalPacking!N38</f>
        <v>8000</v>
      </c>
      <c r="P508" s="29">
        <f>LocalPacking!P38</f>
        <v>0</v>
      </c>
      <c r="Q508" s="29">
        <f>LocalPacking!Q38</f>
        <v>0</v>
      </c>
      <c r="R508" s="29">
        <f>LocalPacking!R38</f>
        <v>0</v>
      </c>
      <c r="S508" s="29">
        <f>LocalPacking!S38</f>
        <v>0</v>
      </c>
      <c r="T508" s="29">
        <f>LocalPacking!T38</f>
        <v>4000</v>
      </c>
      <c r="U508" s="29">
        <f>LocalPacking!U38</f>
        <v>4000</v>
      </c>
      <c r="V508" s="29">
        <f>LocalPacking!V38</f>
        <v>2000</v>
      </c>
      <c r="W508" s="29">
        <f>LocalPacking!W38</f>
        <v>0</v>
      </c>
      <c r="X508" s="29">
        <f>LocalPacking!X38</f>
        <v>0</v>
      </c>
      <c r="Y508" s="29">
        <f>LocalPacking!Y38</f>
        <v>0</v>
      </c>
      <c r="Z508" s="29" t="e">
        <f>LocalPacking!#REF!</f>
        <v>#REF!</v>
      </c>
      <c r="AA508" s="29">
        <f>LocalPacking!Z38</f>
        <v>0</v>
      </c>
      <c r="AB508" s="29">
        <f>LocalPacking!AA38</f>
        <v>0</v>
      </c>
    </row>
    <row r="509" spans="3:29">
      <c r="C509" s="98" t="s">
        <v>88</v>
      </c>
      <c r="D509" s="29">
        <f>LocalPacking!C39</f>
        <v>0</v>
      </c>
      <c r="E509" s="29" t="str">
        <f>LocalPacking!G39</f>
        <v>Ryzen 5 3500U</v>
      </c>
      <c r="F509" s="29" t="str">
        <f>LocalPacking!D39</f>
        <v>FCST</v>
      </c>
      <c r="G509" s="29">
        <f>LocalPacking!E39</f>
        <v>17000</v>
      </c>
      <c r="H509" s="29" t="str">
        <f>LocalPacking!F39</f>
        <v>M515DA</v>
      </c>
      <c r="I509" s="29">
        <f>LocalPacking!H39</f>
        <v>0</v>
      </c>
      <c r="J509" s="29">
        <f>LocalPacking!I39</f>
        <v>0</v>
      </c>
      <c r="K509" s="29">
        <f>LocalPacking!J39</f>
        <v>0</v>
      </c>
      <c r="L509" s="29">
        <f>LocalPacking!K39</f>
        <v>0</v>
      </c>
      <c r="M509" s="29">
        <f>LocalPacking!L39</f>
        <v>0</v>
      </c>
      <c r="N509" s="29">
        <f>LocalPacking!M39</f>
        <v>0</v>
      </c>
      <c r="O509" s="29">
        <f>LocalPacking!N39</f>
        <v>1500</v>
      </c>
      <c r="P509" s="29">
        <f>LocalPacking!P39</f>
        <v>4000</v>
      </c>
      <c r="Q509" s="29">
        <f>LocalPacking!Q39</f>
        <v>4000</v>
      </c>
      <c r="R509" s="29">
        <f>LocalPacking!R39</f>
        <v>3800</v>
      </c>
      <c r="S509" s="29">
        <f>LocalPacking!S39</f>
        <v>0</v>
      </c>
      <c r="T509" s="29">
        <f>LocalPacking!T39</f>
        <v>0</v>
      </c>
      <c r="U509" s="29">
        <f>LocalPacking!U39</f>
        <v>0</v>
      </c>
      <c r="V509" s="29">
        <f>LocalPacking!V39</f>
        <v>0</v>
      </c>
      <c r="W509" s="29">
        <f>LocalPacking!W39</f>
        <v>0</v>
      </c>
      <c r="X509" s="29">
        <f>LocalPacking!X39</f>
        <v>0</v>
      </c>
      <c r="Y509" s="29">
        <f>LocalPacking!Y39</f>
        <v>0</v>
      </c>
      <c r="Z509" s="29" t="e">
        <f>LocalPacking!#REF!</f>
        <v>#REF!</v>
      </c>
      <c r="AA509" s="29">
        <f>LocalPacking!Z39</f>
        <v>0</v>
      </c>
      <c r="AB509" s="29">
        <f>LocalPacking!AA39</f>
        <v>0</v>
      </c>
    </row>
    <row r="510" spans="3:29">
      <c r="C510" s="98" t="s">
        <v>88</v>
      </c>
      <c r="D510" s="29">
        <f>LocalPacking!C40</f>
        <v>0</v>
      </c>
      <c r="E510" s="29" t="str">
        <f>LocalPacking!G40</f>
        <v>Ryzen 5 3500U</v>
      </c>
      <c r="F510" s="29">
        <f>LocalPacking!D40</f>
        <v>0</v>
      </c>
      <c r="G510" s="29">
        <f>LocalPacking!E40</f>
        <v>0</v>
      </c>
      <c r="H510" s="29" t="str">
        <f>LocalPacking!F40</f>
        <v>M515DA</v>
      </c>
      <c r="I510" s="29" t="str">
        <f>LocalPacking!H40</f>
        <v>Imported</v>
      </c>
      <c r="J510" s="29" t="str">
        <f>LocalPacking!I40</f>
        <v>Asus</v>
      </c>
      <c r="K510" s="29" t="str">
        <f>LocalPacking!J40</f>
        <v>Giftbox</v>
      </c>
      <c r="L510" s="29">
        <f>LocalPacking!K40</f>
        <v>0</v>
      </c>
      <c r="M510" s="29">
        <f>LocalPacking!L40</f>
        <v>0</v>
      </c>
      <c r="N510" s="29">
        <f>LocalPacking!M40</f>
        <v>0</v>
      </c>
      <c r="O510" s="29">
        <f>LocalPacking!N40</f>
        <v>0</v>
      </c>
      <c r="P510" s="29">
        <f>LocalPacking!P40</f>
        <v>0</v>
      </c>
      <c r="Q510" s="29">
        <f>LocalPacking!Q40</f>
        <v>0</v>
      </c>
      <c r="R510" s="29">
        <f>LocalPacking!R40</f>
        <v>0</v>
      </c>
      <c r="S510" s="29">
        <f>LocalPacking!S40</f>
        <v>0</v>
      </c>
      <c r="T510" s="29">
        <f>LocalPacking!T40</f>
        <v>0</v>
      </c>
      <c r="U510" s="29">
        <f>LocalPacking!U40</f>
        <v>0</v>
      </c>
      <c r="V510" s="29">
        <f>LocalPacking!V40</f>
        <v>0</v>
      </c>
      <c r="W510" s="29">
        <f>LocalPacking!W40</f>
        <v>0</v>
      </c>
      <c r="X510" s="29">
        <f>LocalPacking!X40</f>
        <v>0</v>
      </c>
      <c r="Y510" s="29">
        <f>LocalPacking!Y40</f>
        <v>0</v>
      </c>
      <c r="Z510" s="29" t="e">
        <f>LocalPacking!#REF!</f>
        <v>#REF!</v>
      </c>
      <c r="AA510" s="29">
        <f>LocalPacking!Z40</f>
        <v>0</v>
      </c>
      <c r="AB510" s="29">
        <f>LocalPacking!AA40</f>
        <v>0</v>
      </c>
    </row>
    <row r="511" spans="3:29">
      <c r="C511" s="98" t="s">
        <v>88</v>
      </c>
      <c r="D511" s="29">
        <f>LocalPacking!C41</f>
        <v>0</v>
      </c>
      <c r="E511" s="29" t="str">
        <f>LocalPacking!G41</f>
        <v>Ryzen 5 3500U</v>
      </c>
      <c r="F511" s="29">
        <f>LocalPacking!D41</f>
        <v>0</v>
      </c>
      <c r="G511" s="29">
        <f>LocalPacking!E41</f>
        <v>0</v>
      </c>
      <c r="H511" s="29" t="str">
        <f>LocalPacking!F41</f>
        <v>M515DA</v>
      </c>
      <c r="I511" s="29" t="str">
        <f>LocalPacking!H41</f>
        <v>Local</v>
      </c>
      <c r="J511" s="29" t="str">
        <f>LocalPacking!I41</f>
        <v>Larondine</v>
      </c>
      <c r="K511" s="29" t="str">
        <f>LocalPacking!J41</f>
        <v>Giftbox</v>
      </c>
      <c r="L511" s="29">
        <f>LocalPacking!K41</f>
        <v>0</v>
      </c>
      <c r="M511" s="29">
        <f>LocalPacking!L41</f>
        <v>0</v>
      </c>
      <c r="N511" s="29" t="str">
        <f>LocalPacking!M41</f>
        <v>15000-09694000</v>
      </c>
      <c r="O511" s="29">
        <f>LocalPacking!N41</f>
        <v>1500</v>
      </c>
      <c r="P511" s="29">
        <f>LocalPacking!P41</f>
        <v>4000</v>
      </c>
      <c r="Q511" s="29">
        <f>LocalPacking!Q41</f>
        <v>4000</v>
      </c>
      <c r="R511" s="29">
        <f>LocalPacking!R41</f>
        <v>3800</v>
      </c>
      <c r="S511" s="29">
        <f>LocalPacking!S41</f>
        <v>0</v>
      </c>
      <c r="T511" s="29">
        <f>LocalPacking!T41</f>
        <v>0</v>
      </c>
      <c r="U511" s="29">
        <f>LocalPacking!U41</f>
        <v>0</v>
      </c>
      <c r="V511" s="29">
        <f>LocalPacking!V41</f>
        <v>0</v>
      </c>
      <c r="W511" s="29">
        <f>LocalPacking!W41</f>
        <v>0</v>
      </c>
      <c r="X511" s="29">
        <f>LocalPacking!X41</f>
        <v>0</v>
      </c>
      <c r="Y511" s="29">
        <f>LocalPacking!Y41</f>
        <v>0</v>
      </c>
      <c r="Z511" s="29" t="e">
        <f>LocalPacking!#REF!</f>
        <v>#REF!</v>
      </c>
      <c r="AA511" s="29">
        <f>LocalPacking!Z41</f>
        <v>17000</v>
      </c>
      <c r="AB511" s="29">
        <f>LocalPacking!AA41</f>
        <v>0</v>
      </c>
    </row>
    <row r="512" spans="3:29">
      <c r="C512" s="98" t="s">
        <v>88</v>
      </c>
      <c r="D512" s="29">
        <f>LocalPacking!C42</f>
        <v>0</v>
      </c>
      <c r="E512" s="29" t="str">
        <f>LocalPacking!G42</f>
        <v>Ryzen 5 3500U</v>
      </c>
      <c r="F512" s="29">
        <f>LocalPacking!D42</f>
        <v>0</v>
      </c>
      <c r="G512" s="29">
        <f>LocalPacking!E42</f>
        <v>0</v>
      </c>
      <c r="H512" s="29" t="str">
        <f>LocalPacking!F42</f>
        <v>M515DA</v>
      </c>
      <c r="I512" s="29" t="str">
        <f>LocalPacking!H42</f>
        <v>Local</v>
      </c>
      <c r="J512" s="29" t="str">
        <f>LocalPacking!I42</f>
        <v>Larondine</v>
      </c>
      <c r="K512" s="29" t="str">
        <f>LocalPacking!J42</f>
        <v xml:space="preserve">ACCESSORY BOX </v>
      </c>
      <c r="L512" s="29">
        <f>LocalPacking!K42</f>
        <v>0</v>
      </c>
      <c r="M512" s="29">
        <f>LocalPacking!L42</f>
        <v>0</v>
      </c>
      <c r="N512" s="29" t="str">
        <f>LocalPacking!M42</f>
        <v>15020-03220000</v>
      </c>
      <c r="O512" s="29">
        <f>LocalPacking!N42</f>
        <v>1500</v>
      </c>
      <c r="P512" s="29">
        <f>LocalPacking!P42</f>
        <v>4000</v>
      </c>
      <c r="Q512" s="29">
        <f>LocalPacking!Q42</f>
        <v>4000</v>
      </c>
      <c r="R512" s="29">
        <f>LocalPacking!R42</f>
        <v>3800</v>
      </c>
      <c r="S512" s="29">
        <f>LocalPacking!S42</f>
        <v>0</v>
      </c>
      <c r="T512" s="29">
        <f>LocalPacking!T42</f>
        <v>0</v>
      </c>
      <c r="U512" s="29">
        <f>LocalPacking!U42</f>
        <v>0</v>
      </c>
      <c r="V512" s="29">
        <f>LocalPacking!V42</f>
        <v>0</v>
      </c>
      <c r="W512" s="29">
        <f>LocalPacking!W42</f>
        <v>0</v>
      </c>
      <c r="X512" s="29">
        <f>LocalPacking!X42</f>
        <v>0</v>
      </c>
      <c r="Y512" s="29">
        <f>LocalPacking!Y42</f>
        <v>0</v>
      </c>
      <c r="Z512" s="29" t="e">
        <f>LocalPacking!#REF!</f>
        <v>#REF!</v>
      </c>
      <c r="AA512" s="29">
        <f>LocalPacking!Z42</f>
        <v>0</v>
      </c>
      <c r="AB512" s="29">
        <f>LocalPacking!AA42</f>
        <v>0</v>
      </c>
    </row>
    <row r="513" spans="3:28">
      <c r="C513" s="98" t="s">
        <v>88</v>
      </c>
      <c r="D513" s="29">
        <f>LocalPacking!C43</f>
        <v>0</v>
      </c>
      <c r="E513" s="29" t="str">
        <f>LocalPacking!G43</f>
        <v>Ryzen 5 3500U</v>
      </c>
      <c r="F513" s="29">
        <f>LocalPacking!D43</f>
        <v>0</v>
      </c>
      <c r="G513" s="29">
        <f>LocalPacking!E43</f>
        <v>0</v>
      </c>
      <c r="H513" s="29" t="str">
        <f>LocalPacking!F43</f>
        <v>M515DA</v>
      </c>
      <c r="I513" s="29" t="str">
        <f>LocalPacking!H43</f>
        <v>Local</v>
      </c>
      <c r="J513" s="29" t="str">
        <f>LocalPacking!I43</f>
        <v>Larondine</v>
      </c>
      <c r="K513" s="29" t="str">
        <f>LocalPacking!J43</f>
        <v>EPE</v>
      </c>
      <c r="L513" s="29">
        <f>LocalPacking!K43</f>
        <v>0</v>
      </c>
      <c r="M513" s="29">
        <f>LocalPacking!L43</f>
        <v>2</v>
      </c>
      <c r="N513" s="29" t="str">
        <f>LocalPacking!M43</f>
        <v>15050-04165000</v>
      </c>
      <c r="O513" s="29">
        <f>LocalPacking!N43</f>
        <v>3000</v>
      </c>
      <c r="P513" s="29">
        <f>LocalPacking!P43</f>
        <v>8000</v>
      </c>
      <c r="Q513" s="29">
        <f>LocalPacking!Q43</f>
        <v>8000</v>
      </c>
      <c r="R513" s="29">
        <f>LocalPacking!R43</f>
        <v>7600</v>
      </c>
      <c r="S513" s="29">
        <f>LocalPacking!S43</f>
        <v>0</v>
      </c>
      <c r="T513" s="29">
        <f>LocalPacking!T43</f>
        <v>0</v>
      </c>
      <c r="U513" s="29">
        <f>LocalPacking!U43</f>
        <v>0</v>
      </c>
      <c r="V513" s="29">
        <f>LocalPacking!V43</f>
        <v>0</v>
      </c>
      <c r="W513" s="29">
        <f>LocalPacking!W43</f>
        <v>0</v>
      </c>
      <c r="X513" s="29">
        <f>LocalPacking!X43</f>
        <v>0</v>
      </c>
      <c r="Y513" s="29">
        <f>LocalPacking!Y43</f>
        <v>0</v>
      </c>
      <c r="Z513" s="29" t="e">
        <f>LocalPacking!#REF!</f>
        <v>#REF!</v>
      </c>
      <c r="AA513" s="29">
        <f>LocalPacking!Z43</f>
        <v>0</v>
      </c>
      <c r="AB513" s="29">
        <f>LocalPacking!AA43</f>
        <v>0</v>
      </c>
    </row>
    <row r="514" spans="3:28">
      <c r="C514" s="98" t="s">
        <v>88</v>
      </c>
      <c r="D514" s="29" t="e">
        <f>LocalPacking!#REF!</f>
        <v>#REF!</v>
      </c>
      <c r="E514" s="29" t="e">
        <f>LocalPacking!#REF!</f>
        <v>#REF!</v>
      </c>
      <c r="F514" s="29" t="e">
        <f>LocalPacking!#REF!</f>
        <v>#REF!</v>
      </c>
      <c r="G514" s="29" t="e">
        <f>LocalPacking!#REF!</f>
        <v>#REF!</v>
      </c>
      <c r="H514" s="29" t="e">
        <f>LocalPacking!#REF!</f>
        <v>#REF!</v>
      </c>
      <c r="I514" s="29" t="e">
        <f>LocalPacking!#REF!</f>
        <v>#REF!</v>
      </c>
      <c r="J514" s="29" t="e">
        <f>LocalPacking!#REF!</f>
        <v>#REF!</v>
      </c>
      <c r="K514" s="29" t="e">
        <f>LocalPacking!#REF!</f>
        <v>#REF!</v>
      </c>
      <c r="L514" s="29" t="e">
        <f>LocalPacking!#REF!</f>
        <v>#REF!</v>
      </c>
      <c r="M514" s="29" t="e">
        <f>LocalPacking!#REF!</f>
        <v>#REF!</v>
      </c>
      <c r="N514" s="29" t="e">
        <f>LocalPacking!#REF!</f>
        <v>#REF!</v>
      </c>
      <c r="O514" s="29" t="e">
        <f>LocalPacking!#REF!</f>
        <v>#REF!</v>
      </c>
      <c r="P514" s="29" t="e">
        <f>LocalPacking!#REF!</f>
        <v>#REF!</v>
      </c>
      <c r="Q514" s="29" t="e">
        <f>LocalPacking!#REF!</f>
        <v>#REF!</v>
      </c>
      <c r="R514" s="29" t="e">
        <f>LocalPacking!#REF!</f>
        <v>#REF!</v>
      </c>
      <c r="S514" s="29" t="e">
        <f>LocalPacking!#REF!</f>
        <v>#REF!</v>
      </c>
      <c r="T514" s="29" t="e">
        <f>LocalPacking!#REF!</f>
        <v>#REF!</v>
      </c>
      <c r="U514" s="29" t="e">
        <f>LocalPacking!#REF!</f>
        <v>#REF!</v>
      </c>
      <c r="V514" s="29" t="e">
        <f>LocalPacking!#REF!</f>
        <v>#REF!</v>
      </c>
      <c r="W514" s="29" t="e">
        <f>LocalPacking!#REF!</f>
        <v>#REF!</v>
      </c>
      <c r="X514" s="29" t="e">
        <f>LocalPacking!#REF!</f>
        <v>#REF!</v>
      </c>
      <c r="Y514" s="29" t="e">
        <f>LocalPacking!#REF!</f>
        <v>#REF!</v>
      </c>
      <c r="Z514" s="29" t="e">
        <f>LocalPacking!#REF!</f>
        <v>#REF!</v>
      </c>
      <c r="AA514" s="29" t="e">
        <f>LocalPacking!#REF!</f>
        <v>#REF!</v>
      </c>
      <c r="AB514" s="29" t="e">
        <f>LocalPacking!#REF!</f>
        <v>#REF!</v>
      </c>
    </row>
    <row r="515" spans="3:28">
      <c r="C515" s="98" t="s">
        <v>88</v>
      </c>
      <c r="D515" s="29" t="e">
        <f>LocalPacking!#REF!</f>
        <v>#REF!</v>
      </c>
      <c r="E515" s="29" t="e">
        <f>LocalPacking!#REF!</f>
        <v>#REF!</v>
      </c>
      <c r="F515" s="29" t="e">
        <f>LocalPacking!#REF!</f>
        <v>#REF!</v>
      </c>
      <c r="G515" s="29" t="e">
        <f>LocalPacking!#REF!</f>
        <v>#REF!</v>
      </c>
      <c r="H515" s="29" t="e">
        <f>LocalPacking!#REF!</f>
        <v>#REF!</v>
      </c>
      <c r="I515" s="29" t="e">
        <f>LocalPacking!#REF!</f>
        <v>#REF!</v>
      </c>
      <c r="J515" s="29" t="e">
        <f>LocalPacking!#REF!</f>
        <v>#REF!</v>
      </c>
      <c r="K515" s="29" t="e">
        <f>LocalPacking!#REF!</f>
        <v>#REF!</v>
      </c>
      <c r="L515" s="29" t="e">
        <f>LocalPacking!#REF!</f>
        <v>#REF!</v>
      </c>
      <c r="M515" s="29" t="e">
        <f>LocalPacking!#REF!</f>
        <v>#REF!</v>
      </c>
      <c r="N515" s="29" t="e">
        <f>LocalPacking!#REF!</f>
        <v>#REF!</v>
      </c>
      <c r="O515" s="29" t="e">
        <f>LocalPacking!#REF!</f>
        <v>#REF!</v>
      </c>
      <c r="P515" s="29" t="e">
        <f>LocalPacking!#REF!</f>
        <v>#REF!</v>
      </c>
      <c r="Q515" s="29" t="e">
        <f>LocalPacking!#REF!</f>
        <v>#REF!</v>
      </c>
      <c r="R515" s="29" t="e">
        <f>LocalPacking!#REF!</f>
        <v>#REF!</v>
      </c>
      <c r="S515" s="29" t="e">
        <f>LocalPacking!#REF!</f>
        <v>#REF!</v>
      </c>
      <c r="T515" s="29" t="e">
        <f>LocalPacking!#REF!</f>
        <v>#REF!</v>
      </c>
      <c r="U515" s="29" t="e">
        <f>LocalPacking!#REF!</f>
        <v>#REF!</v>
      </c>
      <c r="V515" s="29" t="e">
        <f>LocalPacking!#REF!</f>
        <v>#REF!</v>
      </c>
      <c r="W515" s="29" t="e">
        <f>LocalPacking!#REF!</f>
        <v>#REF!</v>
      </c>
      <c r="X515" s="29" t="e">
        <f>LocalPacking!#REF!</f>
        <v>#REF!</v>
      </c>
      <c r="Y515" s="29" t="e">
        <f>LocalPacking!#REF!</f>
        <v>#REF!</v>
      </c>
      <c r="Z515" s="29" t="e">
        <f>LocalPacking!#REF!</f>
        <v>#REF!</v>
      </c>
      <c r="AA515" s="29" t="e">
        <f>LocalPacking!#REF!</f>
        <v>#REF!</v>
      </c>
      <c r="AB515" s="29" t="e">
        <f>LocalPacking!#REF!</f>
        <v>#REF!</v>
      </c>
    </row>
    <row r="516" spans="3:28">
      <c r="C516" s="98" t="s">
        <v>88</v>
      </c>
      <c r="D516" s="29" t="e">
        <f>LocalPacking!#REF!</f>
        <v>#REF!</v>
      </c>
      <c r="E516" s="29" t="e">
        <f>LocalPacking!#REF!</f>
        <v>#REF!</v>
      </c>
      <c r="F516" s="29" t="e">
        <f>LocalPacking!#REF!</f>
        <v>#REF!</v>
      </c>
      <c r="G516" s="29" t="e">
        <f>LocalPacking!#REF!</f>
        <v>#REF!</v>
      </c>
      <c r="H516" s="29" t="e">
        <f>LocalPacking!#REF!</f>
        <v>#REF!</v>
      </c>
      <c r="I516" s="29" t="e">
        <f>LocalPacking!#REF!</f>
        <v>#REF!</v>
      </c>
      <c r="J516" s="29" t="e">
        <f>LocalPacking!#REF!</f>
        <v>#REF!</v>
      </c>
      <c r="K516" s="29" t="e">
        <f>LocalPacking!#REF!</f>
        <v>#REF!</v>
      </c>
      <c r="L516" s="29" t="e">
        <f>LocalPacking!#REF!</f>
        <v>#REF!</v>
      </c>
      <c r="M516" s="29" t="e">
        <f>LocalPacking!#REF!</f>
        <v>#REF!</v>
      </c>
      <c r="N516" s="29" t="e">
        <f>LocalPacking!#REF!</f>
        <v>#REF!</v>
      </c>
      <c r="O516" s="29" t="e">
        <f>LocalPacking!#REF!</f>
        <v>#REF!</v>
      </c>
      <c r="P516" s="29" t="e">
        <f>LocalPacking!#REF!</f>
        <v>#REF!</v>
      </c>
      <c r="Q516" s="29" t="e">
        <f>LocalPacking!#REF!</f>
        <v>#REF!</v>
      </c>
      <c r="R516" s="29" t="e">
        <f>LocalPacking!#REF!</f>
        <v>#REF!</v>
      </c>
      <c r="S516" s="29" t="e">
        <f>LocalPacking!#REF!</f>
        <v>#REF!</v>
      </c>
      <c r="T516" s="29" t="e">
        <f>LocalPacking!#REF!</f>
        <v>#REF!</v>
      </c>
      <c r="U516" s="29" t="e">
        <f>LocalPacking!#REF!</f>
        <v>#REF!</v>
      </c>
      <c r="V516" s="29" t="e">
        <f>LocalPacking!#REF!</f>
        <v>#REF!</v>
      </c>
      <c r="W516" s="29" t="e">
        <f>LocalPacking!#REF!</f>
        <v>#REF!</v>
      </c>
      <c r="X516" s="29" t="e">
        <f>LocalPacking!#REF!</f>
        <v>#REF!</v>
      </c>
      <c r="Y516" s="29" t="e">
        <f>LocalPacking!#REF!</f>
        <v>#REF!</v>
      </c>
      <c r="Z516" s="29" t="e">
        <f>LocalPacking!#REF!</f>
        <v>#REF!</v>
      </c>
      <c r="AA516" s="29" t="e">
        <f>LocalPacking!#REF!</f>
        <v>#REF!</v>
      </c>
      <c r="AB516" s="29" t="e">
        <f>LocalPacking!#REF!</f>
        <v>#REF!</v>
      </c>
    </row>
    <row r="517" spans="3:28">
      <c r="C517" s="98" t="s">
        <v>88</v>
      </c>
      <c r="D517" s="29" t="e">
        <f>LocalPacking!#REF!</f>
        <v>#REF!</v>
      </c>
      <c r="E517" s="29" t="e">
        <f>LocalPacking!#REF!</f>
        <v>#REF!</v>
      </c>
      <c r="F517" s="29" t="e">
        <f>LocalPacking!#REF!</f>
        <v>#REF!</v>
      </c>
      <c r="G517" s="29" t="e">
        <f>LocalPacking!#REF!</f>
        <v>#REF!</v>
      </c>
      <c r="H517" s="29" t="e">
        <f>LocalPacking!#REF!</f>
        <v>#REF!</v>
      </c>
      <c r="I517" s="29" t="e">
        <f>LocalPacking!#REF!</f>
        <v>#REF!</v>
      </c>
      <c r="J517" s="29" t="e">
        <f>LocalPacking!#REF!</f>
        <v>#REF!</v>
      </c>
      <c r="K517" s="29" t="e">
        <f>LocalPacking!#REF!</f>
        <v>#REF!</v>
      </c>
      <c r="L517" s="29" t="e">
        <f>LocalPacking!#REF!</f>
        <v>#REF!</v>
      </c>
      <c r="M517" s="29" t="e">
        <f>LocalPacking!#REF!</f>
        <v>#REF!</v>
      </c>
      <c r="N517" s="29" t="e">
        <f>LocalPacking!#REF!</f>
        <v>#REF!</v>
      </c>
      <c r="O517" s="29" t="e">
        <f>LocalPacking!#REF!</f>
        <v>#REF!</v>
      </c>
      <c r="P517" s="29" t="e">
        <f>LocalPacking!#REF!</f>
        <v>#REF!</v>
      </c>
      <c r="Q517" s="29" t="e">
        <f>LocalPacking!#REF!</f>
        <v>#REF!</v>
      </c>
      <c r="R517" s="29" t="e">
        <f>LocalPacking!#REF!</f>
        <v>#REF!</v>
      </c>
      <c r="S517" s="29" t="e">
        <f>LocalPacking!#REF!</f>
        <v>#REF!</v>
      </c>
      <c r="T517" s="29" t="e">
        <f>LocalPacking!#REF!</f>
        <v>#REF!</v>
      </c>
      <c r="U517" s="29" t="e">
        <f>LocalPacking!#REF!</f>
        <v>#REF!</v>
      </c>
      <c r="V517" s="29" t="e">
        <f>LocalPacking!#REF!</f>
        <v>#REF!</v>
      </c>
      <c r="W517" s="29" t="e">
        <f>LocalPacking!#REF!</f>
        <v>#REF!</v>
      </c>
      <c r="X517" s="29" t="e">
        <f>LocalPacking!#REF!</f>
        <v>#REF!</v>
      </c>
      <c r="Y517" s="29" t="e">
        <f>LocalPacking!#REF!</f>
        <v>#REF!</v>
      </c>
      <c r="Z517" s="29" t="e">
        <f>LocalPacking!#REF!</f>
        <v>#REF!</v>
      </c>
      <c r="AA517" s="29" t="e">
        <f>LocalPacking!#REF!</f>
        <v>#REF!</v>
      </c>
      <c r="AB517" s="29" t="e">
        <f>LocalPacking!#REF!</f>
        <v>#REF!</v>
      </c>
    </row>
    <row r="518" spans="3:28">
      <c r="C518" s="98" t="s">
        <v>88</v>
      </c>
      <c r="D518" s="29" t="e">
        <f>LocalPacking!#REF!</f>
        <v>#REF!</v>
      </c>
      <c r="E518" s="29" t="e">
        <f>LocalPacking!#REF!</f>
        <v>#REF!</v>
      </c>
      <c r="F518" s="29" t="e">
        <f>LocalPacking!#REF!</f>
        <v>#REF!</v>
      </c>
      <c r="G518" s="29" t="e">
        <f>LocalPacking!#REF!</f>
        <v>#REF!</v>
      </c>
      <c r="H518" s="29" t="e">
        <f>LocalPacking!#REF!</f>
        <v>#REF!</v>
      </c>
      <c r="I518" s="29" t="e">
        <f>LocalPacking!#REF!</f>
        <v>#REF!</v>
      </c>
      <c r="J518" s="29" t="e">
        <f>LocalPacking!#REF!</f>
        <v>#REF!</v>
      </c>
      <c r="K518" s="29" t="e">
        <f>LocalPacking!#REF!</f>
        <v>#REF!</v>
      </c>
      <c r="L518" s="29" t="e">
        <f>LocalPacking!#REF!</f>
        <v>#REF!</v>
      </c>
      <c r="M518" s="29" t="e">
        <f>LocalPacking!#REF!</f>
        <v>#REF!</v>
      </c>
      <c r="N518" s="29" t="e">
        <f>LocalPacking!#REF!</f>
        <v>#REF!</v>
      </c>
      <c r="O518" s="29" t="e">
        <f>LocalPacking!#REF!</f>
        <v>#REF!</v>
      </c>
      <c r="P518" s="29" t="e">
        <f>LocalPacking!#REF!</f>
        <v>#REF!</v>
      </c>
      <c r="Q518" s="29" t="e">
        <f>LocalPacking!#REF!</f>
        <v>#REF!</v>
      </c>
      <c r="R518" s="29" t="e">
        <f>LocalPacking!#REF!</f>
        <v>#REF!</v>
      </c>
      <c r="S518" s="29" t="e">
        <f>LocalPacking!#REF!</f>
        <v>#REF!</v>
      </c>
      <c r="T518" s="29" t="e">
        <f>LocalPacking!#REF!</f>
        <v>#REF!</v>
      </c>
      <c r="U518" s="29" t="e">
        <f>LocalPacking!#REF!</f>
        <v>#REF!</v>
      </c>
      <c r="V518" s="29" t="e">
        <f>LocalPacking!#REF!</f>
        <v>#REF!</v>
      </c>
      <c r="W518" s="29" t="e">
        <f>LocalPacking!#REF!</f>
        <v>#REF!</v>
      </c>
      <c r="X518" s="29" t="e">
        <f>LocalPacking!#REF!</f>
        <v>#REF!</v>
      </c>
      <c r="Y518" s="29" t="e">
        <f>LocalPacking!#REF!</f>
        <v>#REF!</v>
      </c>
      <c r="Z518" s="29" t="e">
        <f>LocalPacking!#REF!</f>
        <v>#REF!</v>
      </c>
      <c r="AA518" s="29" t="e">
        <f>LocalPacking!#REF!</f>
        <v>#REF!</v>
      </c>
      <c r="AB518" s="29" t="e">
        <f>LocalPacking!#REF!</f>
        <v>#REF!</v>
      </c>
    </row>
    <row r="519" spans="3:28">
      <c r="C519" s="98" t="s">
        <v>88</v>
      </c>
      <c r="D519" s="29">
        <f>LocalPacking!C49</f>
        <v>0</v>
      </c>
      <c r="E519" s="29" t="str">
        <f>LocalPacking!G49</f>
        <v>Celeron N4020</v>
      </c>
      <c r="F519" s="29" t="str">
        <f>LocalPacking!D49</f>
        <v>FCST</v>
      </c>
      <c r="G519" s="29">
        <f>LocalPacking!E49</f>
        <v>2600</v>
      </c>
      <c r="H519" s="29" t="str">
        <f>LocalPacking!F49</f>
        <v>E510MA</v>
      </c>
      <c r="I519" s="29">
        <f>LocalPacking!H49</f>
        <v>0</v>
      </c>
      <c r="J519" s="29">
        <f>LocalPacking!I49</f>
        <v>0</v>
      </c>
      <c r="K519" s="29">
        <f>LocalPacking!J49</f>
        <v>0</v>
      </c>
      <c r="L519" s="29">
        <f>LocalPacking!K49</f>
        <v>0</v>
      </c>
      <c r="M519" s="29">
        <f>LocalPacking!L49</f>
        <v>0</v>
      </c>
      <c r="N519" s="29">
        <f>LocalPacking!M49</f>
        <v>0</v>
      </c>
      <c r="O519" s="29">
        <f>LocalPacking!N49</f>
        <v>200</v>
      </c>
      <c r="P519" s="29">
        <f>LocalPacking!P49</f>
        <v>0</v>
      </c>
      <c r="Q519" s="29">
        <f>LocalPacking!Q49</f>
        <v>0</v>
      </c>
      <c r="R519" s="29">
        <f>LocalPacking!R49</f>
        <v>600</v>
      </c>
      <c r="S519" s="29">
        <f>LocalPacking!S49</f>
        <v>600</v>
      </c>
      <c r="T519" s="29">
        <f>LocalPacking!T49</f>
        <v>0</v>
      </c>
      <c r="U519" s="29">
        <f>LocalPacking!U49</f>
        <v>0</v>
      </c>
      <c r="V519" s="29">
        <f>LocalPacking!V49</f>
        <v>0</v>
      </c>
      <c r="W519" s="29">
        <f>LocalPacking!W49</f>
        <v>0</v>
      </c>
      <c r="X519" s="29">
        <f>LocalPacking!X49</f>
        <v>0</v>
      </c>
      <c r="Y519" s="29">
        <f>LocalPacking!Y49</f>
        <v>0</v>
      </c>
      <c r="Z519" s="29" t="e">
        <f>LocalPacking!#REF!</f>
        <v>#REF!</v>
      </c>
      <c r="AA519" s="29">
        <f>LocalPacking!Z49</f>
        <v>0</v>
      </c>
      <c r="AB519" s="29">
        <f>LocalPacking!AA49</f>
        <v>0</v>
      </c>
    </row>
    <row r="520" spans="3:28">
      <c r="C520" s="98" t="s">
        <v>88</v>
      </c>
      <c r="D520" s="29">
        <f>LocalPacking!C50</f>
        <v>0</v>
      </c>
      <c r="E520" s="29" t="str">
        <f>LocalPacking!G50</f>
        <v>Celeron N4020</v>
      </c>
      <c r="F520" s="29">
        <f>LocalPacking!D50</f>
        <v>0</v>
      </c>
      <c r="G520" s="29">
        <f>LocalPacking!E50</f>
        <v>0</v>
      </c>
      <c r="H520" s="29" t="str">
        <f>LocalPacking!F50</f>
        <v>E510MA</v>
      </c>
      <c r="I520" s="29" t="str">
        <f>LocalPacking!H50</f>
        <v>Imported</v>
      </c>
      <c r="J520" s="29" t="str">
        <f>LocalPacking!I50</f>
        <v>Asus</v>
      </c>
      <c r="K520" s="29" t="str">
        <f>LocalPacking!J50</f>
        <v>Giftbox</v>
      </c>
      <c r="L520" s="29">
        <f>LocalPacking!K50</f>
        <v>0</v>
      </c>
      <c r="M520" s="29">
        <f>LocalPacking!L50</f>
        <v>0</v>
      </c>
      <c r="N520" s="29">
        <f>LocalPacking!M50</f>
        <v>0</v>
      </c>
      <c r="O520" s="29">
        <f>LocalPacking!N50</f>
        <v>200</v>
      </c>
      <c r="P520" s="29">
        <f>LocalPacking!P50</f>
        <v>0</v>
      </c>
      <c r="Q520" s="29">
        <f>LocalPacking!Q50</f>
        <v>0</v>
      </c>
      <c r="R520" s="29">
        <f>LocalPacking!R50</f>
        <v>600</v>
      </c>
      <c r="S520" s="29">
        <f>LocalPacking!S50</f>
        <v>600</v>
      </c>
      <c r="T520" s="29">
        <f>LocalPacking!T50</f>
        <v>0</v>
      </c>
      <c r="U520" s="29">
        <f>LocalPacking!U50</f>
        <v>0</v>
      </c>
      <c r="V520" s="29">
        <f>LocalPacking!V50</f>
        <v>0</v>
      </c>
      <c r="W520" s="29">
        <f>LocalPacking!W50</f>
        <v>0</v>
      </c>
      <c r="X520" s="29">
        <f>LocalPacking!X50</f>
        <v>0</v>
      </c>
      <c r="Y520" s="29">
        <f>LocalPacking!Y50</f>
        <v>0</v>
      </c>
      <c r="Z520" s="29" t="e">
        <f>LocalPacking!#REF!</f>
        <v>#REF!</v>
      </c>
      <c r="AA520" s="29">
        <f>LocalPacking!Z50</f>
        <v>2600</v>
      </c>
      <c r="AB520" s="29">
        <f>LocalPacking!AA50</f>
        <v>0</v>
      </c>
    </row>
    <row r="521" spans="3:28">
      <c r="C521" s="98" t="s">
        <v>88</v>
      </c>
      <c r="D521" s="29">
        <f>LocalPacking!C51</f>
        <v>0</v>
      </c>
      <c r="E521" s="29" t="str">
        <f>LocalPacking!G51</f>
        <v>Celeron N4020</v>
      </c>
      <c r="F521" s="29">
        <f>LocalPacking!D51</f>
        <v>0</v>
      </c>
      <c r="G521" s="29">
        <f>LocalPacking!E51</f>
        <v>0</v>
      </c>
      <c r="H521" s="29" t="str">
        <f>LocalPacking!F51</f>
        <v>E510MA</v>
      </c>
      <c r="I521" s="29" t="str">
        <f>LocalPacking!H51</f>
        <v>Local</v>
      </c>
      <c r="J521" s="29" t="str">
        <f>LocalPacking!I51</f>
        <v>Asus</v>
      </c>
      <c r="K521" s="29" t="str">
        <f>LocalPacking!J51</f>
        <v>Giftbox</v>
      </c>
      <c r="L521" s="29">
        <f>LocalPacking!K51</f>
        <v>0</v>
      </c>
      <c r="M521" s="29">
        <f>LocalPacking!L51</f>
        <v>0</v>
      </c>
      <c r="N521" s="29">
        <f>LocalPacking!M51</f>
        <v>0</v>
      </c>
      <c r="O521" s="29">
        <f>LocalPacking!N51</f>
        <v>0</v>
      </c>
      <c r="P521" s="29">
        <f>LocalPacking!P51</f>
        <v>0</v>
      </c>
      <c r="Q521" s="29">
        <f>LocalPacking!Q51</f>
        <v>0</v>
      </c>
      <c r="R521" s="29">
        <f>LocalPacking!R51</f>
        <v>0</v>
      </c>
      <c r="S521" s="29">
        <f>LocalPacking!S51</f>
        <v>0</v>
      </c>
      <c r="T521" s="29">
        <f>LocalPacking!T51</f>
        <v>0</v>
      </c>
      <c r="U521" s="29">
        <f>LocalPacking!U51</f>
        <v>0</v>
      </c>
      <c r="V521" s="29">
        <f>LocalPacking!V51</f>
        <v>0</v>
      </c>
      <c r="W521" s="29">
        <f>LocalPacking!W51</f>
        <v>0</v>
      </c>
      <c r="X521" s="29">
        <f>LocalPacking!X51</f>
        <v>0</v>
      </c>
      <c r="Y521" s="29">
        <f>LocalPacking!Y51</f>
        <v>0</v>
      </c>
      <c r="Z521" s="29" t="e">
        <f>LocalPacking!#REF!</f>
        <v>#REF!</v>
      </c>
      <c r="AA521" s="29">
        <f>LocalPacking!Z51</f>
        <v>0</v>
      </c>
      <c r="AB521" s="29">
        <f>LocalPacking!AA51</f>
        <v>0</v>
      </c>
    </row>
    <row r="522" spans="3:28">
      <c r="C522" s="98" t="s">
        <v>88</v>
      </c>
      <c r="D522" s="29">
        <f>LocalPacking!C52</f>
        <v>0</v>
      </c>
      <c r="E522" s="29" t="str">
        <f>LocalPacking!G52</f>
        <v>Celeron N4020</v>
      </c>
      <c r="F522" s="29" t="str">
        <f>LocalPacking!D52</f>
        <v>FCST</v>
      </c>
      <c r="G522" s="29">
        <f>LocalPacking!E52</f>
        <v>0</v>
      </c>
      <c r="H522" s="29" t="str">
        <f>LocalPacking!F52</f>
        <v>E410MA</v>
      </c>
      <c r="I522" s="29">
        <f>LocalPacking!H52</f>
        <v>0</v>
      </c>
      <c r="J522" s="29">
        <f>LocalPacking!I52</f>
        <v>0</v>
      </c>
      <c r="K522" s="29">
        <f>LocalPacking!J52</f>
        <v>0</v>
      </c>
      <c r="L522" s="29">
        <f>LocalPacking!K52</f>
        <v>0</v>
      </c>
      <c r="M522" s="29">
        <f>LocalPacking!L52</f>
        <v>0</v>
      </c>
      <c r="N522" s="29">
        <f>LocalPacking!M52</f>
        <v>0</v>
      </c>
      <c r="O522" s="29">
        <f>LocalPacking!N52</f>
        <v>0</v>
      </c>
      <c r="P522" s="29">
        <f>LocalPacking!P52</f>
        <v>0</v>
      </c>
      <c r="Q522" s="29">
        <f>LocalPacking!Q52</f>
        <v>0</v>
      </c>
      <c r="R522" s="29">
        <f>LocalPacking!R52</f>
        <v>0</v>
      </c>
      <c r="S522" s="29">
        <f>LocalPacking!S52</f>
        <v>0</v>
      </c>
      <c r="T522" s="29">
        <f>LocalPacking!T52</f>
        <v>0</v>
      </c>
      <c r="U522" s="29">
        <f>LocalPacking!U52</f>
        <v>0</v>
      </c>
      <c r="V522" s="29">
        <f>LocalPacking!V52</f>
        <v>0</v>
      </c>
      <c r="W522" s="29">
        <f>LocalPacking!W52</f>
        <v>0</v>
      </c>
      <c r="X522" s="29">
        <f>LocalPacking!X52</f>
        <v>0</v>
      </c>
      <c r="Y522" s="29">
        <f>LocalPacking!Y52</f>
        <v>0</v>
      </c>
      <c r="Z522" s="29" t="e">
        <f>LocalPacking!#REF!</f>
        <v>#REF!</v>
      </c>
      <c r="AA522" s="29">
        <f>LocalPacking!Z52</f>
        <v>0</v>
      </c>
      <c r="AB522" s="29">
        <f>LocalPacking!AA52</f>
        <v>0</v>
      </c>
    </row>
    <row r="523" spans="3:28">
      <c r="C523" s="98" t="s">
        <v>88</v>
      </c>
      <c r="D523" s="29">
        <f>LocalPacking!C53</f>
        <v>0</v>
      </c>
      <c r="E523" s="29" t="str">
        <f>LocalPacking!G53</f>
        <v>Celeron N4020</v>
      </c>
      <c r="F523" s="29">
        <f>LocalPacking!D53</f>
        <v>0</v>
      </c>
      <c r="G523" s="29">
        <f>LocalPacking!E53</f>
        <v>0</v>
      </c>
      <c r="H523" s="29" t="str">
        <f>LocalPacking!F53</f>
        <v>E410MA</v>
      </c>
      <c r="I523" s="29" t="str">
        <f>LocalPacking!H53</f>
        <v>Imported</v>
      </c>
      <c r="J523" s="29" t="str">
        <f>LocalPacking!I53</f>
        <v>Asus</v>
      </c>
      <c r="K523" s="29" t="str">
        <f>LocalPacking!J53</f>
        <v>Giftbox</v>
      </c>
      <c r="L523" s="29">
        <f>LocalPacking!K53</f>
        <v>0</v>
      </c>
      <c r="M523" s="29">
        <f>LocalPacking!L53</f>
        <v>0</v>
      </c>
      <c r="N523" s="29">
        <f>LocalPacking!M53</f>
        <v>0</v>
      </c>
      <c r="O523" s="29">
        <f>LocalPacking!N53</f>
        <v>0</v>
      </c>
      <c r="P523" s="29">
        <f>LocalPacking!P53</f>
        <v>0</v>
      </c>
      <c r="Q523" s="29">
        <f>LocalPacking!Q53</f>
        <v>0</v>
      </c>
      <c r="R523" s="29">
        <f>LocalPacking!R53</f>
        <v>0</v>
      </c>
      <c r="S523" s="29">
        <f>LocalPacking!S53</f>
        <v>0</v>
      </c>
      <c r="T523" s="29">
        <f>LocalPacking!T53</f>
        <v>0</v>
      </c>
      <c r="U523" s="29">
        <f>LocalPacking!U53</f>
        <v>0</v>
      </c>
      <c r="V523" s="29">
        <f>LocalPacking!V53</f>
        <v>0</v>
      </c>
      <c r="W523" s="29">
        <f>LocalPacking!W53</f>
        <v>0</v>
      </c>
      <c r="X523" s="29">
        <f>LocalPacking!X53</f>
        <v>0</v>
      </c>
      <c r="Y523" s="29">
        <f>LocalPacking!Y53</f>
        <v>0</v>
      </c>
      <c r="Z523" s="29" t="e">
        <f>LocalPacking!#REF!</f>
        <v>#REF!</v>
      </c>
      <c r="AA523" s="29">
        <f>LocalPacking!Z53</f>
        <v>0</v>
      </c>
      <c r="AB523" s="29">
        <f>LocalPacking!AA53</f>
        <v>0</v>
      </c>
    </row>
    <row r="524" spans="3:28">
      <c r="C524" s="98" t="s">
        <v>88</v>
      </c>
      <c r="D524" s="29">
        <f>LocalPacking!C54</f>
        <v>0</v>
      </c>
      <c r="E524" s="29" t="str">
        <f>LocalPacking!G54</f>
        <v>Celeron N4020</v>
      </c>
      <c r="F524" s="29">
        <f>LocalPacking!D54</f>
        <v>0</v>
      </c>
      <c r="G524" s="29">
        <f>LocalPacking!E54</f>
        <v>0</v>
      </c>
      <c r="H524" s="29" t="str">
        <f>LocalPacking!F54</f>
        <v>E410MA</v>
      </c>
      <c r="I524" s="29" t="str">
        <f>LocalPacking!H54</f>
        <v>Local</v>
      </c>
      <c r="J524" s="29" t="str">
        <f>LocalPacking!I54</f>
        <v>Asus</v>
      </c>
      <c r="K524" s="29" t="str">
        <f>LocalPacking!J54</f>
        <v>Giftbox</v>
      </c>
      <c r="L524" s="29">
        <f>LocalPacking!K54</f>
        <v>0</v>
      </c>
      <c r="M524" s="29">
        <f>LocalPacking!L54</f>
        <v>0</v>
      </c>
      <c r="N524" s="29">
        <f>LocalPacking!M54</f>
        <v>0</v>
      </c>
      <c r="O524" s="29">
        <f>LocalPacking!N54</f>
        <v>0</v>
      </c>
      <c r="P524" s="29">
        <f>LocalPacking!P54</f>
        <v>0</v>
      </c>
      <c r="Q524" s="29">
        <f>LocalPacking!Q54</f>
        <v>0</v>
      </c>
      <c r="R524" s="29">
        <f>LocalPacking!R54</f>
        <v>0</v>
      </c>
      <c r="S524" s="29">
        <f>LocalPacking!S54</f>
        <v>0</v>
      </c>
      <c r="T524" s="29">
        <f>LocalPacking!T54</f>
        <v>0</v>
      </c>
      <c r="U524" s="29">
        <f>LocalPacking!U54</f>
        <v>0</v>
      </c>
      <c r="V524" s="29">
        <f>LocalPacking!V54</f>
        <v>0</v>
      </c>
      <c r="W524" s="29">
        <f>LocalPacking!W54</f>
        <v>0</v>
      </c>
      <c r="X524" s="29">
        <f>LocalPacking!X54</f>
        <v>0</v>
      </c>
      <c r="Y524" s="29">
        <f>LocalPacking!Y54</f>
        <v>0</v>
      </c>
      <c r="Z524" s="29" t="e">
        <f>LocalPacking!#REF!</f>
        <v>#REF!</v>
      </c>
      <c r="AA524" s="29">
        <f>LocalPacking!Z54</f>
        <v>0</v>
      </c>
      <c r="AB524" s="29">
        <f>LocalPacking!AA54</f>
        <v>0</v>
      </c>
    </row>
    <row r="525" spans="3:28">
      <c r="C525" s="98" t="s">
        <v>88</v>
      </c>
      <c r="D525" s="29">
        <f>LocalPacking!C55</f>
        <v>0</v>
      </c>
      <c r="E525" s="29" t="str">
        <f>LocalPacking!G55</f>
        <v>Core i5-1135G7</v>
      </c>
      <c r="F525" s="29" t="str">
        <f>LocalPacking!D55</f>
        <v>FCST</v>
      </c>
      <c r="G525" s="29">
        <f>LocalPacking!E55</f>
        <v>950</v>
      </c>
      <c r="H525" s="29" t="str">
        <f>LocalPacking!F55</f>
        <v>X513EA</v>
      </c>
      <c r="I525" s="29">
        <f>LocalPacking!H55</f>
        <v>0</v>
      </c>
      <c r="J525" s="29">
        <f>LocalPacking!I55</f>
        <v>0</v>
      </c>
      <c r="K525" s="29">
        <f>LocalPacking!J55</f>
        <v>0</v>
      </c>
      <c r="L525" s="29">
        <f>LocalPacking!K55</f>
        <v>0</v>
      </c>
      <c r="M525" s="29">
        <f>LocalPacking!L55</f>
        <v>0</v>
      </c>
      <c r="N525" s="29">
        <f>LocalPacking!M55</f>
        <v>0</v>
      </c>
      <c r="O525" s="29">
        <f>LocalPacking!N55</f>
        <v>150</v>
      </c>
      <c r="P525" s="29">
        <f>LocalPacking!P55</f>
        <v>0</v>
      </c>
      <c r="Q525" s="29">
        <f>LocalPacking!Q55</f>
        <v>0</v>
      </c>
      <c r="R525" s="29">
        <f>LocalPacking!R55</f>
        <v>0</v>
      </c>
      <c r="S525" s="29">
        <f>LocalPacking!S55</f>
        <v>0</v>
      </c>
      <c r="T525" s="29">
        <f>LocalPacking!T55</f>
        <v>0</v>
      </c>
      <c r="U525" s="29">
        <f>LocalPacking!U55</f>
        <v>0</v>
      </c>
      <c r="V525" s="29">
        <f>LocalPacking!V55</f>
        <v>0</v>
      </c>
      <c r="W525" s="29">
        <f>LocalPacking!W55</f>
        <v>0</v>
      </c>
      <c r="X525" s="29">
        <f>LocalPacking!X55</f>
        <v>0</v>
      </c>
      <c r="Y525" s="29">
        <f>LocalPacking!Y55</f>
        <v>0</v>
      </c>
      <c r="Z525" s="29" t="e">
        <f>LocalPacking!#REF!</f>
        <v>#REF!</v>
      </c>
      <c r="AA525" s="29">
        <f>LocalPacking!Z55</f>
        <v>0</v>
      </c>
      <c r="AB525" s="29">
        <f>LocalPacking!AA55</f>
        <v>0</v>
      </c>
    </row>
    <row r="526" spans="3:28">
      <c r="C526" s="98" t="s">
        <v>88</v>
      </c>
      <c r="D526" s="29">
        <f>LocalPacking!C56</f>
        <v>0</v>
      </c>
      <c r="E526" s="29" t="str">
        <f>LocalPacking!G56</f>
        <v>Core i5-1135G7</v>
      </c>
      <c r="F526" s="29">
        <f>LocalPacking!D56</f>
        <v>0</v>
      </c>
      <c r="G526" s="29">
        <f>LocalPacking!E56</f>
        <v>0</v>
      </c>
      <c r="H526" s="29" t="str">
        <f>LocalPacking!F56</f>
        <v>X513EA</v>
      </c>
      <c r="I526" s="29" t="str">
        <f>LocalPacking!H56</f>
        <v>Imported</v>
      </c>
      <c r="J526" s="29" t="str">
        <f>LocalPacking!I56</f>
        <v>Asus</v>
      </c>
      <c r="K526" s="29" t="str">
        <f>LocalPacking!J56</f>
        <v>Giftbox</v>
      </c>
      <c r="L526" s="29">
        <f>LocalPacking!K56</f>
        <v>0</v>
      </c>
      <c r="M526" s="29">
        <f>LocalPacking!L56</f>
        <v>0</v>
      </c>
      <c r="N526" s="29">
        <f>LocalPacking!M56</f>
        <v>0</v>
      </c>
      <c r="O526" s="29">
        <f>LocalPacking!N56</f>
        <v>0</v>
      </c>
      <c r="P526" s="29">
        <f>LocalPacking!P56</f>
        <v>0</v>
      </c>
      <c r="Q526" s="29">
        <f>LocalPacking!Q56</f>
        <v>0</v>
      </c>
      <c r="R526" s="29">
        <f>LocalPacking!R56</f>
        <v>0</v>
      </c>
      <c r="S526" s="29">
        <f>LocalPacking!S56</f>
        <v>0</v>
      </c>
      <c r="T526" s="29">
        <f>LocalPacking!T56</f>
        <v>0</v>
      </c>
      <c r="U526" s="29">
        <f>LocalPacking!U56</f>
        <v>0</v>
      </c>
      <c r="V526" s="29">
        <f>LocalPacking!V56</f>
        <v>0</v>
      </c>
      <c r="W526" s="29">
        <f>LocalPacking!W56</f>
        <v>0</v>
      </c>
      <c r="X526" s="29">
        <f>LocalPacking!X56</f>
        <v>0</v>
      </c>
      <c r="Y526" s="29">
        <f>LocalPacking!Y56</f>
        <v>0</v>
      </c>
      <c r="Z526" s="29" t="e">
        <f>LocalPacking!#REF!</f>
        <v>#REF!</v>
      </c>
      <c r="AA526" s="29">
        <f>LocalPacking!Z56</f>
        <v>0</v>
      </c>
      <c r="AB526" s="29">
        <f>LocalPacking!AA56</f>
        <v>0</v>
      </c>
    </row>
    <row r="527" spans="3:28">
      <c r="C527" s="98" t="s">
        <v>88</v>
      </c>
      <c r="D527" s="29">
        <f>LocalPacking!C57</f>
        <v>0</v>
      </c>
      <c r="E527" s="29" t="str">
        <f>LocalPacking!G57</f>
        <v>Core i5-1135G7</v>
      </c>
      <c r="F527" s="29">
        <f>LocalPacking!D57</f>
        <v>0</v>
      </c>
      <c r="G527" s="29">
        <f>LocalPacking!E57</f>
        <v>0</v>
      </c>
      <c r="H527" s="29" t="str">
        <f>LocalPacking!F57</f>
        <v>X513EA</v>
      </c>
      <c r="I527" s="29" t="str">
        <f>LocalPacking!H57</f>
        <v>Local</v>
      </c>
      <c r="J527" s="29" t="str">
        <f>LocalPacking!I57</f>
        <v>Larondine</v>
      </c>
      <c r="K527" s="29" t="str">
        <f>LocalPacking!J57</f>
        <v>Giftbox</v>
      </c>
      <c r="L527" s="29">
        <f>LocalPacking!K57</f>
        <v>0</v>
      </c>
      <c r="M527" s="29">
        <f>LocalPacking!L57</f>
        <v>0</v>
      </c>
      <c r="N527" s="29" t="str">
        <f>LocalPacking!M57</f>
        <v>15000-09107100</v>
      </c>
      <c r="O527" s="29">
        <f>LocalPacking!N57</f>
        <v>150</v>
      </c>
      <c r="P527" s="29">
        <f>LocalPacking!P57</f>
        <v>0</v>
      </c>
      <c r="Q527" s="29">
        <f>LocalPacking!Q57</f>
        <v>0</v>
      </c>
      <c r="R527" s="29">
        <f>LocalPacking!R57</f>
        <v>0</v>
      </c>
      <c r="S527" s="29">
        <f>LocalPacking!S57</f>
        <v>0</v>
      </c>
      <c r="T527" s="29">
        <f>LocalPacking!T57</f>
        <v>0</v>
      </c>
      <c r="U527" s="29">
        <f>LocalPacking!U57</f>
        <v>0</v>
      </c>
      <c r="V527" s="29">
        <f>LocalPacking!V57</f>
        <v>0</v>
      </c>
      <c r="W527" s="29">
        <f>LocalPacking!W57</f>
        <v>0</v>
      </c>
      <c r="X527" s="29">
        <f>LocalPacking!X57</f>
        <v>0</v>
      </c>
      <c r="Y527" s="29">
        <f>LocalPacking!Y57</f>
        <v>0</v>
      </c>
      <c r="Z527" s="29" t="e">
        <f>LocalPacking!#REF!</f>
        <v>#REF!</v>
      </c>
      <c r="AA527" s="29">
        <f>LocalPacking!Z57</f>
        <v>950</v>
      </c>
      <c r="AB527" s="29">
        <f>LocalPacking!AA57</f>
        <v>0</v>
      </c>
    </row>
    <row r="528" spans="3:28">
      <c r="C528" s="98" t="s">
        <v>88</v>
      </c>
      <c r="D528" s="29">
        <f>LocalPacking!C58</f>
        <v>0</v>
      </c>
      <c r="E528" s="29" t="str">
        <f>LocalPacking!G58</f>
        <v>Core i5-1135G7</v>
      </c>
      <c r="F528" s="29">
        <f>LocalPacking!D58</f>
        <v>0</v>
      </c>
      <c r="G528" s="29">
        <f>LocalPacking!E58</f>
        <v>0</v>
      </c>
      <c r="H528" s="29" t="str">
        <f>LocalPacking!F58</f>
        <v>X513EA</v>
      </c>
      <c r="I528" s="29" t="str">
        <f>LocalPacking!H58</f>
        <v>Local</v>
      </c>
      <c r="J528" s="29" t="str">
        <f>LocalPacking!I58</f>
        <v>Larondine</v>
      </c>
      <c r="K528" s="29" t="str">
        <f>LocalPacking!J58</f>
        <v xml:space="preserve">ACCESSORY BOX </v>
      </c>
      <c r="L528" s="29">
        <f>LocalPacking!K58</f>
        <v>0</v>
      </c>
      <c r="M528" s="29">
        <f>LocalPacking!L58</f>
        <v>0</v>
      </c>
      <c r="N528" s="29" t="str">
        <f>LocalPacking!M58</f>
        <v>15020-03220000</v>
      </c>
      <c r="O528" s="29">
        <f>LocalPacking!N58</f>
        <v>150</v>
      </c>
      <c r="P528" s="29">
        <f>LocalPacking!P58</f>
        <v>0</v>
      </c>
      <c r="Q528" s="29">
        <f>LocalPacking!Q58</f>
        <v>0</v>
      </c>
      <c r="R528" s="29">
        <f>LocalPacking!R58</f>
        <v>0</v>
      </c>
      <c r="S528" s="29">
        <f>LocalPacking!S58</f>
        <v>0</v>
      </c>
      <c r="T528" s="29">
        <f>LocalPacking!T58</f>
        <v>0</v>
      </c>
      <c r="U528" s="29">
        <f>LocalPacking!U58</f>
        <v>0</v>
      </c>
      <c r="V528" s="29">
        <f>LocalPacking!V58</f>
        <v>0</v>
      </c>
      <c r="W528" s="29">
        <f>LocalPacking!W58</f>
        <v>0</v>
      </c>
      <c r="X528" s="29">
        <f>LocalPacking!X58</f>
        <v>0</v>
      </c>
      <c r="Y528" s="29">
        <f>LocalPacking!Y58</f>
        <v>0</v>
      </c>
      <c r="Z528" s="29" t="e">
        <f>LocalPacking!#REF!</f>
        <v>#REF!</v>
      </c>
      <c r="AA528" s="29">
        <f>LocalPacking!Z58</f>
        <v>0</v>
      </c>
      <c r="AB528" s="29">
        <f>LocalPacking!AA58</f>
        <v>0</v>
      </c>
    </row>
    <row r="529" spans="3:28">
      <c r="C529" s="98" t="s">
        <v>88</v>
      </c>
      <c r="D529" s="29">
        <f>LocalPacking!C59</f>
        <v>0</v>
      </c>
      <c r="E529" s="29" t="str">
        <f>LocalPacking!G59</f>
        <v>Core i5-1135G7</v>
      </c>
      <c r="F529" s="29">
        <f>LocalPacking!D59</f>
        <v>0</v>
      </c>
      <c r="G529" s="29">
        <f>LocalPacking!E59</f>
        <v>0</v>
      </c>
      <c r="H529" s="29" t="str">
        <f>LocalPacking!F59</f>
        <v>X513EA</v>
      </c>
      <c r="I529" s="29" t="str">
        <f>LocalPacking!H59</f>
        <v>Local</v>
      </c>
      <c r="J529" s="29" t="str">
        <f>LocalPacking!I59</f>
        <v>Larondine</v>
      </c>
      <c r="K529" s="29" t="str">
        <f>LocalPacking!J59</f>
        <v>EPE</v>
      </c>
      <c r="L529" s="29">
        <f>LocalPacking!K59</f>
        <v>0</v>
      </c>
      <c r="M529" s="29">
        <f>LocalPacking!L59</f>
        <v>2</v>
      </c>
      <c r="N529" s="29" t="str">
        <f>LocalPacking!M59</f>
        <v>15050-04165000</v>
      </c>
      <c r="O529" s="29">
        <f>LocalPacking!N59</f>
        <v>300</v>
      </c>
      <c r="P529" s="29">
        <f>LocalPacking!P59</f>
        <v>0</v>
      </c>
      <c r="Q529" s="29">
        <f>LocalPacking!Q59</f>
        <v>0</v>
      </c>
      <c r="R529" s="29">
        <f>LocalPacking!R59</f>
        <v>0</v>
      </c>
      <c r="S529" s="29">
        <f>LocalPacking!S59</f>
        <v>0</v>
      </c>
      <c r="T529" s="29">
        <f>LocalPacking!T59</f>
        <v>0</v>
      </c>
      <c r="U529" s="29">
        <f>LocalPacking!U59</f>
        <v>0</v>
      </c>
      <c r="V529" s="29">
        <f>LocalPacking!V59</f>
        <v>0</v>
      </c>
      <c r="W529" s="29">
        <f>LocalPacking!W59</f>
        <v>0</v>
      </c>
      <c r="X529" s="29">
        <f>LocalPacking!X59</f>
        <v>0</v>
      </c>
      <c r="Y529" s="29">
        <f>LocalPacking!Y59</f>
        <v>0</v>
      </c>
      <c r="Z529" s="29" t="e">
        <f>LocalPacking!#REF!</f>
        <v>#REF!</v>
      </c>
      <c r="AA529" s="29">
        <f>LocalPacking!Z59</f>
        <v>0</v>
      </c>
      <c r="AB529" s="29">
        <f>LocalPacking!AA59</f>
        <v>0</v>
      </c>
    </row>
    <row r="530" spans="3:28">
      <c r="C530" s="98" t="s">
        <v>88</v>
      </c>
      <c r="D530" s="29">
        <f>LocalPacking!C60</f>
        <v>0</v>
      </c>
      <c r="E530" s="29" t="str">
        <f>LocalPacking!G60</f>
        <v>Core i7-1165G7</v>
      </c>
      <c r="F530" s="29" t="str">
        <f>LocalPacking!D60</f>
        <v>FCST</v>
      </c>
      <c r="G530" s="29">
        <f>LocalPacking!E60</f>
        <v>750</v>
      </c>
      <c r="H530" s="29" t="str">
        <f>LocalPacking!F60</f>
        <v>X513EA</v>
      </c>
      <c r="I530" s="29">
        <f>LocalPacking!H60</f>
        <v>0</v>
      </c>
      <c r="J530" s="29">
        <f>LocalPacking!I60</f>
        <v>0</v>
      </c>
      <c r="K530" s="29">
        <f>LocalPacking!J60</f>
        <v>0</v>
      </c>
      <c r="L530" s="29">
        <f>LocalPacking!K60</f>
        <v>0</v>
      </c>
      <c r="M530" s="29">
        <f>LocalPacking!L60</f>
        <v>0</v>
      </c>
      <c r="N530" s="29">
        <f>LocalPacking!M60</f>
        <v>0</v>
      </c>
      <c r="O530" s="29">
        <f>LocalPacking!N60</f>
        <v>150</v>
      </c>
      <c r="P530" s="29">
        <f>LocalPacking!P60</f>
        <v>0</v>
      </c>
      <c r="Q530" s="29">
        <f>LocalPacking!Q60</f>
        <v>0</v>
      </c>
      <c r="R530" s="29">
        <f>LocalPacking!R60</f>
        <v>0</v>
      </c>
      <c r="S530" s="29">
        <f>LocalPacking!S60</f>
        <v>0</v>
      </c>
      <c r="T530" s="29">
        <f>LocalPacking!T60</f>
        <v>0</v>
      </c>
      <c r="U530" s="29">
        <f>LocalPacking!U60</f>
        <v>0</v>
      </c>
      <c r="V530" s="29">
        <f>LocalPacking!V60</f>
        <v>0</v>
      </c>
      <c r="W530" s="29">
        <f>LocalPacking!W60</f>
        <v>0</v>
      </c>
      <c r="X530" s="29">
        <f>LocalPacking!X60</f>
        <v>0</v>
      </c>
      <c r="Y530" s="29">
        <f>LocalPacking!Y60</f>
        <v>0</v>
      </c>
      <c r="Z530" s="29" t="e">
        <f>LocalPacking!#REF!</f>
        <v>#REF!</v>
      </c>
      <c r="AA530" s="29">
        <f>LocalPacking!Z60</f>
        <v>0</v>
      </c>
      <c r="AB530" s="29">
        <f>LocalPacking!AA60</f>
        <v>0</v>
      </c>
    </row>
    <row r="531" spans="3:28">
      <c r="C531" s="98" t="s">
        <v>88</v>
      </c>
      <c r="D531" s="29">
        <f>LocalPacking!C61</f>
        <v>0</v>
      </c>
      <c r="E531" s="29" t="str">
        <f>LocalPacking!G61</f>
        <v>Core i7-1165G7</v>
      </c>
      <c r="F531" s="29">
        <f>LocalPacking!D61</f>
        <v>0</v>
      </c>
      <c r="G531" s="29">
        <f>LocalPacking!E61</f>
        <v>0</v>
      </c>
      <c r="H531" s="29" t="str">
        <f>LocalPacking!F61</f>
        <v>X513EA</v>
      </c>
      <c r="I531" s="29" t="str">
        <f>LocalPacking!H61</f>
        <v>Imported</v>
      </c>
      <c r="J531" s="29" t="str">
        <f>LocalPacking!I61</f>
        <v>Asus</v>
      </c>
      <c r="K531" s="29" t="str">
        <f>LocalPacking!J61</f>
        <v>Giftbox</v>
      </c>
      <c r="L531" s="29">
        <f>LocalPacking!K61</f>
        <v>0</v>
      </c>
      <c r="M531" s="29">
        <f>LocalPacking!L61</f>
        <v>0</v>
      </c>
      <c r="N531" s="29">
        <f>LocalPacking!M61</f>
        <v>0</v>
      </c>
      <c r="O531" s="29">
        <f>LocalPacking!N61</f>
        <v>0</v>
      </c>
      <c r="P531" s="29">
        <f>LocalPacking!P61</f>
        <v>0</v>
      </c>
      <c r="Q531" s="29">
        <f>LocalPacking!Q61</f>
        <v>0</v>
      </c>
      <c r="R531" s="29">
        <f>LocalPacking!R61</f>
        <v>0</v>
      </c>
      <c r="S531" s="29">
        <f>LocalPacking!S61</f>
        <v>0</v>
      </c>
      <c r="T531" s="29">
        <f>LocalPacking!T61</f>
        <v>0</v>
      </c>
      <c r="U531" s="29">
        <f>LocalPacking!U61</f>
        <v>0</v>
      </c>
      <c r="V531" s="29">
        <f>LocalPacking!V61</f>
        <v>0</v>
      </c>
      <c r="W531" s="29">
        <f>LocalPacking!W61</f>
        <v>0</v>
      </c>
      <c r="X531" s="29">
        <f>LocalPacking!X61</f>
        <v>0</v>
      </c>
      <c r="Y531" s="29">
        <f>LocalPacking!Y61</f>
        <v>0</v>
      </c>
      <c r="Z531" s="29" t="e">
        <f>LocalPacking!#REF!</f>
        <v>#REF!</v>
      </c>
      <c r="AA531" s="29">
        <f>LocalPacking!Z61</f>
        <v>0</v>
      </c>
      <c r="AB531" s="29">
        <f>LocalPacking!AA61</f>
        <v>0</v>
      </c>
    </row>
    <row r="532" spans="3:28">
      <c r="C532" s="98" t="s">
        <v>88</v>
      </c>
      <c r="D532" s="29">
        <f>LocalPacking!C62</f>
        <v>0</v>
      </c>
      <c r="E532" s="29" t="str">
        <f>LocalPacking!G62</f>
        <v>Core i7-1165G7</v>
      </c>
      <c r="F532" s="29">
        <f>LocalPacking!D62</f>
        <v>0</v>
      </c>
      <c r="G532" s="29">
        <f>LocalPacking!E62</f>
        <v>0</v>
      </c>
      <c r="H532" s="29" t="str">
        <f>LocalPacking!F62</f>
        <v>X513EA</v>
      </c>
      <c r="I532" s="29" t="str">
        <f>LocalPacking!H62</f>
        <v>Local</v>
      </c>
      <c r="J532" s="29" t="str">
        <f>LocalPacking!I62</f>
        <v>Larondine</v>
      </c>
      <c r="K532" s="29" t="str">
        <f>LocalPacking!J62</f>
        <v>Giftbox</v>
      </c>
      <c r="L532" s="29">
        <f>LocalPacking!K62</f>
        <v>0</v>
      </c>
      <c r="M532" s="29">
        <f>LocalPacking!L62</f>
        <v>0</v>
      </c>
      <c r="N532" s="29" t="str">
        <f>LocalPacking!M62</f>
        <v>15000-09107100</v>
      </c>
      <c r="O532" s="29">
        <f>LocalPacking!N62</f>
        <v>150</v>
      </c>
      <c r="P532" s="29">
        <f>LocalPacking!P62</f>
        <v>0</v>
      </c>
      <c r="Q532" s="29">
        <f>LocalPacking!Q62</f>
        <v>0</v>
      </c>
      <c r="R532" s="29">
        <f>LocalPacking!R62</f>
        <v>0</v>
      </c>
      <c r="S532" s="29">
        <f>LocalPacking!S62</f>
        <v>0</v>
      </c>
      <c r="T532" s="29">
        <f>LocalPacking!T62</f>
        <v>0</v>
      </c>
      <c r="U532" s="29">
        <f>LocalPacking!U62</f>
        <v>0</v>
      </c>
      <c r="V532" s="29">
        <f>LocalPacking!V62</f>
        <v>0</v>
      </c>
      <c r="W532" s="29">
        <f>LocalPacking!W62</f>
        <v>0</v>
      </c>
      <c r="X532" s="29">
        <f>LocalPacking!X62</f>
        <v>0</v>
      </c>
      <c r="Y532" s="29">
        <f>LocalPacking!Y62</f>
        <v>0</v>
      </c>
      <c r="Z532" s="29" t="e">
        <f>LocalPacking!#REF!</f>
        <v>#REF!</v>
      </c>
      <c r="AA532" s="29">
        <f>LocalPacking!Z62</f>
        <v>750</v>
      </c>
      <c r="AB532" s="29">
        <f>LocalPacking!AA62</f>
        <v>0</v>
      </c>
    </row>
    <row r="533" spans="3:28">
      <c r="C533" s="98" t="s">
        <v>88</v>
      </c>
      <c r="D533" s="29">
        <f>LocalPacking!C63</f>
        <v>0</v>
      </c>
      <c r="E533" s="29" t="str">
        <f>LocalPacking!G63</f>
        <v>Core i7-1165G7</v>
      </c>
      <c r="F533" s="29">
        <f>LocalPacking!D63</f>
        <v>0</v>
      </c>
      <c r="G533" s="29">
        <f>LocalPacking!E63</f>
        <v>0</v>
      </c>
      <c r="H533" s="29" t="str">
        <f>LocalPacking!F63</f>
        <v>X513EA</v>
      </c>
      <c r="I533" s="29" t="str">
        <f>LocalPacking!H63</f>
        <v>Local</v>
      </c>
      <c r="J533" s="29" t="str">
        <f>LocalPacking!I63</f>
        <v>Larondine</v>
      </c>
      <c r="K533" s="29" t="str">
        <f>LocalPacking!J63</f>
        <v xml:space="preserve">ACCESSORY BOX </v>
      </c>
      <c r="L533" s="29">
        <f>LocalPacking!K63</f>
        <v>0</v>
      </c>
      <c r="M533" s="29">
        <f>LocalPacking!L63</f>
        <v>0</v>
      </c>
      <c r="N533" s="29" t="str">
        <f>LocalPacking!M63</f>
        <v>15020-03220000</v>
      </c>
      <c r="O533" s="29">
        <f>LocalPacking!N63</f>
        <v>150</v>
      </c>
      <c r="P533" s="29">
        <f>LocalPacking!P63</f>
        <v>0</v>
      </c>
      <c r="Q533" s="29">
        <f>LocalPacking!Q63</f>
        <v>0</v>
      </c>
      <c r="R533" s="29">
        <f>LocalPacking!R63</f>
        <v>0</v>
      </c>
      <c r="S533" s="29">
        <f>LocalPacking!S63</f>
        <v>0</v>
      </c>
      <c r="T533" s="29">
        <f>LocalPacking!T63</f>
        <v>0</v>
      </c>
      <c r="U533" s="29">
        <f>LocalPacking!U63</f>
        <v>0</v>
      </c>
      <c r="V533" s="29">
        <f>LocalPacking!V63</f>
        <v>0</v>
      </c>
      <c r="W533" s="29">
        <f>LocalPacking!W63</f>
        <v>0</v>
      </c>
      <c r="X533" s="29">
        <f>LocalPacking!X63</f>
        <v>0</v>
      </c>
      <c r="Y533" s="29">
        <f>LocalPacking!Y63</f>
        <v>0</v>
      </c>
      <c r="Z533" s="29" t="e">
        <f>LocalPacking!#REF!</f>
        <v>#REF!</v>
      </c>
      <c r="AA533" s="29">
        <f>LocalPacking!Z63</f>
        <v>0</v>
      </c>
      <c r="AB533" s="29">
        <f>LocalPacking!AA63</f>
        <v>0</v>
      </c>
    </row>
    <row r="534" spans="3:28">
      <c r="C534" s="98" t="s">
        <v>88</v>
      </c>
      <c r="D534" s="29">
        <f>LocalPacking!C64</f>
        <v>0</v>
      </c>
      <c r="E534" s="29" t="str">
        <f>LocalPacking!G64</f>
        <v>Core i7-1165G7</v>
      </c>
      <c r="F534" s="29">
        <f>LocalPacking!D64</f>
        <v>0</v>
      </c>
      <c r="G534" s="29">
        <f>LocalPacking!E64</f>
        <v>0</v>
      </c>
      <c r="H534" s="29" t="str">
        <f>LocalPacking!F64</f>
        <v>X513EA</v>
      </c>
      <c r="I534" s="29" t="str">
        <f>LocalPacking!H64</f>
        <v>Local</v>
      </c>
      <c r="J534" s="29" t="str">
        <f>LocalPacking!I64</f>
        <v>Larondine</v>
      </c>
      <c r="K534" s="29" t="str">
        <f>LocalPacking!J64</f>
        <v>EPE</v>
      </c>
      <c r="L534" s="29">
        <f>LocalPacking!K64</f>
        <v>0</v>
      </c>
      <c r="M534" s="29">
        <f>LocalPacking!L64</f>
        <v>2</v>
      </c>
      <c r="N534" s="29" t="str">
        <f>LocalPacking!M64</f>
        <v>15050-04165000</v>
      </c>
      <c r="O534" s="29">
        <f>LocalPacking!N64</f>
        <v>300</v>
      </c>
      <c r="P534" s="29">
        <f>LocalPacking!P64</f>
        <v>0</v>
      </c>
      <c r="Q534" s="29">
        <f>LocalPacking!Q64</f>
        <v>0</v>
      </c>
      <c r="R534" s="29">
        <f>LocalPacking!R64</f>
        <v>0</v>
      </c>
      <c r="S534" s="29">
        <f>LocalPacking!S64</f>
        <v>0</v>
      </c>
      <c r="T534" s="29">
        <f>LocalPacking!T64</f>
        <v>0</v>
      </c>
      <c r="U534" s="29">
        <f>LocalPacking!U64</f>
        <v>0</v>
      </c>
      <c r="V534" s="29">
        <f>LocalPacking!V64</f>
        <v>0</v>
      </c>
      <c r="W534" s="29">
        <f>LocalPacking!W64</f>
        <v>0</v>
      </c>
      <c r="X534" s="29">
        <f>LocalPacking!X64</f>
        <v>0</v>
      </c>
      <c r="Y534" s="29">
        <f>LocalPacking!Y64</f>
        <v>0</v>
      </c>
      <c r="Z534" s="29" t="e">
        <f>LocalPacking!#REF!</f>
        <v>#REF!</v>
      </c>
      <c r="AA534" s="29">
        <f>LocalPacking!Z64</f>
        <v>0</v>
      </c>
      <c r="AB534" s="29">
        <f>LocalPacking!AA64</f>
        <v>0</v>
      </c>
    </row>
    <row r="535" spans="3:28">
      <c r="C535" s="98" t="s">
        <v>88</v>
      </c>
      <c r="D535" s="29">
        <f>LocalPacking!C70</f>
        <v>0</v>
      </c>
      <c r="E535" s="29" t="str">
        <f>LocalPacking!G70</f>
        <v>Core i7-1165G7</v>
      </c>
      <c r="F535" s="29" t="str">
        <f>LocalPacking!D70</f>
        <v>FCST</v>
      </c>
      <c r="G535" s="29">
        <f>LocalPacking!E70</f>
        <v>0</v>
      </c>
      <c r="H535" s="29" t="str">
        <f>LocalPacking!F70</f>
        <v>K513EQ</v>
      </c>
      <c r="I535" s="29">
        <f>LocalPacking!H70</f>
        <v>0</v>
      </c>
      <c r="J535" s="29">
        <f>LocalPacking!I70</f>
        <v>0</v>
      </c>
      <c r="K535" s="29">
        <f>LocalPacking!J70</f>
        <v>0</v>
      </c>
      <c r="L535" s="29">
        <f>LocalPacking!K70</f>
        <v>0</v>
      </c>
      <c r="M535" s="29">
        <f>LocalPacking!L70</f>
        <v>0</v>
      </c>
      <c r="N535" s="29">
        <f>LocalPacking!M70</f>
        <v>0</v>
      </c>
      <c r="O535" s="29">
        <f>LocalPacking!N70</f>
        <v>0</v>
      </c>
      <c r="P535" s="29">
        <f>LocalPacking!P70</f>
        <v>0</v>
      </c>
      <c r="Q535" s="29">
        <f>LocalPacking!Q70</f>
        <v>0</v>
      </c>
      <c r="R535" s="29">
        <f>LocalPacking!R70</f>
        <v>0</v>
      </c>
      <c r="S535" s="29">
        <f>LocalPacking!S70</f>
        <v>0</v>
      </c>
      <c r="T535" s="29">
        <f>LocalPacking!T70</f>
        <v>0</v>
      </c>
      <c r="U535" s="29">
        <f>LocalPacking!U70</f>
        <v>0</v>
      </c>
      <c r="V535" s="29">
        <f>LocalPacking!V70</f>
        <v>0</v>
      </c>
      <c r="W535" s="29">
        <f>LocalPacking!W70</f>
        <v>0</v>
      </c>
      <c r="X535" s="29">
        <f>LocalPacking!X70</f>
        <v>0</v>
      </c>
      <c r="Y535" s="29">
        <f>LocalPacking!Y70</f>
        <v>0</v>
      </c>
      <c r="Z535" s="29" t="e">
        <f>LocalPacking!#REF!</f>
        <v>#REF!</v>
      </c>
      <c r="AA535" s="29">
        <f>LocalPacking!Z70</f>
        <v>0</v>
      </c>
      <c r="AB535" s="29">
        <f>LocalPacking!AA70</f>
        <v>0</v>
      </c>
    </row>
    <row r="536" spans="3:28">
      <c r="C536" s="98" t="s">
        <v>88</v>
      </c>
      <c r="D536" s="29">
        <f>LocalPacking!C71</f>
        <v>0</v>
      </c>
      <c r="E536" s="29" t="str">
        <f>LocalPacking!G71</f>
        <v>Core i7-1165G7</v>
      </c>
      <c r="F536" s="29">
        <f>LocalPacking!D71</f>
        <v>0</v>
      </c>
      <c r="G536" s="29">
        <f>LocalPacking!E71</f>
        <v>0</v>
      </c>
      <c r="H536" s="29" t="str">
        <f>LocalPacking!F71</f>
        <v>K513EQ</v>
      </c>
      <c r="I536" s="29" t="str">
        <f>LocalPacking!H71</f>
        <v>Imported</v>
      </c>
      <c r="J536" s="29" t="str">
        <f>LocalPacking!I71</f>
        <v>Asus</v>
      </c>
      <c r="K536" s="29" t="str">
        <f>LocalPacking!J71</f>
        <v>Giftbox</v>
      </c>
      <c r="L536" s="29">
        <f>LocalPacking!K71</f>
        <v>0</v>
      </c>
      <c r="M536" s="29">
        <f>LocalPacking!L71</f>
        <v>0</v>
      </c>
      <c r="N536" s="29">
        <f>LocalPacking!M71</f>
        <v>0</v>
      </c>
      <c r="O536" s="29">
        <f>LocalPacking!N71</f>
        <v>0</v>
      </c>
      <c r="P536" s="29">
        <f>LocalPacking!P71</f>
        <v>0</v>
      </c>
      <c r="Q536" s="29">
        <f>LocalPacking!Q71</f>
        <v>0</v>
      </c>
      <c r="R536" s="29">
        <f>LocalPacking!R71</f>
        <v>0</v>
      </c>
      <c r="S536" s="29">
        <f>LocalPacking!S71</f>
        <v>0</v>
      </c>
      <c r="T536" s="29">
        <f>LocalPacking!T71</f>
        <v>0</v>
      </c>
      <c r="U536" s="29">
        <f>LocalPacking!U71</f>
        <v>0</v>
      </c>
      <c r="V536" s="29">
        <f>LocalPacking!V71</f>
        <v>0</v>
      </c>
      <c r="W536" s="29">
        <f>LocalPacking!W71</f>
        <v>0</v>
      </c>
      <c r="X536" s="29">
        <f>LocalPacking!X71</f>
        <v>0</v>
      </c>
      <c r="Y536" s="29">
        <f>LocalPacking!Y71</f>
        <v>0</v>
      </c>
      <c r="Z536" s="29" t="e">
        <f>LocalPacking!#REF!</f>
        <v>#REF!</v>
      </c>
      <c r="AA536" s="29">
        <f>LocalPacking!Z71</f>
        <v>0</v>
      </c>
      <c r="AB536" s="29">
        <f>LocalPacking!AA71</f>
        <v>0</v>
      </c>
    </row>
    <row r="537" spans="3:28">
      <c r="C537" s="98" t="s">
        <v>88</v>
      </c>
      <c r="D537" s="29">
        <f>LocalPacking!C72</f>
        <v>0</v>
      </c>
      <c r="E537" s="29" t="str">
        <f>LocalPacking!G72</f>
        <v>Core i7-1165G7</v>
      </c>
      <c r="F537" s="29">
        <f>LocalPacking!D72</f>
        <v>0</v>
      </c>
      <c r="G537" s="29">
        <f>LocalPacking!E72</f>
        <v>0</v>
      </c>
      <c r="H537" s="29" t="str">
        <f>LocalPacking!F72</f>
        <v>K513EQ</v>
      </c>
      <c r="I537" s="29" t="str">
        <f>LocalPacking!H72</f>
        <v>Local</v>
      </c>
      <c r="J537" s="29" t="str">
        <f>LocalPacking!I72</f>
        <v>Larondine</v>
      </c>
      <c r="K537" s="29" t="str">
        <f>LocalPacking!J72</f>
        <v>Giftbox</v>
      </c>
      <c r="L537" s="29">
        <f>LocalPacking!K72</f>
        <v>0</v>
      </c>
      <c r="M537" s="29">
        <f>LocalPacking!L72</f>
        <v>0</v>
      </c>
      <c r="N537" s="29" t="str">
        <f>LocalPacking!M72</f>
        <v>15000-09107100</v>
      </c>
      <c r="O537" s="29">
        <f>LocalPacking!N72</f>
        <v>0</v>
      </c>
      <c r="P537" s="29">
        <f>LocalPacking!P72</f>
        <v>0</v>
      </c>
      <c r="Q537" s="29">
        <f>LocalPacking!Q72</f>
        <v>0</v>
      </c>
      <c r="R537" s="29">
        <f>LocalPacking!R72</f>
        <v>0</v>
      </c>
      <c r="S537" s="29">
        <f>LocalPacking!S72</f>
        <v>0</v>
      </c>
      <c r="T537" s="29">
        <f>LocalPacking!T72</f>
        <v>0</v>
      </c>
      <c r="U537" s="29">
        <f>LocalPacking!U72</f>
        <v>0</v>
      </c>
      <c r="V537" s="29">
        <f>LocalPacking!V72</f>
        <v>0</v>
      </c>
      <c r="W537" s="29">
        <f>LocalPacking!W72</f>
        <v>0</v>
      </c>
      <c r="X537" s="29">
        <f>LocalPacking!X72</f>
        <v>0</v>
      </c>
      <c r="Y537" s="29">
        <f>LocalPacking!Y72</f>
        <v>0</v>
      </c>
      <c r="Z537" s="29" t="e">
        <f>LocalPacking!#REF!</f>
        <v>#REF!</v>
      </c>
      <c r="AA537" s="29">
        <f>LocalPacking!Z72</f>
        <v>0</v>
      </c>
      <c r="AB537" s="29">
        <f>LocalPacking!AA72</f>
        <v>0</v>
      </c>
    </row>
    <row r="538" spans="3:28">
      <c r="C538" s="98" t="s">
        <v>88</v>
      </c>
      <c r="D538" s="29">
        <f>LocalPacking!C73</f>
        <v>0</v>
      </c>
      <c r="E538" s="29" t="str">
        <f>LocalPacking!G73</f>
        <v>Core i7-1165G7</v>
      </c>
      <c r="F538" s="29">
        <f>LocalPacking!D73</f>
        <v>0</v>
      </c>
      <c r="G538" s="29">
        <f>LocalPacking!E73</f>
        <v>0</v>
      </c>
      <c r="H538" s="29" t="str">
        <f>LocalPacking!F73</f>
        <v>K513EQ</v>
      </c>
      <c r="I538" s="29" t="str">
        <f>LocalPacking!H73</f>
        <v>Local</v>
      </c>
      <c r="J538" s="29" t="str">
        <f>LocalPacking!I73</f>
        <v>Larondine</v>
      </c>
      <c r="K538" s="29" t="str">
        <f>LocalPacking!J73</f>
        <v xml:space="preserve">ACCESSORY BOX </v>
      </c>
      <c r="L538" s="29">
        <f>LocalPacking!K73</f>
        <v>0</v>
      </c>
      <c r="M538" s="29">
        <f>LocalPacking!L73</f>
        <v>0</v>
      </c>
      <c r="N538" s="29" t="str">
        <f>LocalPacking!M73</f>
        <v>15020-03220000</v>
      </c>
      <c r="O538" s="29">
        <f>LocalPacking!N73</f>
        <v>0</v>
      </c>
      <c r="P538" s="29">
        <f>LocalPacking!P73</f>
        <v>0</v>
      </c>
      <c r="Q538" s="29">
        <f>LocalPacking!Q73</f>
        <v>0</v>
      </c>
      <c r="R538" s="29">
        <f>LocalPacking!R73</f>
        <v>0</v>
      </c>
      <c r="S538" s="29">
        <f>LocalPacking!S73</f>
        <v>0</v>
      </c>
      <c r="T538" s="29">
        <f>LocalPacking!T73</f>
        <v>0</v>
      </c>
      <c r="U538" s="29">
        <f>LocalPacking!U73</f>
        <v>0</v>
      </c>
      <c r="V538" s="29">
        <f>LocalPacking!V73</f>
        <v>0</v>
      </c>
      <c r="W538" s="29">
        <f>LocalPacking!W73</f>
        <v>0</v>
      </c>
      <c r="X538" s="29">
        <f>LocalPacking!X73</f>
        <v>0</v>
      </c>
      <c r="Y538" s="29">
        <f>LocalPacking!Y73</f>
        <v>0</v>
      </c>
      <c r="Z538" s="29" t="e">
        <f>LocalPacking!#REF!</f>
        <v>#REF!</v>
      </c>
      <c r="AA538" s="29">
        <f>LocalPacking!Z73</f>
        <v>0</v>
      </c>
      <c r="AB538" s="29">
        <f>LocalPacking!AA73</f>
        <v>0</v>
      </c>
    </row>
    <row r="539" spans="3:28">
      <c r="C539" s="98" t="s">
        <v>88</v>
      </c>
      <c r="D539" s="29">
        <f>LocalPacking!C74</f>
        <v>0</v>
      </c>
      <c r="E539" s="29" t="str">
        <f>LocalPacking!G74</f>
        <v>Core i7-1165G7</v>
      </c>
      <c r="F539" s="29">
        <f>LocalPacking!D74</f>
        <v>0</v>
      </c>
      <c r="G539" s="29">
        <f>LocalPacking!E74</f>
        <v>0</v>
      </c>
      <c r="H539" s="29" t="str">
        <f>LocalPacking!F74</f>
        <v>K513EQ</v>
      </c>
      <c r="I539" s="29" t="str">
        <f>LocalPacking!H74</f>
        <v>Local</v>
      </c>
      <c r="J539" s="29" t="str">
        <f>LocalPacking!I74</f>
        <v>Larondine</v>
      </c>
      <c r="K539" s="29" t="str">
        <f>LocalPacking!J74</f>
        <v>EPE</v>
      </c>
      <c r="L539" s="29">
        <f>LocalPacking!K74</f>
        <v>0</v>
      </c>
      <c r="M539" s="29">
        <f>LocalPacking!L74</f>
        <v>2</v>
      </c>
      <c r="N539" s="29" t="str">
        <f>LocalPacking!M74</f>
        <v>15050-04165000</v>
      </c>
      <c r="O539" s="29">
        <f>LocalPacking!N74</f>
        <v>0</v>
      </c>
      <c r="P539" s="29">
        <f>LocalPacking!P74</f>
        <v>0</v>
      </c>
      <c r="Q539" s="29">
        <f>LocalPacking!Q74</f>
        <v>0</v>
      </c>
      <c r="R539" s="29">
        <f>LocalPacking!R74</f>
        <v>0</v>
      </c>
      <c r="S539" s="29">
        <f>LocalPacking!S74</f>
        <v>0</v>
      </c>
      <c r="T539" s="29">
        <f>LocalPacking!T74</f>
        <v>0</v>
      </c>
      <c r="U539" s="29">
        <f>LocalPacking!U74</f>
        <v>0</v>
      </c>
      <c r="V539" s="29">
        <f>LocalPacking!V74</f>
        <v>0</v>
      </c>
      <c r="W539" s="29">
        <f>LocalPacking!W74</f>
        <v>0</v>
      </c>
      <c r="X539" s="29">
        <f>LocalPacking!X74</f>
        <v>0</v>
      </c>
      <c r="Y539" s="29">
        <f>LocalPacking!Y74</f>
        <v>0</v>
      </c>
      <c r="Z539" s="29" t="e">
        <f>LocalPacking!#REF!</f>
        <v>#REF!</v>
      </c>
      <c r="AA539" s="29">
        <f>LocalPacking!Z74</f>
        <v>0</v>
      </c>
      <c r="AB539" s="29">
        <f>LocalPacking!AA74</f>
        <v>0</v>
      </c>
    </row>
    <row r="540" spans="3:28">
      <c r="C540" s="98" t="s">
        <v>88</v>
      </c>
      <c r="D540" s="29">
        <f>LocalPacking!C75</f>
        <v>0</v>
      </c>
      <c r="E540" s="29" t="str">
        <f>LocalPacking!G75</f>
        <v>Core i5-11300H</v>
      </c>
      <c r="F540" s="29" t="str">
        <f>LocalPacking!D75</f>
        <v>FCST</v>
      </c>
      <c r="G540" s="29">
        <f>LocalPacking!E75</f>
        <v>0</v>
      </c>
      <c r="H540" s="29" t="str">
        <f>LocalPacking!F75</f>
        <v>K3500PC</v>
      </c>
      <c r="I540" s="29">
        <f>LocalPacking!H75</f>
        <v>0</v>
      </c>
      <c r="J540" s="29">
        <f>LocalPacking!I75</f>
        <v>0</v>
      </c>
      <c r="K540" s="29">
        <f>LocalPacking!J75</f>
        <v>0</v>
      </c>
      <c r="L540" s="29">
        <f>LocalPacking!K75</f>
        <v>0</v>
      </c>
      <c r="M540" s="29">
        <f>LocalPacking!L75</f>
        <v>0</v>
      </c>
      <c r="N540" s="29">
        <f>LocalPacking!M75</f>
        <v>0</v>
      </c>
      <c r="O540" s="29">
        <f>LocalPacking!N75</f>
        <v>0</v>
      </c>
      <c r="P540" s="29">
        <f>LocalPacking!P75</f>
        <v>0</v>
      </c>
      <c r="Q540" s="29">
        <f>LocalPacking!Q75</f>
        <v>0</v>
      </c>
      <c r="R540" s="29">
        <f>LocalPacking!R75</f>
        <v>0</v>
      </c>
      <c r="S540" s="29">
        <f>LocalPacking!S75</f>
        <v>0</v>
      </c>
      <c r="T540" s="29">
        <f>LocalPacking!T75</f>
        <v>0</v>
      </c>
      <c r="U540" s="29">
        <f>LocalPacking!U75</f>
        <v>0</v>
      </c>
      <c r="V540" s="29">
        <f>LocalPacking!V75</f>
        <v>0</v>
      </c>
      <c r="W540" s="29">
        <f>LocalPacking!W75</f>
        <v>0</v>
      </c>
      <c r="X540" s="29">
        <f>LocalPacking!X75</f>
        <v>0</v>
      </c>
      <c r="Y540" s="29">
        <f>LocalPacking!Y75</f>
        <v>0</v>
      </c>
      <c r="Z540" s="29" t="e">
        <f>LocalPacking!#REF!</f>
        <v>#REF!</v>
      </c>
      <c r="AA540" s="29">
        <f>LocalPacking!Z75</f>
        <v>0</v>
      </c>
      <c r="AB540" s="29">
        <f>LocalPacking!AA75</f>
        <v>0</v>
      </c>
    </row>
    <row r="541" spans="3:28">
      <c r="C541" s="98" t="s">
        <v>88</v>
      </c>
      <c r="D541" s="29">
        <f>LocalPacking!C76</f>
        <v>0</v>
      </c>
      <c r="E541" s="29" t="str">
        <f>LocalPacking!G76</f>
        <v>Core i5-11300H</v>
      </c>
      <c r="F541" s="29">
        <f>LocalPacking!D76</f>
        <v>0</v>
      </c>
      <c r="G541" s="29">
        <f>LocalPacking!E76</f>
        <v>0</v>
      </c>
      <c r="H541" s="29" t="str">
        <f>LocalPacking!F76</f>
        <v>K3500PC</v>
      </c>
      <c r="I541" s="29" t="str">
        <f>LocalPacking!H76</f>
        <v>Imported</v>
      </c>
      <c r="J541" s="29" t="str">
        <f>LocalPacking!I76</f>
        <v>Asus</v>
      </c>
      <c r="K541" s="29" t="str">
        <f>LocalPacking!J76</f>
        <v>Giftbox</v>
      </c>
      <c r="L541" s="29">
        <f>LocalPacking!K76</f>
        <v>0</v>
      </c>
      <c r="M541" s="29">
        <f>LocalPacking!L76</f>
        <v>0</v>
      </c>
      <c r="N541" s="29">
        <f>LocalPacking!M76</f>
        <v>0</v>
      </c>
      <c r="O541" s="29">
        <f>LocalPacking!N76</f>
        <v>0</v>
      </c>
      <c r="P541" s="29">
        <f>LocalPacking!P76</f>
        <v>0</v>
      </c>
      <c r="Q541" s="29">
        <f>LocalPacking!Q76</f>
        <v>0</v>
      </c>
      <c r="R541" s="29">
        <f>LocalPacking!R76</f>
        <v>0</v>
      </c>
      <c r="S541" s="29">
        <f>LocalPacking!S76</f>
        <v>0</v>
      </c>
      <c r="T541" s="29">
        <f>LocalPacking!T76</f>
        <v>0</v>
      </c>
      <c r="U541" s="29">
        <f>LocalPacking!U76</f>
        <v>0</v>
      </c>
      <c r="V541" s="29">
        <f>LocalPacking!V76</f>
        <v>0</v>
      </c>
      <c r="W541" s="29">
        <f>LocalPacking!W76</f>
        <v>0</v>
      </c>
      <c r="X541" s="29">
        <f>LocalPacking!X76</f>
        <v>0</v>
      </c>
      <c r="Y541" s="29">
        <f>LocalPacking!Y76</f>
        <v>0</v>
      </c>
      <c r="Z541" s="29" t="e">
        <f>LocalPacking!#REF!</f>
        <v>#REF!</v>
      </c>
      <c r="AA541" s="29">
        <f>LocalPacking!Z76</f>
        <v>0</v>
      </c>
      <c r="AB541" s="29">
        <f>LocalPacking!AA76</f>
        <v>0</v>
      </c>
    </row>
    <row r="542" spans="3:28">
      <c r="C542" s="98" t="s">
        <v>88</v>
      </c>
      <c r="D542" s="29">
        <f>LocalPacking!C77</f>
        <v>0</v>
      </c>
      <c r="E542" s="29" t="str">
        <f>LocalPacking!G77</f>
        <v>Core i5-11300H</v>
      </c>
      <c r="F542" s="29">
        <f>LocalPacking!D77</f>
        <v>0</v>
      </c>
      <c r="G542" s="29">
        <f>LocalPacking!E77</f>
        <v>0</v>
      </c>
      <c r="H542" s="29" t="str">
        <f>LocalPacking!F77</f>
        <v>K3500PC</v>
      </c>
      <c r="I542" s="29" t="str">
        <f>LocalPacking!H77</f>
        <v>Local</v>
      </c>
      <c r="J542" s="29" t="str">
        <f>LocalPacking!I77</f>
        <v>Asus</v>
      </c>
      <c r="K542" s="29" t="str">
        <f>LocalPacking!J77</f>
        <v>Giftbox</v>
      </c>
      <c r="L542" s="29">
        <f>LocalPacking!K77</f>
        <v>0</v>
      </c>
      <c r="M542" s="29">
        <f>LocalPacking!L77</f>
        <v>0</v>
      </c>
      <c r="N542" s="29">
        <f>LocalPacking!M77</f>
        <v>0</v>
      </c>
      <c r="O542" s="29">
        <f>LocalPacking!N77</f>
        <v>0</v>
      </c>
      <c r="P542" s="29">
        <f>LocalPacking!P77</f>
        <v>0</v>
      </c>
      <c r="Q542" s="29">
        <f>LocalPacking!Q77</f>
        <v>0</v>
      </c>
      <c r="R542" s="29">
        <f>LocalPacking!R77</f>
        <v>0</v>
      </c>
      <c r="S542" s="29">
        <f>LocalPacking!S77</f>
        <v>0</v>
      </c>
      <c r="T542" s="29">
        <f>LocalPacking!T77</f>
        <v>0</v>
      </c>
      <c r="U542" s="29">
        <f>LocalPacking!U77</f>
        <v>0</v>
      </c>
      <c r="V542" s="29">
        <f>LocalPacking!V77</f>
        <v>0</v>
      </c>
      <c r="W542" s="29">
        <f>LocalPacking!W77</f>
        <v>0</v>
      </c>
      <c r="X542" s="29">
        <f>LocalPacking!X77</f>
        <v>0</v>
      </c>
      <c r="Y542" s="29">
        <f>LocalPacking!Y77</f>
        <v>0</v>
      </c>
      <c r="Z542" s="29" t="e">
        <f>LocalPacking!#REF!</f>
        <v>#REF!</v>
      </c>
      <c r="AA542" s="29">
        <f>LocalPacking!Z77</f>
        <v>0</v>
      </c>
      <c r="AB542" s="29">
        <f>LocalPacking!AA77</f>
        <v>0</v>
      </c>
    </row>
    <row r="543" spans="3:28">
      <c r="C543" s="98" t="s">
        <v>88</v>
      </c>
      <c r="D543" s="29">
        <f>LocalPacking!C78</f>
        <v>0</v>
      </c>
      <c r="E543" s="29" t="str">
        <f>LocalPacking!G78</f>
        <v>Core i7-11370H</v>
      </c>
      <c r="F543" s="29" t="str">
        <f>LocalPacking!D78</f>
        <v>FCST</v>
      </c>
      <c r="G543" s="29">
        <f>LocalPacking!E78</f>
        <v>0</v>
      </c>
      <c r="H543" s="29" t="str">
        <f>LocalPacking!F78</f>
        <v>K3500PC</v>
      </c>
      <c r="I543" s="29">
        <f>LocalPacking!H78</f>
        <v>0</v>
      </c>
      <c r="J543" s="29">
        <f>LocalPacking!I78</f>
        <v>0</v>
      </c>
      <c r="K543" s="29">
        <f>LocalPacking!J78</f>
        <v>0</v>
      </c>
      <c r="L543" s="29">
        <f>LocalPacking!K78</f>
        <v>0</v>
      </c>
      <c r="M543" s="29">
        <f>LocalPacking!L78</f>
        <v>0</v>
      </c>
      <c r="N543" s="29">
        <f>LocalPacking!M78</f>
        <v>0</v>
      </c>
      <c r="O543" s="29">
        <f>LocalPacking!N78</f>
        <v>0</v>
      </c>
      <c r="P543" s="29">
        <f>LocalPacking!P78</f>
        <v>0</v>
      </c>
      <c r="Q543" s="29">
        <f>LocalPacking!Q78</f>
        <v>0</v>
      </c>
      <c r="R543" s="29">
        <f>LocalPacking!R78</f>
        <v>0</v>
      </c>
      <c r="S543" s="29">
        <f>LocalPacking!S78</f>
        <v>0</v>
      </c>
      <c r="T543" s="29">
        <f>LocalPacking!T78</f>
        <v>0</v>
      </c>
      <c r="U543" s="29">
        <f>LocalPacking!U78</f>
        <v>0</v>
      </c>
      <c r="V543" s="29">
        <f>LocalPacking!V78</f>
        <v>0</v>
      </c>
      <c r="W543" s="29">
        <f>LocalPacking!W78</f>
        <v>0</v>
      </c>
      <c r="X543" s="29">
        <f>LocalPacking!X78</f>
        <v>0</v>
      </c>
      <c r="Y543" s="29">
        <f>LocalPacking!Y78</f>
        <v>0</v>
      </c>
      <c r="Z543" s="29" t="e">
        <f>LocalPacking!#REF!</f>
        <v>#REF!</v>
      </c>
      <c r="AA543" s="29">
        <f>LocalPacking!Z78</f>
        <v>0</v>
      </c>
      <c r="AB543" s="29">
        <f>LocalPacking!AA78</f>
        <v>0</v>
      </c>
    </row>
    <row r="544" spans="3:28">
      <c r="C544" s="98" t="s">
        <v>88</v>
      </c>
      <c r="D544" s="29">
        <f>LocalPacking!C79</f>
        <v>0</v>
      </c>
      <c r="E544" s="29" t="str">
        <f>LocalPacking!G79</f>
        <v>Core i7-11370H</v>
      </c>
      <c r="F544" s="29">
        <f>LocalPacking!D79</f>
        <v>0</v>
      </c>
      <c r="G544" s="29">
        <f>LocalPacking!E79</f>
        <v>0</v>
      </c>
      <c r="H544" s="29" t="str">
        <f>LocalPacking!F79</f>
        <v>K3500PC</v>
      </c>
      <c r="I544" s="29" t="str">
        <f>LocalPacking!H79</f>
        <v>Imported</v>
      </c>
      <c r="J544" s="29" t="str">
        <f>LocalPacking!I79</f>
        <v>Asus</v>
      </c>
      <c r="K544" s="29" t="str">
        <f>LocalPacking!J79</f>
        <v>Giftbox</v>
      </c>
      <c r="L544" s="29">
        <f>LocalPacking!K79</f>
        <v>0</v>
      </c>
      <c r="M544" s="29">
        <f>LocalPacking!L79</f>
        <v>0</v>
      </c>
      <c r="N544" s="29">
        <f>LocalPacking!M79</f>
        <v>0</v>
      </c>
      <c r="O544" s="29">
        <f>LocalPacking!N79</f>
        <v>0</v>
      </c>
      <c r="P544" s="29">
        <f>LocalPacking!P79</f>
        <v>0</v>
      </c>
      <c r="Q544" s="29">
        <f>LocalPacking!Q79</f>
        <v>0</v>
      </c>
      <c r="R544" s="29">
        <f>LocalPacking!R79</f>
        <v>0</v>
      </c>
      <c r="S544" s="29">
        <f>LocalPacking!S79</f>
        <v>0</v>
      </c>
      <c r="T544" s="29">
        <f>LocalPacking!T79</f>
        <v>0</v>
      </c>
      <c r="U544" s="29">
        <f>LocalPacking!U79</f>
        <v>0</v>
      </c>
      <c r="V544" s="29">
        <f>LocalPacking!V79</f>
        <v>0</v>
      </c>
      <c r="W544" s="29">
        <f>LocalPacking!W79</f>
        <v>0</v>
      </c>
      <c r="X544" s="29">
        <f>LocalPacking!X79</f>
        <v>0</v>
      </c>
      <c r="Y544" s="29">
        <f>LocalPacking!Y79</f>
        <v>0</v>
      </c>
      <c r="Z544" s="29" t="e">
        <f>LocalPacking!#REF!</f>
        <v>#REF!</v>
      </c>
      <c r="AA544" s="29">
        <f>LocalPacking!Z79</f>
        <v>0</v>
      </c>
      <c r="AB544" s="29">
        <f>LocalPacking!AA79</f>
        <v>0</v>
      </c>
    </row>
    <row r="545" spans="3:28">
      <c r="C545" s="98" t="s">
        <v>88</v>
      </c>
      <c r="D545" s="29">
        <f>LocalPacking!C80</f>
        <v>0</v>
      </c>
      <c r="E545" s="29" t="str">
        <f>LocalPacking!G80</f>
        <v>Core i7-11370H</v>
      </c>
      <c r="F545" s="29">
        <f>LocalPacking!D80</f>
        <v>0</v>
      </c>
      <c r="G545" s="29">
        <f>LocalPacking!E80</f>
        <v>0</v>
      </c>
      <c r="H545" s="29" t="str">
        <f>LocalPacking!F80</f>
        <v>K3500PC</v>
      </c>
      <c r="I545" s="29" t="str">
        <f>LocalPacking!H80</f>
        <v>Local</v>
      </c>
      <c r="J545" s="29" t="str">
        <f>LocalPacking!I80</f>
        <v>Asus</v>
      </c>
      <c r="K545" s="29" t="str">
        <f>LocalPacking!J80</f>
        <v>Giftbox</v>
      </c>
      <c r="L545" s="29">
        <f>LocalPacking!K80</f>
        <v>0</v>
      </c>
      <c r="M545" s="29">
        <f>LocalPacking!L80</f>
        <v>0</v>
      </c>
      <c r="N545" s="29">
        <f>LocalPacking!M80</f>
        <v>0</v>
      </c>
      <c r="O545" s="29">
        <f>LocalPacking!N80</f>
        <v>0</v>
      </c>
      <c r="P545" s="29">
        <f>LocalPacking!P80</f>
        <v>0</v>
      </c>
      <c r="Q545" s="29">
        <f>LocalPacking!Q80</f>
        <v>0</v>
      </c>
      <c r="R545" s="29">
        <f>LocalPacking!R80</f>
        <v>0</v>
      </c>
      <c r="S545" s="29">
        <f>LocalPacking!S80</f>
        <v>0</v>
      </c>
      <c r="T545" s="29">
        <f>LocalPacking!T80</f>
        <v>0</v>
      </c>
      <c r="U545" s="29">
        <f>LocalPacking!U80</f>
        <v>0</v>
      </c>
      <c r="V545" s="29">
        <f>LocalPacking!V80</f>
        <v>0</v>
      </c>
      <c r="W545" s="29">
        <f>LocalPacking!W80</f>
        <v>0</v>
      </c>
      <c r="X545" s="29">
        <f>LocalPacking!X80</f>
        <v>0</v>
      </c>
      <c r="Y545" s="29">
        <f>LocalPacking!Y80</f>
        <v>0</v>
      </c>
      <c r="Z545" s="29" t="e">
        <f>LocalPacking!#REF!</f>
        <v>#REF!</v>
      </c>
      <c r="AA545" s="29">
        <f>LocalPacking!Z80</f>
        <v>0</v>
      </c>
      <c r="AB545" s="29">
        <f>LocalPacking!AA80</f>
        <v>0</v>
      </c>
    </row>
    <row r="546" spans="3:28">
      <c r="C546" s="98" t="s">
        <v>88</v>
      </c>
      <c r="D546" s="29">
        <f>LocalPacking!C81</f>
        <v>0</v>
      </c>
      <c r="E546" s="29" t="str">
        <f>LocalPacking!G81</f>
        <v>Core i5-11300H</v>
      </c>
      <c r="F546" s="29" t="str">
        <f>LocalPacking!D81</f>
        <v>FCST</v>
      </c>
      <c r="G546" s="29">
        <f>LocalPacking!E81</f>
        <v>0</v>
      </c>
      <c r="H546" s="29" t="str">
        <f>LocalPacking!F81</f>
        <v>K3500PH</v>
      </c>
      <c r="I546" s="29">
        <f>LocalPacking!H81</f>
        <v>0</v>
      </c>
      <c r="J546" s="29">
        <f>LocalPacking!I81</f>
        <v>0</v>
      </c>
      <c r="K546" s="29">
        <f>LocalPacking!J81</f>
        <v>0</v>
      </c>
      <c r="L546" s="29">
        <f>LocalPacking!K81</f>
        <v>0</v>
      </c>
      <c r="M546" s="29">
        <f>LocalPacking!L81</f>
        <v>0</v>
      </c>
      <c r="N546" s="29">
        <f>LocalPacking!M81</f>
        <v>0</v>
      </c>
      <c r="O546" s="29">
        <f>LocalPacking!N81</f>
        <v>0</v>
      </c>
      <c r="P546" s="29">
        <f>LocalPacking!P81</f>
        <v>0</v>
      </c>
      <c r="Q546" s="29">
        <f>LocalPacking!Q81</f>
        <v>0</v>
      </c>
      <c r="R546" s="29">
        <f>LocalPacking!R81</f>
        <v>0</v>
      </c>
      <c r="S546" s="29">
        <f>LocalPacking!S81</f>
        <v>0</v>
      </c>
      <c r="T546" s="29">
        <f>LocalPacking!T81</f>
        <v>0</v>
      </c>
      <c r="U546" s="29">
        <f>LocalPacking!U81</f>
        <v>0</v>
      </c>
      <c r="V546" s="29">
        <f>LocalPacking!V81</f>
        <v>0</v>
      </c>
      <c r="W546" s="29">
        <f>LocalPacking!W81</f>
        <v>0</v>
      </c>
      <c r="X546" s="29">
        <f>LocalPacking!X81</f>
        <v>0</v>
      </c>
      <c r="Y546" s="29">
        <f>LocalPacking!Y81</f>
        <v>0</v>
      </c>
      <c r="Z546" s="29" t="e">
        <f>LocalPacking!#REF!</f>
        <v>#REF!</v>
      </c>
      <c r="AA546" s="29">
        <f>LocalPacking!Z81</f>
        <v>0</v>
      </c>
      <c r="AB546" s="29">
        <f>LocalPacking!AA81</f>
        <v>0</v>
      </c>
    </row>
    <row r="547" spans="3:28">
      <c r="C547" s="98" t="s">
        <v>88</v>
      </c>
      <c r="D547" s="29">
        <f>LocalPacking!C82</f>
        <v>0</v>
      </c>
      <c r="E547" s="29" t="str">
        <f>LocalPacking!G82</f>
        <v>Core i5-11300H</v>
      </c>
      <c r="F547" s="29">
        <f>LocalPacking!D82</f>
        <v>0</v>
      </c>
      <c r="G547" s="29">
        <f>LocalPacking!E82</f>
        <v>0</v>
      </c>
      <c r="H547" s="29" t="str">
        <f>LocalPacking!F82</f>
        <v>K3500PH</v>
      </c>
      <c r="I547" s="29" t="str">
        <f>LocalPacking!H82</f>
        <v>Imported</v>
      </c>
      <c r="J547" s="29" t="str">
        <f>LocalPacking!I82</f>
        <v>Asus</v>
      </c>
      <c r="K547" s="29" t="str">
        <f>LocalPacking!J82</f>
        <v>Giftbox</v>
      </c>
      <c r="L547" s="29">
        <f>LocalPacking!K82</f>
        <v>0</v>
      </c>
      <c r="M547" s="29">
        <f>LocalPacking!L82</f>
        <v>0</v>
      </c>
      <c r="N547" s="29">
        <f>LocalPacking!M82</f>
        <v>0</v>
      </c>
      <c r="O547" s="29">
        <f>LocalPacking!N82</f>
        <v>0</v>
      </c>
      <c r="P547" s="29">
        <f>LocalPacking!P82</f>
        <v>0</v>
      </c>
      <c r="Q547" s="29">
        <f>LocalPacking!Q82</f>
        <v>0</v>
      </c>
      <c r="R547" s="29">
        <f>LocalPacking!R82</f>
        <v>0</v>
      </c>
      <c r="S547" s="29">
        <f>LocalPacking!S82</f>
        <v>0</v>
      </c>
      <c r="T547" s="29">
        <f>LocalPacking!T82</f>
        <v>0</v>
      </c>
      <c r="U547" s="29">
        <f>LocalPacking!U82</f>
        <v>0</v>
      </c>
      <c r="V547" s="29">
        <f>LocalPacking!V82</f>
        <v>0</v>
      </c>
      <c r="W547" s="29">
        <f>LocalPacking!W82</f>
        <v>0</v>
      </c>
      <c r="X547" s="29">
        <f>LocalPacking!X82</f>
        <v>0</v>
      </c>
      <c r="Y547" s="29">
        <f>LocalPacking!Y82</f>
        <v>0</v>
      </c>
      <c r="Z547" s="29" t="e">
        <f>LocalPacking!#REF!</f>
        <v>#REF!</v>
      </c>
      <c r="AA547" s="29">
        <f>LocalPacking!Z82</f>
        <v>0</v>
      </c>
      <c r="AB547" s="29">
        <f>LocalPacking!AA82</f>
        <v>0</v>
      </c>
    </row>
    <row r="548" spans="3:28">
      <c r="C548" s="98" t="s">
        <v>88</v>
      </c>
      <c r="D548" s="29">
        <f>LocalPacking!C83</f>
        <v>0</v>
      </c>
      <c r="E548" s="29" t="str">
        <f>LocalPacking!G83</f>
        <v>Core i5-11300H</v>
      </c>
      <c r="F548" s="29">
        <f>LocalPacking!D83</f>
        <v>0</v>
      </c>
      <c r="G548" s="29">
        <f>LocalPacking!E83</f>
        <v>0</v>
      </c>
      <c r="H548" s="29" t="str">
        <f>LocalPacking!F83</f>
        <v>K3500PH</v>
      </c>
      <c r="I548" s="29" t="str">
        <f>LocalPacking!H83</f>
        <v>Local</v>
      </c>
      <c r="J548" s="29" t="str">
        <f>LocalPacking!I83</f>
        <v>Asus</v>
      </c>
      <c r="K548" s="29" t="str">
        <f>LocalPacking!J83</f>
        <v>Giftbox</v>
      </c>
      <c r="L548" s="29">
        <f>LocalPacking!K83</f>
        <v>0</v>
      </c>
      <c r="M548" s="29">
        <f>LocalPacking!L83</f>
        <v>0</v>
      </c>
      <c r="N548" s="29">
        <f>LocalPacking!M83</f>
        <v>0</v>
      </c>
      <c r="O548" s="29">
        <f>LocalPacking!N83</f>
        <v>0</v>
      </c>
      <c r="P548" s="29">
        <f>LocalPacking!P83</f>
        <v>0</v>
      </c>
      <c r="Q548" s="29">
        <f>LocalPacking!Q83</f>
        <v>0</v>
      </c>
      <c r="R548" s="29">
        <f>LocalPacking!R83</f>
        <v>0</v>
      </c>
      <c r="S548" s="29">
        <f>LocalPacking!S83</f>
        <v>0</v>
      </c>
      <c r="T548" s="29">
        <f>LocalPacking!T83</f>
        <v>0</v>
      </c>
      <c r="U548" s="29">
        <f>LocalPacking!U83</f>
        <v>0</v>
      </c>
      <c r="V548" s="29">
        <f>LocalPacking!V83</f>
        <v>0</v>
      </c>
      <c r="W548" s="29">
        <f>LocalPacking!W83</f>
        <v>0</v>
      </c>
      <c r="X548" s="29">
        <f>LocalPacking!X83</f>
        <v>0</v>
      </c>
      <c r="Y548" s="29">
        <f>LocalPacking!Y83</f>
        <v>0</v>
      </c>
      <c r="Z548" s="29" t="e">
        <f>LocalPacking!#REF!</f>
        <v>#REF!</v>
      </c>
      <c r="AA548" s="29">
        <f>LocalPacking!Z83</f>
        <v>0</v>
      </c>
      <c r="AB548" s="29">
        <f>LocalPacking!AA83</f>
        <v>0</v>
      </c>
    </row>
    <row r="549" spans="3:28">
      <c r="C549" s="98" t="s">
        <v>88</v>
      </c>
      <c r="D549" s="29">
        <f>LocalPacking!C84</f>
        <v>0</v>
      </c>
      <c r="E549" s="29" t="str">
        <f>LocalPacking!G84</f>
        <v>Ryzen 7-5800H</v>
      </c>
      <c r="F549" s="29" t="str">
        <f>LocalPacking!D84</f>
        <v>FCST</v>
      </c>
      <c r="G549" s="29">
        <f>LocalPacking!E84</f>
        <v>0</v>
      </c>
      <c r="H549" s="29" t="str">
        <f>LocalPacking!F84</f>
        <v>M3500QC</v>
      </c>
      <c r="I549" s="29">
        <f>LocalPacking!H84</f>
        <v>0</v>
      </c>
      <c r="J549" s="29">
        <f>LocalPacking!I84</f>
        <v>0</v>
      </c>
      <c r="K549" s="29">
        <f>LocalPacking!J84</f>
        <v>0</v>
      </c>
      <c r="L549" s="29">
        <f>LocalPacking!K84</f>
        <v>0</v>
      </c>
      <c r="M549" s="29">
        <f>LocalPacking!L84</f>
        <v>0</v>
      </c>
      <c r="N549" s="29">
        <f>LocalPacking!M84</f>
        <v>0</v>
      </c>
      <c r="O549" s="29">
        <f>LocalPacking!N84</f>
        <v>0</v>
      </c>
      <c r="P549" s="29">
        <f>LocalPacking!P84</f>
        <v>0</v>
      </c>
      <c r="Q549" s="29">
        <f>LocalPacking!Q84</f>
        <v>0</v>
      </c>
      <c r="R549" s="29">
        <f>LocalPacking!R84</f>
        <v>0</v>
      </c>
      <c r="S549" s="29">
        <f>LocalPacking!S84</f>
        <v>0</v>
      </c>
      <c r="T549" s="29">
        <f>LocalPacking!T84</f>
        <v>0</v>
      </c>
      <c r="U549" s="29">
        <f>LocalPacking!U84</f>
        <v>0</v>
      </c>
      <c r="V549" s="29">
        <f>LocalPacking!V84</f>
        <v>0</v>
      </c>
      <c r="W549" s="29">
        <f>LocalPacking!W84</f>
        <v>0</v>
      </c>
      <c r="X549" s="29">
        <f>LocalPacking!X84</f>
        <v>0</v>
      </c>
      <c r="Y549" s="29">
        <f>LocalPacking!Y84</f>
        <v>0</v>
      </c>
      <c r="Z549" s="29" t="e">
        <f>LocalPacking!#REF!</f>
        <v>#REF!</v>
      </c>
      <c r="AA549" s="29">
        <f>LocalPacking!Z84</f>
        <v>0</v>
      </c>
      <c r="AB549" s="29">
        <f>LocalPacking!AA84</f>
        <v>0</v>
      </c>
    </row>
    <row r="550" spans="3:28">
      <c r="C550" s="98" t="s">
        <v>88</v>
      </c>
      <c r="D550" s="29">
        <f>LocalPacking!C85</f>
        <v>0</v>
      </c>
      <c r="E550" s="29" t="str">
        <f>LocalPacking!G85</f>
        <v>Ryzen 7-5800H</v>
      </c>
      <c r="F550" s="29">
        <f>LocalPacking!D85</f>
        <v>0</v>
      </c>
      <c r="G550" s="29">
        <f>LocalPacking!E85</f>
        <v>0</v>
      </c>
      <c r="H550" s="29" t="str">
        <f>LocalPacking!F85</f>
        <v>M3500QC</v>
      </c>
      <c r="I550" s="29" t="str">
        <f>LocalPacking!H85</f>
        <v>Imported</v>
      </c>
      <c r="J550" s="29" t="str">
        <f>LocalPacking!I85</f>
        <v>Asus</v>
      </c>
      <c r="K550" s="29" t="str">
        <f>LocalPacking!J85</f>
        <v>Giftbox</v>
      </c>
      <c r="L550" s="29">
        <f>LocalPacking!K85</f>
        <v>0</v>
      </c>
      <c r="M550" s="29">
        <f>LocalPacking!L85</f>
        <v>0</v>
      </c>
      <c r="N550" s="29">
        <f>LocalPacking!M85</f>
        <v>0</v>
      </c>
      <c r="O550" s="29">
        <f>LocalPacking!N85</f>
        <v>0</v>
      </c>
      <c r="P550" s="29">
        <f>LocalPacking!P85</f>
        <v>0</v>
      </c>
      <c r="Q550" s="29">
        <f>LocalPacking!Q85</f>
        <v>0</v>
      </c>
      <c r="R550" s="29">
        <f>LocalPacking!R85</f>
        <v>0</v>
      </c>
      <c r="S550" s="29">
        <f>LocalPacking!S85</f>
        <v>0</v>
      </c>
      <c r="T550" s="29">
        <f>LocalPacking!T85</f>
        <v>0</v>
      </c>
      <c r="U550" s="29">
        <f>LocalPacking!U85</f>
        <v>0</v>
      </c>
      <c r="V550" s="29">
        <f>LocalPacking!V85</f>
        <v>0</v>
      </c>
      <c r="W550" s="29">
        <f>LocalPacking!W85</f>
        <v>0</v>
      </c>
      <c r="X550" s="29">
        <f>LocalPacking!X85</f>
        <v>0</v>
      </c>
      <c r="Y550" s="29">
        <f>LocalPacking!Y85</f>
        <v>0</v>
      </c>
      <c r="Z550" s="29" t="e">
        <f>LocalPacking!#REF!</f>
        <v>#REF!</v>
      </c>
      <c r="AA550" s="29">
        <f>LocalPacking!Z85</f>
        <v>0</v>
      </c>
      <c r="AB550" s="29">
        <f>LocalPacking!AA85</f>
        <v>0</v>
      </c>
    </row>
    <row r="551" spans="3:28">
      <c r="C551" s="98" t="s">
        <v>88</v>
      </c>
      <c r="D551" s="29">
        <f>LocalPacking!C86</f>
        <v>0</v>
      </c>
      <c r="E551" s="29" t="str">
        <f>LocalPacking!G86</f>
        <v>Ryzen 7-5800H</v>
      </c>
      <c r="F551" s="29">
        <f>LocalPacking!D86</f>
        <v>0</v>
      </c>
      <c r="G551" s="29">
        <f>LocalPacking!E86</f>
        <v>0</v>
      </c>
      <c r="H551" s="29" t="str">
        <f>LocalPacking!F86</f>
        <v>M3500QC</v>
      </c>
      <c r="I551" s="29" t="str">
        <f>LocalPacking!H86</f>
        <v>Local</v>
      </c>
      <c r="J551" s="29" t="str">
        <f>LocalPacking!I86</f>
        <v>Asus</v>
      </c>
      <c r="K551" s="29" t="str">
        <f>LocalPacking!J86</f>
        <v>Giftbox</v>
      </c>
      <c r="L551" s="29">
        <f>LocalPacking!K86</f>
        <v>0</v>
      </c>
      <c r="M551" s="29">
        <f>LocalPacking!L86</f>
        <v>0</v>
      </c>
      <c r="N551" s="29">
        <f>LocalPacking!M86</f>
        <v>0</v>
      </c>
      <c r="O551" s="29">
        <f>LocalPacking!N86</f>
        <v>0</v>
      </c>
      <c r="P551" s="29">
        <f>LocalPacking!P86</f>
        <v>0</v>
      </c>
      <c r="Q551" s="29">
        <f>LocalPacking!Q86</f>
        <v>0</v>
      </c>
      <c r="R551" s="29">
        <f>LocalPacking!R86</f>
        <v>0</v>
      </c>
      <c r="S551" s="29">
        <f>LocalPacking!S86</f>
        <v>0</v>
      </c>
      <c r="T551" s="29">
        <f>LocalPacking!T86</f>
        <v>0</v>
      </c>
      <c r="U551" s="29">
        <f>LocalPacking!U86</f>
        <v>0</v>
      </c>
      <c r="V551" s="29">
        <f>LocalPacking!V86</f>
        <v>0</v>
      </c>
      <c r="W551" s="29">
        <f>LocalPacking!W86</f>
        <v>0</v>
      </c>
      <c r="X551" s="29">
        <f>LocalPacking!X86</f>
        <v>0</v>
      </c>
      <c r="Y551" s="29">
        <f>LocalPacking!Y86</f>
        <v>0</v>
      </c>
      <c r="Z551" s="29" t="e">
        <f>LocalPacking!#REF!</f>
        <v>#REF!</v>
      </c>
      <c r="AA551" s="29">
        <f>LocalPacking!Z86</f>
        <v>0</v>
      </c>
      <c r="AB551" s="29">
        <f>LocalPacking!AA86</f>
        <v>0</v>
      </c>
    </row>
    <row r="552" spans="3:28">
      <c r="C552" s="98" t="s">
        <v>88</v>
      </c>
      <c r="D552" s="29">
        <f>LocalPacking!C87</f>
        <v>0</v>
      </c>
      <c r="E552" s="29" t="str">
        <f>LocalPacking!G87</f>
        <v>Ryzen 5-4600H</v>
      </c>
      <c r="F552" s="29" t="str">
        <f>LocalPacking!D87</f>
        <v>FCST</v>
      </c>
      <c r="G552" s="29">
        <f>LocalPacking!E87</f>
        <v>23900</v>
      </c>
      <c r="H552" s="29" t="str">
        <f>LocalPacking!F87</f>
        <v>M1502IA</v>
      </c>
      <c r="I552" s="29">
        <f>LocalPacking!H87</f>
        <v>0</v>
      </c>
      <c r="J552" s="29">
        <f>LocalPacking!I87</f>
        <v>0</v>
      </c>
      <c r="K552" s="29">
        <f>LocalPacking!J87</f>
        <v>0</v>
      </c>
      <c r="L552" s="29">
        <f>LocalPacking!K87</f>
        <v>0</v>
      </c>
      <c r="M552" s="29">
        <f>LocalPacking!L87</f>
        <v>0</v>
      </c>
      <c r="N552" s="29">
        <f>LocalPacking!M87</f>
        <v>0</v>
      </c>
      <c r="O552" s="29">
        <f>LocalPacking!N87</f>
        <v>0</v>
      </c>
      <c r="P552" s="29">
        <f>LocalPacking!P87</f>
        <v>0</v>
      </c>
      <c r="Q552" s="29">
        <f>LocalPacking!Q87</f>
        <v>0</v>
      </c>
      <c r="R552" s="29">
        <f>LocalPacking!R87</f>
        <v>700</v>
      </c>
      <c r="S552" s="29">
        <f>LocalPacking!S87</f>
        <v>4300</v>
      </c>
      <c r="T552" s="29">
        <f>LocalPacking!T87</f>
        <v>6300</v>
      </c>
      <c r="U552" s="29">
        <f>LocalPacking!U87</f>
        <v>6300</v>
      </c>
      <c r="V552" s="29">
        <f>LocalPacking!V87</f>
        <v>6300</v>
      </c>
      <c r="W552" s="29">
        <f>LocalPacking!W87</f>
        <v>0</v>
      </c>
      <c r="X552" s="29">
        <f>LocalPacking!X87</f>
        <v>0</v>
      </c>
      <c r="Y552" s="29">
        <f>LocalPacking!Y87</f>
        <v>0</v>
      </c>
      <c r="Z552" s="29" t="e">
        <f>LocalPacking!#REF!</f>
        <v>#REF!</v>
      </c>
      <c r="AA552" s="29">
        <f>LocalPacking!Z87</f>
        <v>0</v>
      </c>
      <c r="AB552" s="29">
        <f>LocalPacking!AA87</f>
        <v>0</v>
      </c>
    </row>
    <row r="553" spans="3:28">
      <c r="C553" s="98" t="s">
        <v>88</v>
      </c>
      <c r="D553" s="29">
        <f>LocalPacking!C88</f>
        <v>0</v>
      </c>
      <c r="E553" s="29" t="str">
        <f>LocalPacking!G88</f>
        <v>Ryzen 5-4600H</v>
      </c>
      <c r="F553" s="29">
        <f>LocalPacking!D88</f>
        <v>0</v>
      </c>
      <c r="G553" s="29">
        <f>LocalPacking!E88</f>
        <v>0</v>
      </c>
      <c r="H553" s="29" t="str">
        <f>LocalPacking!F88</f>
        <v>M1502IA</v>
      </c>
      <c r="I553" s="29" t="str">
        <f>LocalPacking!H88</f>
        <v>Imported</v>
      </c>
      <c r="J553" s="29" t="str">
        <f>LocalPacking!I88</f>
        <v>Asus</v>
      </c>
      <c r="K553" s="29" t="str">
        <f>LocalPacking!J88</f>
        <v>Giftbox</v>
      </c>
      <c r="L553" s="29">
        <f>LocalPacking!K88</f>
        <v>0</v>
      </c>
      <c r="M553" s="29">
        <f>LocalPacking!L88</f>
        <v>0</v>
      </c>
      <c r="N553" s="29">
        <f>LocalPacking!M88</f>
        <v>0</v>
      </c>
      <c r="O553" s="29">
        <f>LocalPacking!N88</f>
        <v>0</v>
      </c>
      <c r="P553" s="29">
        <f>LocalPacking!P88</f>
        <v>0</v>
      </c>
      <c r="Q553" s="29">
        <f>LocalPacking!Q88</f>
        <v>0</v>
      </c>
      <c r="R553" s="29">
        <f>LocalPacking!R88</f>
        <v>700</v>
      </c>
      <c r="S553" s="29">
        <f>LocalPacking!S88</f>
        <v>4300</v>
      </c>
      <c r="T553" s="29">
        <f>LocalPacking!T88</f>
        <v>6300</v>
      </c>
      <c r="U553" s="29">
        <f>LocalPacking!U88</f>
        <v>6300</v>
      </c>
      <c r="V553" s="29">
        <f>LocalPacking!V88</f>
        <v>6300</v>
      </c>
      <c r="W553" s="29">
        <f>LocalPacking!W88</f>
        <v>0</v>
      </c>
      <c r="X553" s="29">
        <f>LocalPacking!X88</f>
        <v>0</v>
      </c>
      <c r="Y553" s="29">
        <f>LocalPacking!Y88</f>
        <v>0</v>
      </c>
      <c r="Z553" s="29" t="e">
        <f>LocalPacking!#REF!</f>
        <v>#REF!</v>
      </c>
      <c r="AA553" s="29">
        <f>LocalPacking!Z88</f>
        <v>23900</v>
      </c>
      <c r="AB553" s="29">
        <f>LocalPacking!AA88</f>
        <v>0</v>
      </c>
    </row>
    <row r="554" spans="3:28">
      <c r="C554" s="98" t="s">
        <v>88</v>
      </c>
      <c r="D554" s="29">
        <f>LocalPacking!C89</f>
        <v>0</v>
      </c>
      <c r="E554" s="29" t="str">
        <f>LocalPacking!G89</f>
        <v>Ryzen 5-4600H</v>
      </c>
      <c r="F554" s="29">
        <f>LocalPacking!D89</f>
        <v>0</v>
      </c>
      <c r="G554" s="29">
        <f>LocalPacking!E89</f>
        <v>0</v>
      </c>
      <c r="H554" s="29" t="str">
        <f>LocalPacking!F89</f>
        <v>M1502IA</v>
      </c>
      <c r="I554" s="29" t="str">
        <f>LocalPacking!H89</f>
        <v>Local</v>
      </c>
      <c r="J554" s="29" t="str">
        <f>LocalPacking!I89</f>
        <v>Asus</v>
      </c>
      <c r="K554" s="29" t="str">
        <f>LocalPacking!J89</f>
        <v>Giftbox</v>
      </c>
      <c r="L554" s="29">
        <f>LocalPacking!K89</f>
        <v>0</v>
      </c>
      <c r="M554" s="29">
        <f>LocalPacking!L89</f>
        <v>0</v>
      </c>
      <c r="N554" s="29">
        <f>LocalPacking!M89</f>
        <v>0</v>
      </c>
      <c r="O554" s="29">
        <f>LocalPacking!N89</f>
        <v>0</v>
      </c>
      <c r="P554" s="29">
        <f>LocalPacking!P89</f>
        <v>0</v>
      </c>
      <c r="Q554" s="29">
        <f>LocalPacking!Q89</f>
        <v>0</v>
      </c>
      <c r="R554" s="29">
        <f>LocalPacking!R89</f>
        <v>0</v>
      </c>
      <c r="S554" s="29">
        <f>LocalPacking!S89</f>
        <v>0</v>
      </c>
      <c r="T554" s="29">
        <f>LocalPacking!T89</f>
        <v>0</v>
      </c>
      <c r="U554" s="29">
        <f>LocalPacking!U89</f>
        <v>0</v>
      </c>
      <c r="V554" s="29">
        <f>LocalPacking!V89</f>
        <v>0</v>
      </c>
      <c r="W554" s="29">
        <f>LocalPacking!W89</f>
        <v>0</v>
      </c>
      <c r="X554" s="29">
        <f>LocalPacking!X89</f>
        <v>0</v>
      </c>
      <c r="Y554" s="29">
        <f>LocalPacking!Y89</f>
        <v>0</v>
      </c>
      <c r="Z554" s="29" t="e">
        <f>LocalPacking!#REF!</f>
        <v>#REF!</v>
      </c>
      <c r="AA554" s="29">
        <f>LocalPacking!Z89</f>
        <v>0</v>
      </c>
      <c r="AB554" s="29">
        <f>LocalPacking!AA89</f>
        <v>0</v>
      </c>
    </row>
    <row r="555" spans="3:28">
      <c r="C555" s="98" t="s">
        <v>88</v>
      </c>
      <c r="D555" s="29">
        <f>LocalPacking!C90</f>
        <v>0</v>
      </c>
      <c r="E555" s="29" t="str">
        <f>LocalPacking!G90</f>
        <v>Ryzen 7-4800H</v>
      </c>
      <c r="F555" s="29" t="str">
        <f>LocalPacking!D90</f>
        <v>FCST</v>
      </c>
      <c r="G555" s="29">
        <f>LocalPacking!E90</f>
        <v>1970</v>
      </c>
      <c r="H555" s="29" t="str">
        <f>LocalPacking!F90</f>
        <v>M1502IA</v>
      </c>
      <c r="I555" s="29">
        <f>LocalPacking!H90</f>
        <v>0</v>
      </c>
      <c r="J555" s="29">
        <f>LocalPacking!I90</f>
        <v>0</v>
      </c>
      <c r="K555" s="29">
        <f>LocalPacking!J90</f>
        <v>0</v>
      </c>
      <c r="L555" s="29">
        <f>LocalPacking!K90</f>
        <v>0</v>
      </c>
      <c r="M555" s="29">
        <f>LocalPacking!L90</f>
        <v>0</v>
      </c>
      <c r="N555" s="29">
        <f>LocalPacking!M90</f>
        <v>0</v>
      </c>
      <c r="O555" s="29">
        <f>LocalPacking!N90</f>
        <v>0</v>
      </c>
      <c r="P555" s="29">
        <f>LocalPacking!P90</f>
        <v>0</v>
      </c>
      <c r="Q555" s="29">
        <f>LocalPacking!Q90</f>
        <v>0</v>
      </c>
      <c r="R555" s="29">
        <f>LocalPacking!R90</f>
        <v>180</v>
      </c>
      <c r="S555" s="29">
        <f>LocalPacking!S90</f>
        <v>200</v>
      </c>
      <c r="T555" s="29">
        <f>LocalPacking!T90</f>
        <v>530</v>
      </c>
      <c r="U555" s="29">
        <f>LocalPacking!U90</f>
        <v>530</v>
      </c>
      <c r="V555" s="29">
        <f>LocalPacking!V90</f>
        <v>530</v>
      </c>
      <c r="W555" s="29">
        <f>LocalPacking!W90</f>
        <v>0</v>
      </c>
      <c r="X555" s="29">
        <f>LocalPacking!X90</f>
        <v>0</v>
      </c>
      <c r="Y555" s="29">
        <f>LocalPacking!Y90</f>
        <v>0</v>
      </c>
      <c r="Z555" s="29" t="e">
        <f>LocalPacking!#REF!</f>
        <v>#REF!</v>
      </c>
      <c r="AA555" s="29">
        <f>LocalPacking!Z90</f>
        <v>0</v>
      </c>
      <c r="AB555" s="29">
        <f>LocalPacking!AA90</f>
        <v>0</v>
      </c>
    </row>
    <row r="556" spans="3:28">
      <c r="C556" s="98" t="s">
        <v>88</v>
      </c>
      <c r="D556" s="29">
        <f>LocalPacking!C91</f>
        <v>0</v>
      </c>
      <c r="E556" s="29" t="str">
        <f>LocalPacking!G91</f>
        <v>Ryzen 7-4800H</v>
      </c>
      <c r="F556" s="29">
        <f>LocalPacking!D91</f>
        <v>0</v>
      </c>
      <c r="G556" s="29">
        <f>LocalPacking!E91</f>
        <v>0</v>
      </c>
      <c r="H556" s="29" t="str">
        <f>LocalPacking!F91</f>
        <v>M1502IA</v>
      </c>
      <c r="I556" s="29" t="str">
        <f>LocalPacking!H91</f>
        <v>Imported</v>
      </c>
      <c r="J556" s="29" t="str">
        <f>LocalPacking!I91</f>
        <v>Asus</v>
      </c>
      <c r="K556" s="29" t="str">
        <f>LocalPacking!J91</f>
        <v>Giftbox</v>
      </c>
      <c r="L556" s="29">
        <f>LocalPacking!K91</f>
        <v>0</v>
      </c>
      <c r="M556" s="29">
        <f>LocalPacking!L91</f>
        <v>0</v>
      </c>
      <c r="N556" s="29">
        <f>LocalPacking!M91</f>
        <v>0</v>
      </c>
      <c r="O556" s="29">
        <f>LocalPacking!N91</f>
        <v>0</v>
      </c>
      <c r="P556" s="29">
        <f>LocalPacking!P91</f>
        <v>0</v>
      </c>
      <c r="Q556" s="29">
        <f>LocalPacking!Q91</f>
        <v>0</v>
      </c>
      <c r="R556" s="29">
        <f>LocalPacking!R91</f>
        <v>180</v>
      </c>
      <c r="S556" s="29">
        <f>LocalPacking!S91</f>
        <v>200</v>
      </c>
      <c r="T556" s="29">
        <f>LocalPacking!T91</f>
        <v>530</v>
      </c>
      <c r="U556" s="29">
        <f>LocalPacking!U91</f>
        <v>530</v>
      </c>
      <c r="V556" s="29">
        <f>LocalPacking!V91</f>
        <v>530</v>
      </c>
      <c r="W556" s="29">
        <f>LocalPacking!W91</f>
        <v>0</v>
      </c>
      <c r="X556" s="29">
        <f>LocalPacking!X91</f>
        <v>0</v>
      </c>
      <c r="Y556" s="29">
        <f>LocalPacking!Y91</f>
        <v>0</v>
      </c>
      <c r="Z556" s="29" t="e">
        <f>LocalPacking!#REF!</f>
        <v>#REF!</v>
      </c>
      <c r="AA556" s="29">
        <f>LocalPacking!Z91</f>
        <v>1970</v>
      </c>
      <c r="AB556" s="29">
        <f>LocalPacking!AA91</f>
        <v>0</v>
      </c>
    </row>
    <row r="557" spans="3:28">
      <c r="C557" s="98" t="s">
        <v>88</v>
      </c>
      <c r="D557" s="29">
        <f>LocalPacking!C92</f>
        <v>0</v>
      </c>
      <c r="E557" s="29" t="str">
        <f>LocalPacking!G92</f>
        <v>Ryzen 7-4800H</v>
      </c>
      <c r="F557" s="29">
        <f>LocalPacking!D92</f>
        <v>0</v>
      </c>
      <c r="G557" s="29">
        <f>LocalPacking!E92</f>
        <v>0</v>
      </c>
      <c r="H557" s="29" t="str">
        <f>LocalPacking!F92</f>
        <v>M1502IA</v>
      </c>
      <c r="I557" s="29" t="str">
        <f>LocalPacking!H92</f>
        <v>Local</v>
      </c>
      <c r="J557" s="29" t="str">
        <f>LocalPacking!I92</f>
        <v>Asus</v>
      </c>
      <c r="K557" s="29" t="str">
        <f>LocalPacking!J92</f>
        <v>Giftbox</v>
      </c>
      <c r="L557" s="29">
        <f>LocalPacking!K92</f>
        <v>0</v>
      </c>
      <c r="M557" s="29">
        <f>LocalPacking!L92</f>
        <v>0</v>
      </c>
      <c r="N557" s="29">
        <f>LocalPacking!M92</f>
        <v>0</v>
      </c>
      <c r="O557" s="29">
        <f>LocalPacking!N92</f>
        <v>0</v>
      </c>
      <c r="P557" s="29">
        <f>LocalPacking!P92</f>
        <v>0</v>
      </c>
      <c r="Q557" s="29">
        <f>LocalPacking!Q92</f>
        <v>0</v>
      </c>
      <c r="R557" s="29">
        <f>LocalPacking!R92</f>
        <v>0</v>
      </c>
      <c r="S557" s="29">
        <f>LocalPacking!S92</f>
        <v>0</v>
      </c>
      <c r="T557" s="29">
        <f>LocalPacking!T92</f>
        <v>0</v>
      </c>
      <c r="U557" s="29">
        <f>LocalPacking!U92</f>
        <v>0</v>
      </c>
      <c r="V557" s="29">
        <f>LocalPacking!V92</f>
        <v>0</v>
      </c>
      <c r="W557" s="29">
        <f>LocalPacking!W92</f>
        <v>0</v>
      </c>
      <c r="X557" s="29">
        <f>LocalPacking!X92</f>
        <v>0</v>
      </c>
      <c r="Y557" s="29">
        <f>LocalPacking!Y92</f>
        <v>0</v>
      </c>
      <c r="Z557" s="29" t="e">
        <f>LocalPacking!#REF!</f>
        <v>#REF!</v>
      </c>
      <c r="AA557" s="29">
        <f>LocalPacking!Z92</f>
        <v>0</v>
      </c>
      <c r="AB557" s="29">
        <f>LocalPacking!AA92</f>
        <v>0</v>
      </c>
    </row>
    <row r="558" spans="3:28">
      <c r="C558" s="98" t="s">
        <v>88</v>
      </c>
      <c r="D558" s="29">
        <f>LocalPacking!C93</f>
        <v>0</v>
      </c>
      <c r="E558" s="29" t="str">
        <f>LocalPacking!G93</f>
        <v>Core i5-1235U</v>
      </c>
      <c r="F558" s="29" t="str">
        <f>LocalPacking!D93</f>
        <v>FCST</v>
      </c>
      <c r="G558" s="29">
        <f>LocalPacking!E93</f>
        <v>100</v>
      </c>
      <c r="H558" s="29" t="str">
        <f>LocalPacking!F93</f>
        <v>X1502ZA</v>
      </c>
      <c r="I558" s="29">
        <f>LocalPacking!H93</f>
        <v>0</v>
      </c>
      <c r="J558" s="29">
        <f>LocalPacking!I93</f>
        <v>0</v>
      </c>
      <c r="K558" s="29">
        <f>LocalPacking!J93</f>
        <v>0</v>
      </c>
      <c r="L558" s="29">
        <f>LocalPacking!K93</f>
        <v>0</v>
      </c>
      <c r="M558" s="29">
        <f>LocalPacking!L93</f>
        <v>0</v>
      </c>
      <c r="N558" s="29">
        <f>LocalPacking!M93</f>
        <v>0</v>
      </c>
      <c r="O558" s="29">
        <f>LocalPacking!N93</f>
        <v>0</v>
      </c>
      <c r="P558" s="29">
        <f>LocalPacking!P93</f>
        <v>0</v>
      </c>
      <c r="Q558" s="29">
        <f>LocalPacking!Q93</f>
        <v>0</v>
      </c>
      <c r="R558" s="29">
        <f>LocalPacking!R93</f>
        <v>0</v>
      </c>
      <c r="S558" s="29">
        <f>LocalPacking!S93</f>
        <v>0</v>
      </c>
      <c r="T558" s="29">
        <f>LocalPacking!T93</f>
        <v>0</v>
      </c>
      <c r="U558" s="29">
        <f>LocalPacking!U93</f>
        <v>0</v>
      </c>
      <c r="V558" s="29">
        <f>LocalPacking!V93</f>
        <v>0</v>
      </c>
      <c r="W558" s="29">
        <f>LocalPacking!W93</f>
        <v>0</v>
      </c>
      <c r="X558" s="29">
        <f>LocalPacking!X93</f>
        <v>0</v>
      </c>
      <c r="Y558" s="29">
        <f>LocalPacking!Y93</f>
        <v>0</v>
      </c>
      <c r="Z558" s="29" t="e">
        <f>LocalPacking!#REF!</f>
        <v>#REF!</v>
      </c>
      <c r="AA558" s="29">
        <f>LocalPacking!Z93</f>
        <v>0</v>
      </c>
      <c r="AB558" s="29">
        <f>LocalPacking!AA93</f>
        <v>0</v>
      </c>
    </row>
    <row r="559" spans="3:28">
      <c r="C559" s="98" t="s">
        <v>88</v>
      </c>
      <c r="D559" s="29">
        <f>LocalPacking!C94</f>
        <v>0</v>
      </c>
      <c r="E559" s="29" t="str">
        <f>LocalPacking!G94</f>
        <v>Core i5-1235U</v>
      </c>
      <c r="F559" s="29">
        <f>LocalPacking!D94</f>
        <v>0</v>
      </c>
      <c r="G559" s="29">
        <f>LocalPacking!E94</f>
        <v>0</v>
      </c>
      <c r="H559" s="29" t="str">
        <f>LocalPacking!F94</f>
        <v>X1502ZA</v>
      </c>
      <c r="I559" s="29" t="str">
        <f>LocalPacking!H94</f>
        <v>Imported</v>
      </c>
      <c r="J559" s="29" t="str">
        <f>LocalPacking!I94</f>
        <v>Asus</v>
      </c>
      <c r="K559" s="29" t="str">
        <f>LocalPacking!J94</f>
        <v>Giftbox</v>
      </c>
      <c r="L559" s="29">
        <f>LocalPacking!K94</f>
        <v>0</v>
      </c>
      <c r="M559" s="29">
        <f>LocalPacking!L94</f>
        <v>0</v>
      </c>
      <c r="N559" s="29">
        <f>LocalPacking!M94</f>
        <v>0</v>
      </c>
      <c r="O559" s="29">
        <f>LocalPacking!N94</f>
        <v>0</v>
      </c>
      <c r="P559" s="29">
        <f>LocalPacking!P94</f>
        <v>0</v>
      </c>
      <c r="Q559" s="29">
        <f>LocalPacking!Q94</f>
        <v>0</v>
      </c>
      <c r="R559" s="29">
        <f>LocalPacking!R94</f>
        <v>0</v>
      </c>
      <c r="S559" s="29">
        <f>LocalPacking!S94</f>
        <v>0</v>
      </c>
      <c r="T559" s="29">
        <f>LocalPacking!T94</f>
        <v>0</v>
      </c>
      <c r="U559" s="29">
        <f>LocalPacking!U94</f>
        <v>0</v>
      </c>
      <c r="V559" s="29">
        <f>LocalPacking!V94</f>
        <v>0</v>
      </c>
      <c r="W559" s="29">
        <f>LocalPacking!W94</f>
        <v>0</v>
      </c>
      <c r="X559" s="29">
        <f>LocalPacking!X94</f>
        <v>0</v>
      </c>
      <c r="Y559" s="29">
        <f>LocalPacking!Y94</f>
        <v>0</v>
      </c>
      <c r="Z559" s="29" t="e">
        <f>LocalPacking!#REF!</f>
        <v>#REF!</v>
      </c>
      <c r="AA559" s="29">
        <f>LocalPacking!Z94</f>
        <v>100</v>
      </c>
      <c r="AB559" s="29">
        <f>LocalPacking!AA94</f>
        <v>0</v>
      </c>
    </row>
    <row r="560" spans="3:28" s="11" customFormat="1">
      <c r="C560" s="98" t="s">
        <v>88</v>
      </c>
      <c r="D560" s="29">
        <f>LocalPacking!C95</f>
        <v>0</v>
      </c>
      <c r="E560" s="29" t="str">
        <f>LocalPacking!G95</f>
        <v>Core i5-1235U</v>
      </c>
      <c r="F560" s="29">
        <f>LocalPacking!D95</f>
        <v>0</v>
      </c>
      <c r="G560" s="29">
        <f>LocalPacking!E95</f>
        <v>0</v>
      </c>
      <c r="H560" s="29" t="str">
        <f>LocalPacking!F95</f>
        <v>X1502ZA</v>
      </c>
      <c r="I560" s="29" t="str">
        <f>LocalPacking!H95</f>
        <v>Local</v>
      </c>
      <c r="J560" s="29" t="str">
        <f>LocalPacking!I95</f>
        <v>Asus</v>
      </c>
      <c r="K560" s="29" t="str">
        <f>LocalPacking!J95</f>
        <v>Giftbox</v>
      </c>
      <c r="L560" s="29">
        <f>LocalPacking!K95</f>
        <v>0</v>
      </c>
      <c r="M560" s="29">
        <f>LocalPacking!L95</f>
        <v>0</v>
      </c>
      <c r="N560" s="29">
        <f>LocalPacking!M95</f>
        <v>0</v>
      </c>
      <c r="O560" s="29">
        <f>LocalPacking!N95</f>
        <v>0</v>
      </c>
      <c r="P560" s="29">
        <f>LocalPacking!P95</f>
        <v>0</v>
      </c>
      <c r="Q560" s="29">
        <f>LocalPacking!Q95</f>
        <v>0</v>
      </c>
      <c r="R560" s="29">
        <f>LocalPacking!R95</f>
        <v>0</v>
      </c>
      <c r="S560" s="29">
        <f>LocalPacking!S95</f>
        <v>0</v>
      </c>
      <c r="T560" s="29">
        <f>LocalPacking!T95</f>
        <v>0</v>
      </c>
      <c r="U560" s="29">
        <f>LocalPacking!U95</f>
        <v>0</v>
      </c>
      <c r="V560" s="29">
        <f>LocalPacking!V95</f>
        <v>0</v>
      </c>
      <c r="W560" s="29">
        <f>LocalPacking!W95</f>
        <v>0</v>
      </c>
      <c r="X560" s="29">
        <f>LocalPacking!X95</f>
        <v>0</v>
      </c>
      <c r="Y560" s="29">
        <f>LocalPacking!Y95</f>
        <v>0</v>
      </c>
      <c r="Z560" s="29" t="e">
        <f>LocalPacking!#REF!</f>
        <v>#REF!</v>
      </c>
      <c r="AA560" s="29">
        <f>LocalPacking!Z95</f>
        <v>0</v>
      </c>
      <c r="AB560" s="29">
        <f>LocalPacking!AA95</f>
        <v>0</v>
      </c>
    </row>
    <row r="561" spans="3:28" s="11" customFormat="1">
      <c r="C561" s="98" t="s">
        <v>88</v>
      </c>
      <c r="D561" s="29">
        <f>LocalPacking!C96</f>
        <v>0</v>
      </c>
      <c r="E561" s="29" t="str">
        <f>LocalPacking!G96</f>
        <v>Core i7-1255U</v>
      </c>
      <c r="F561" s="29" t="str">
        <f>LocalPacking!D96</f>
        <v>FCST</v>
      </c>
      <c r="G561" s="29">
        <f>LocalPacking!E96</f>
        <v>600</v>
      </c>
      <c r="H561" s="29" t="str">
        <f>LocalPacking!F96</f>
        <v>X1502ZA</v>
      </c>
      <c r="I561" s="29">
        <f>LocalPacking!H96</f>
        <v>0</v>
      </c>
      <c r="J561" s="29">
        <f>LocalPacking!I96</f>
        <v>0</v>
      </c>
      <c r="K561" s="29">
        <f>LocalPacking!J96</f>
        <v>0</v>
      </c>
      <c r="L561" s="29">
        <f>LocalPacking!K96</f>
        <v>0</v>
      </c>
      <c r="M561" s="29">
        <f>LocalPacking!L96</f>
        <v>0</v>
      </c>
      <c r="N561" s="29">
        <f>LocalPacking!M96</f>
        <v>0</v>
      </c>
      <c r="O561" s="29">
        <f>LocalPacking!N96</f>
        <v>200</v>
      </c>
      <c r="P561" s="29">
        <f>LocalPacking!P96</f>
        <v>200</v>
      </c>
      <c r="Q561" s="29">
        <f>LocalPacking!Q96</f>
        <v>0</v>
      </c>
      <c r="R561" s="29">
        <f>LocalPacking!R96</f>
        <v>0</v>
      </c>
      <c r="S561" s="29">
        <f>LocalPacking!S96</f>
        <v>0</v>
      </c>
      <c r="T561" s="29">
        <f>LocalPacking!T96</f>
        <v>0</v>
      </c>
      <c r="U561" s="29">
        <f>LocalPacking!U96</f>
        <v>0</v>
      </c>
      <c r="V561" s="29">
        <f>LocalPacking!V96</f>
        <v>0</v>
      </c>
      <c r="W561" s="29">
        <f>LocalPacking!W96</f>
        <v>0</v>
      </c>
      <c r="X561" s="29">
        <f>LocalPacking!X96</f>
        <v>0</v>
      </c>
      <c r="Y561" s="29">
        <f>LocalPacking!Y96</f>
        <v>0</v>
      </c>
      <c r="Z561" s="29" t="e">
        <f>LocalPacking!#REF!</f>
        <v>#REF!</v>
      </c>
      <c r="AA561" s="29">
        <f>LocalPacking!Z96</f>
        <v>0</v>
      </c>
      <c r="AB561" s="29">
        <f>LocalPacking!AA96</f>
        <v>0</v>
      </c>
    </row>
    <row r="562" spans="3:28" s="11" customFormat="1">
      <c r="C562" s="98" t="s">
        <v>88</v>
      </c>
      <c r="D562" s="29">
        <f>LocalPacking!C97</f>
        <v>0</v>
      </c>
      <c r="E562" s="29" t="str">
        <f>LocalPacking!G97</f>
        <v>Core i7-1255U</v>
      </c>
      <c r="F562" s="29">
        <f>LocalPacking!D97</f>
        <v>0</v>
      </c>
      <c r="G562" s="29">
        <f>LocalPacking!E97</f>
        <v>0</v>
      </c>
      <c r="H562" s="29" t="str">
        <f>LocalPacking!F97</f>
        <v>X1502ZA</v>
      </c>
      <c r="I562" s="29" t="str">
        <f>LocalPacking!H97</f>
        <v>Imported</v>
      </c>
      <c r="J562" s="29" t="str">
        <f>LocalPacking!I97</f>
        <v>Asus</v>
      </c>
      <c r="K562" s="29" t="str">
        <f>LocalPacking!J97</f>
        <v>Giftbox</v>
      </c>
      <c r="L562" s="29">
        <f>LocalPacking!K97</f>
        <v>0</v>
      </c>
      <c r="M562" s="29">
        <f>LocalPacking!L97</f>
        <v>0</v>
      </c>
      <c r="N562" s="29">
        <f>LocalPacking!M97</f>
        <v>0</v>
      </c>
      <c r="O562" s="29">
        <f>LocalPacking!N97</f>
        <v>200</v>
      </c>
      <c r="P562" s="29">
        <f>LocalPacking!P97</f>
        <v>200</v>
      </c>
      <c r="Q562" s="29">
        <f>LocalPacking!Q97</f>
        <v>0</v>
      </c>
      <c r="R562" s="29">
        <f>LocalPacking!R97</f>
        <v>0</v>
      </c>
      <c r="S562" s="29">
        <f>LocalPacking!S97</f>
        <v>0</v>
      </c>
      <c r="T562" s="29">
        <f>LocalPacking!T97</f>
        <v>0</v>
      </c>
      <c r="U562" s="29">
        <f>LocalPacking!U97</f>
        <v>0</v>
      </c>
      <c r="V562" s="29">
        <f>LocalPacking!V97</f>
        <v>0</v>
      </c>
      <c r="W562" s="29">
        <f>LocalPacking!W97</f>
        <v>0</v>
      </c>
      <c r="X562" s="29">
        <f>LocalPacking!X97</f>
        <v>0</v>
      </c>
      <c r="Y562" s="29">
        <f>LocalPacking!Y97</f>
        <v>0</v>
      </c>
      <c r="Z562" s="29" t="e">
        <f>LocalPacking!#REF!</f>
        <v>#REF!</v>
      </c>
      <c r="AA562" s="29">
        <f>LocalPacking!Z97</f>
        <v>600</v>
      </c>
      <c r="AB562" s="29">
        <f>LocalPacking!AA97</f>
        <v>0</v>
      </c>
    </row>
    <row r="563" spans="3:28" s="11" customFormat="1">
      <c r="C563" s="98" t="s">
        <v>88</v>
      </c>
      <c r="D563" s="29">
        <f>LocalPacking!C98</f>
        <v>0</v>
      </c>
      <c r="E563" s="29" t="str">
        <f>LocalPacking!G98</f>
        <v>Core i7-1255U</v>
      </c>
      <c r="F563" s="29">
        <f>LocalPacking!D98</f>
        <v>0</v>
      </c>
      <c r="G563" s="29">
        <f>LocalPacking!E98</f>
        <v>0</v>
      </c>
      <c r="H563" s="29" t="str">
        <f>LocalPacking!F98</f>
        <v>X1502ZA</v>
      </c>
      <c r="I563" s="29" t="str">
        <f>LocalPacking!H98</f>
        <v>Local</v>
      </c>
      <c r="J563" s="29" t="str">
        <f>LocalPacking!I98</f>
        <v>Asus</v>
      </c>
      <c r="K563" s="29" t="str">
        <f>LocalPacking!J98</f>
        <v>Giftbox</v>
      </c>
      <c r="L563" s="29">
        <f>LocalPacking!K98</f>
        <v>0</v>
      </c>
      <c r="M563" s="29">
        <f>LocalPacking!L98</f>
        <v>0</v>
      </c>
      <c r="N563" s="29">
        <f>LocalPacking!M98</f>
        <v>0</v>
      </c>
      <c r="O563" s="29">
        <f>LocalPacking!N98</f>
        <v>0</v>
      </c>
      <c r="P563" s="29">
        <f>LocalPacking!P98</f>
        <v>0</v>
      </c>
      <c r="Q563" s="29">
        <f>LocalPacking!Q98</f>
        <v>0</v>
      </c>
      <c r="R563" s="29">
        <f>LocalPacking!R98</f>
        <v>0</v>
      </c>
      <c r="S563" s="29">
        <f>LocalPacking!S98</f>
        <v>0</v>
      </c>
      <c r="T563" s="29">
        <f>LocalPacking!T98</f>
        <v>0</v>
      </c>
      <c r="U563" s="29">
        <f>LocalPacking!U98</f>
        <v>0</v>
      </c>
      <c r="V563" s="29">
        <f>LocalPacking!V98</f>
        <v>0</v>
      </c>
      <c r="W563" s="29">
        <f>LocalPacking!W98</f>
        <v>0</v>
      </c>
      <c r="X563" s="29">
        <f>LocalPacking!X98</f>
        <v>0</v>
      </c>
      <c r="Y563" s="29">
        <f>LocalPacking!Y98</f>
        <v>0</v>
      </c>
      <c r="Z563" s="29" t="e">
        <f>LocalPacking!#REF!</f>
        <v>#REF!</v>
      </c>
      <c r="AA563" s="29">
        <f>LocalPacking!Z98</f>
        <v>0</v>
      </c>
      <c r="AB563" s="29">
        <f>LocalPacking!AA98</f>
        <v>0</v>
      </c>
    </row>
    <row r="564" spans="3:28" s="11" customFormat="1">
      <c r="C564" s="98" t="s">
        <v>88</v>
      </c>
      <c r="D564" s="29">
        <f>LocalPacking!C99</f>
        <v>0</v>
      </c>
      <c r="E564" s="29" t="str">
        <f>LocalPacking!G99</f>
        <v>Core i7 ADL</v>
      </c>
      <c r="F564" s="29" t="str">
        <f>LocalPacking!D99</f>
        <v>FCST</v>
      </c>
      <c r="G564" s="29">
        <f>LocalPacking!E99</f>
        <v>0</v>
      </c>
      <c r="H564" s="29" t="str">
        <f>LocalPacking!F99</f>
        <v>X1603ZA</v>
      </c>
      <c r="I564" s="29">
        <f>LocalPacking!H99</f>
        <v>0</v>
      </c>
      <c r="J564" s="29">
        <f>LocalPacking!I99</f>
        <v>0</v>
      </c>
      <c r="K564" s="29">
        <f>LocalPacking!J99</f>
        <v>0</v>
      </c>
      <c r="L564" s="29">
        <f>LocalPacking!K99</f>
        <v>0</v>
      </c>
      <c r="M564" s="29">
        <f>LocalPacking!L99</f>
        <v>0</v>
      </c>
      <c r="N564" s="29">
        <f>LocalPacking!M99</f>
        <v>0</v>
      </c>
      <c r="O564" s="29">
        <f>LocalPacking!N99</f>
        <v>0</v>
      </c>
      <c r="P564" s="29">
        <f>LocalPacking!P99</f>
        <v>0</v>
      </c>
      <c r="Q564" s="29">
        <f>LocalPacking!Q99</f>
        <v>0</v>
      </c>
      <c r="R564" s="29">
        <f>LocalPacking!R99</f>
        <v>0</v>
      </c>
      <c r="S564" s="29">
        <f>LocalPacking!S99</f>
        <v>0</v>
      </c>
      <c r="T564" s="29">
        <f>LocalPacking!T99</f>
        <v>0</v>
      </c>
      <c r="U564" s="29">
        <f>LocalPacking!U99</f>
        <v>0</v>
      </c>
      <c r="V564" s="29">
        <f>LocalPacking!V99</f>
        <v>0</v>
      </c>
      <c r="W564" s="29">
        <f>LocalPacking!W99</f>
        <v>0</v>
      </c>
      <c r="X564" s="29">
        <f>LocalPacking!X99</f>
        <v>0</v>
      </c>
      <c r="Y564" s="29">
        <f>LocalPacking!Y99</f>
        <v>0</v>
      </c>
      <c r="Z564" s="29" t="e">
        <f>LocalPacking!#REF!</f>
        <v>#REF!</v>
      </c>
      <c r="AA564" s="29">
        <f>LocalPacking!Z99</f>
        <v>0</v>
      </c>
      <c r="AB564" s="29">
        <f>LocalPacking!AA99</f>
        <v>0</v>
      </c>
    </row>
    <row r="565" spans="3:28" s="11" customFormat="1">
      <c r="C565" s="98" t="s">
        <v>88</v>
      </c>
      <c r="D565" s="29">
        <f>LocalPacking!C100</f>
        <v>0</v>
      </c>
      <c r="E565" s="29" t="str">
        <f>LocalPacking!G100</f>
        <v>Core i7 ADL</v>
      </c>
      <c r="F565" s="29">
        <f>LocalPacking!D100</f>
        <v>0</v>
      </c>
      <c r="G565" s="29">
        <f>LocalPacking!E100</f>
        <v>0</v>
      </c>
      <c r="H565" s="29" t="str">
        <f>LocalPacking!F100</f>
        <v>X1603ZA</v>
      </c>
      <c r="I565" s="29" t="str">
        <f>LocalPacking!H100</f>
        <v>Imported</v>
      </c>
      <c r="J565" s="29" t="str">
        <f>LocalPacking!I100</f>
        <v>Asus</v>
      </c>
      <c r="K565" s="29" t="str">
        <f>LocalPacking!J100</f>
        <v>Giftbox</v>
      </c>
      <c r="L565" s="29">
        <f>LocalPacking!K100</f>
        <v>0</v>
      </c>
      <c r="M565" s="29">
        <f>LocalPacking!L100</f>
        <v>0</v>
      </c>
      <c r="N565" s="29">
        <f>LocalPacking!M100</f>
        <v>0</v>
      </c>
      <c r="O565" s="29">
        <f>LocalPacking!N100</f>
        <v>0</v>
      </c>
      <c r="P565" s="29">
        <f>LocalPacking!P100</f>
        <v>0</v>
      </c>
      <c r="Q565" s="29">
        <f>LocalPacking!Q100</f>
        <v>0</v>
      </c>
      <c r="R565" s="29">
        <f>LocalPacking!R100</f>
        <v>0</v>
      </c>
      <c r="S565" s="29">
        <f>LocalPacking!S100</f>
        <v>0</v>
      </c>
      <c r="T565" s="29">
        <f>LocalPacking!T100</f>
        <v>0</v>
      </c>
      <c r="U565" s="29">
        <f>LocalPacking!U100</f>
        <v>0</v>
      </c>
      <c r="V565" s="29">
        <f>LocalPacking!V100</f>
        <v>0</v>
      </c>
      <c r="W565" s="29">
        <f>LocalPacking!W100</f>
        <v>0</v>
      </c>
      <c r="X565" s="29">
        <f>LocalPacking!X100</f>
        <v>0</v>
      </c>
      <c r="Y565" s="29">
        <f>LocalPacking!Y100</f>
        <v>0</v>
      </c>
      <c r="Z565" s="29" t="e">
        <f>LocalPacking!#REF!</f>
        <v>#REF!</v>
      </c>
      <c r="AA565" s="29">
        <f>LocalPacking!Z100</f>
        <v>0</v>
      </c>
      <c r="AB565" s="29">
        <f>LocalPacking!AA100</f>
        <v>0</v>
      </c>
    </row>
    <row r="566" spans="3:28" s="11" customFormat="1">
      <c r="C566" s="98" t="s">
        <v>88</v>
      </c>
      <c r="D566" s="29">
        <f>LocalPacking!C101</f>
        <v>0</v>
      </c>
      <c r="E566" s="29" t="str">
        <f>LocalPacking!G101</f>
        <v>Core i7 ADL</v>
      </c>
      <c r="F566" s="29">
        <f>LocalPacking!D101</f>
        <v>0</v>
      </c>
      <c r="G566" s="29">
        <f>LocalPacking!E101</f>
        <v>0</v>
      </c>
      <c r="H566" s="29" t="str">
        <f>LocalPacking!F101</f>
        <v>X1603ZA</v>
      </c>
      <c r="I566" s="29" t="str">
        <f>LocalPacking!H101</f>
        <v>Local</v>
      </c>
      <c r="J566" s="29" t="str">
        <f>LocalPacking!I101</f>
        <v>Asus</v>
      </c>
      <c r="K566" s="29" t="str">
        <f>LocalPacking!J101</f>
        <v>Giftbox</v>
      </c>
      <c r="L566" s="29">
        <f>LocalPacking!K101</f>
        <v>0</v>
      </c>
      <c r="M566" s="29">
        <f>LocalPacking!L101</f>
        <v>0</v>
      </c>
      <c r="N566" s="29">
        <f>LocalPacking!M101</f>
        <v>0</v>
      </c>
      <c r="O566" s="29">
        <f>LocalPacking!N101</f>
        <v>0</v>
      </c>
      <c r="P566" s="29">
        <f>LocalPacking!P101</f>
        <v>0</v>
      </c>
      <c r="Q566" s="29">
        <f>LocalPacking!Q101</f>
        <v>0</v>
      </c>
      <c r="R566" s="29">
        <f>LocalPacking!R101</f>
        <v>0</v>
      </c>
      <c r="S566" s="29">
        <f>LocalPacking!S101</f>
        <v>0</v>
      </c>
      <c r="T566" s="29">
        <f>LocalPacking!T101</f>
        <v>0</v>
      </c>
      <c r="U566" s="29">
        <f>LocalPacking!U101</f>
        <v>0</v>
      </c>
      <c r="V566" s="29">
        <f>LocalPacking!V101</f>
        <v>0</v>
      </c>
      <c r="W566" s="29">
        <f>LocalPacking!W101</f>
        <v>0</v>
      </c>
      <c r="X566" s="29">
        <f>LocalPacking!X101</f>
        <v>0</v>
      </c>
      <c r="Y566" s="29">
        <f>LocalPacking!Y101</f>
        <v>0</v>
      </c>
      <c r="Z566" s="29" t="e">
        <f>LocalPacking!#REF!</f>
        <v>#REF!</v>
      </c>
      <c r="AA566" s="29">
        <f>LocalPacking!Z101</f>
        <v>0</v>
      </c>
      <c r="AB566" s="29">
        <f>LocalPacking!AA101</f>
        <v>0</v>
      </c>
    </row>
    <row r="567" spans="3:28" s="11" customFormat="1">
      <c r="C567" s="98" t="s">
        <v>88</v>
      </c>
      <c r="D567" s="29">
        <f>LocalPacking!C102</f>
        <v>0</v>
      </c>
      <c r="E567" s="29" t="str">
        <f>LocalPacking!G102</f>
        <v>Core i5-1035G1</v>
      </c>
      <c r="F567" s="29" t="str">
        <f>LocalPacking!D102</f>
        <v>FCST</v>
      </c>
      <c r="G567" s="29">
        <f>LocalPacking!E102</f>
        <v>0</v>
      </c>
      <c r="H567" s="29" t="str">
        <f>LocalPacking!F102</f>
        <v>UX325JA</v>
      </c>
      <c r="I567" s="29">
        <f>LocalPacking!H102</f>
        <v>0</v>
      </c>
      <c r="J567" s="29">
        <f>LocalPacking!I102</f>
        <v>0</v>
      </c>
      <c r="K567" s="29">
        <f>LocalPacking!J102</f>
        <v>0</v>
      </c>
      <c r="L567" s="29">
        <f>LocalPacking!K102</f>
        <v>0</v>
      </c>
      <c r="M567" s="29">
        <f>LocalPacking!L102</f>
        <v>0</v>
      </c>
      <c r="N567" s="29">
        <f>LocalPacking!M102</f>
        <v>0</v>
      </c>
      <c r="O567" s="29">
        <f>LocalPacking!N102</f>
        <v>0</v>
      </c>
      <c r="P567" s="29">
        <f>LocalPacking!P102</f>
        <v>0</v>
      </c>
      <c r="Q567" s="29">
        <f>LocalPacking!Q102</f>
        <v>0</v>
      </c>
      <c r="R567" s="29">
        <f>LocalPacking!R102</f>
        <v>0</v>
      </c>
      <c r="S567" s="29">
        <f>LocalPacking!S102</f>
        <v>0</v>
      </c>
      <c r="T567" s="29">
        <f>LocalPacking!T102</f>
        <v>0</v>
      </c>
      <c r="U567" s="29">
        <f>LocalPacking!U102</f>
        <v>0</v>
      </c>
      <c r="V567" s="29">
        <f>LocalPacking!V102</f>
        <v>0</v>
      </c>
      <c r="W567" s="29">
        <f>LocalPacking!W102</f>
        <v>0</v>
      </c>
      <c r="X567" s="29">
        <f>LocalPacking!X102</f>
        <v>0</v>
      </c>
      <c r="Y567" s="29">
        <f>LocalPacking!Y102</f>
        <v>0</v>
      </c>
      <c r="Z567" s="29" t="e">
        <f>LocalPacking!#REF!</f>
        <v>#REF!</v>
      </c>
      <c r="AA567" s="29">
        <f>LocalPacking!Z102</f>
        <v>0</v>
      </c>
      <c r="AB567" s="29">
        <f>LocalPacking!AA102</f>
        <v>0</v>
      </c>
    </row>
    <row r="568" spans="3:28" s="11" customFormat="1">
      <c r="C568" s="98" t="s">
        <v>88</v>
      </c>
      <c r="D568" s="29">
        <f>LocalPacking!C103</f>
        <v>0</v>
      </c>
      <c r="E568" s="29" t="str">
        <f>LocalPacking!G103</f>
        <v>Core i5-1035G1</v>
      </c>
      <c r="F568" s="29">
        <f>LocalPacking!D103</f>
        <v>0</v>
      </c>
      <c r="G568" s="29">
        <f>LocalPacking!E103</f>
        <v>0</v>
      </c>
      <c r="H568" s="29" t="str">
        <f>LocalPacking!F103</f>
        <v>UX325JA</v>
      </c>
      <c r="I568" s="29" t="str">
        <f>LocalPacking!H103</f>
        <v>Imported</v>
      </c>
      <c r="J568" s="29" t="str">
        <f>LocalPacking!I103</f>
        <v>Asus</v>
      </c>
      <c r="K568" s="29" t="str">
        <f>LocalPacking!J103</f>
        <v>Giftbox</v>
      </c>
      <c r="L568" s="29">
        <f>LocalPacking!K103</f>
        <v>0</v>
      </c>
      <c r="M568" s="29">
        <f>LocalPacking!L103</f>
        <v>0</v>
      </c>
      <c r="N568" s="29">
        <f>LocalPacking!M103</f>
        <v>0</v>
      </c>
      <c r="O568" s="29">
        <f>LocalPacking!N103</f>
        <v>0</v>
      </c>
      <c r="P568" s="29">
        <f>LocalPacking!P103</f>
        <v>0</v>
      </c>
      <c r="Q568" s="29">
        <f>LocalPacking!Q103</f>
        <v>0</v>
      </c>
      <c r="R568" s="29">
        <f>LocalPacking!R103</f>
        <v>0</v>
      </c>
      <c r="S568" s="29">
        <f>LocalPacking!S103</f>
        <v>0</v>
      </c>
      <c r="T568" s="29">
        <f>LocalPacking!T103</f>
        <v>0</v>
      </c>
      <c r="U568" s="29">
        <f>LocalPacking!U103</f>
        <v>0</v>
      </c>
      <c r="V568" s="29">
        <f>LocalPacking!V103</f>
        <v>0</v>
      </c>
      <c r="W568" s="29">
        <f>LocalPacking!W103</f>
        <v>0</v>
      </c>
      <c r="X568" s="29">
        <f>LocalPacking!X103</f>
        <v>0</v>
      </c>
      <c r="Y568" s="29">
        <f>LocalPacking!Y103</f>
        <v>0</v>
      </c>
      <c r="Z568" s="29" t="e">
        <f>LocalPacking!#REF!</f>
        <v>#REF!</v>
      </c>
      <c r="AA568" s="29">
        <f>LocalPacking!Z103</f>
        <v>0</v>
      </c>
      <c r="AB568" s="29">
        <f>LocalPacking!AA103</f>
        <v>0</v>
      </c>
    </row>
    <row r="569" spans="3:28" s="11" customFormat="1">
      <c r="C569" s="98" t="s">
        <v>88</v>
      </c>
      <c r="D569" s="29">
        <f>LocalPacking!C104</f>
        <v>0</v>
      </c>
      <c r="E569" s="29" t="str">
        <f>LocalPacking!G104</f>
        <v>Core i5-1035G1</v>
      </c>
      <c r="F569" s="29">
        <f>LocalPacking!D104</f>
        <v>0</v>
      </c>
      <c r="G569" s="29">
        <f>LocalPacking!E104</f>
        <v>0</v>
      </c>
      <c r="H569" s="29" t="str">
        <f>LocalPacking!F104</f>
        <v>UX325JA</v>
      </c>
      <c r="I569" s="29" t="str">
        <f>LocalPacking!H104</f>
        <v>Local</v>
      </c>
      <c r="J569" s="29" t="str">
        <f>LocalPacking!I104</f>
        <v>Asus</v>
      </c>
      <c r="K569" s="29" t="str">
        <f>LocalPacking!J104</f>
        <v>Giftbox</v>
      </c>
      <c r="L569" s="29">
        <f>LocalPacking!K104</f>
        <v>0</v>
      </c>
      <c r="M569" s="29">
        <f>LocalPacking!L104</f>
        <v>0</v>
      </c>
      <c r="N569" s="29">
        <f>LocalPacking!M104</f>
        <v>0</v>
      </c>
      <c r="O569" s="29">
        <f>LocalPacking!N104</f>
        <v>0</v>
      </c>
      <c r="P569" s="29">
        <f>LocalPacking!P104</f>
        <v>0</v>
      </c>
      <c r="Q569" s="29">
        <f>LocalPacking!Q104</f>
        <v>0</v>
      </c>
      <c r="R569" s="29">
        <f>LocalPacking!R104</f>
        <v>0</v>
      </c>
      <c r="S569" s="29">
        <f>LocalPacking!S104</f>
        <v>0</v>
      </c>
      <c r="T569" s="29">
        <f>LocalPacking!T104</f>
        <v>0</v>
      </c>
      <c r="U569" s="29">
        <f>LocalPacking!U104</f>
        <v>0</v>
      </c>
      <c r="V569" s="29">
        <f>LocalPacking!V104</f>
        <v>0</v>
      </c>
      <c r="W569" s="29">
        <f>LocalPacking!W104</f>
        <v>0</v>
      </c>
      <c r="X569" s="29">
        <f>LocalPacking!X104</f>
        <v>0</v>
      </c>
      <c r="Y569" s="29">
        <f>LocalPacking!Y104</f>
        <v>0</v>
      </c>
      <c r="Z569" s="29" t="e">
        <f>LocalPacking!#REF!</f>
        <v>#REF!</v>
      </c>
      <c r="AA569" s="29">
        <f>LocalPacking!Z104</f>
        <v>0</v>
      </c>
      <c r="AB569" s="29">
        <f>LocalPacking!AA104</f>
        <v>0</v>
      </c>
    </row>
    <row r="570" spans="3:28" s="11" customFormat="1">
      <c r="C570" s="98" t="s">
        <v>88</v>
      </c>
      <c r="D570" s="29">
        <f>LocalPacking!C108</f>
        <v>0</v>
      </c>
      <c r="E570" s="29" t="str">
        <f>LocalPacking!G108</f>
        <v>Core i7-1195G7</v>
      </c>
      <c r="F570" s="29" t="str">
        <f>LocalPacking!D108</f>
        <v>FCST</v>
      </c>
      <c r="G570" s="29">
        <f>LocalPacking!E108</f>
        <v>0</v>
      </c>
      <c r="H570" s="29" t="str">
        <f>LocalPacking!F108</f>
        <v>UX482EAR</v>
      </c>
      <c r="I570" s="29">
        <f>LocalPacking!H108</f>
        <v>0</v>
      </c>
      <c r="J570" s="29">
        <f>LocalPacking!I108</f>
        <v>0</v>
      </c>
      <c r="K570" s="29">
        <f>LocalPacking!J108</f>
        <v>0</v>
      </c>
      <c r="L570" s="29">
        <f>LocalPacking!K108</f>
        <v>0</v>
      </c>
      <c r="M570" s="29">
        <f>LocalPacking!L108</f>
        <v>0</v>
      </c>
      <c r="N570" s="29">
        <f>LocalPacking!M108</f>
        <v>0</v>
      </c>
      <c r="O570" s="29">
        <f>LocalPacking!N108</f>
        <v>0</v>
      </c>
      <c r="P570" s="29">
        <f>LocalPacking!P108</f>
        <v>0</v>
      </c>
      <c r="Q570" s="29">
        <f>LocalPacking!Q108</f>
        <v>0</v>
      </c>
      <c r="R570" s="29">
        <f>LocalPacking!R108</f>
        <v>0</v>
      </c>
      <c r="S570" s="29">
        <f>LocalPacking!S108</f>
        <v>0</v>
      </c>
      <c r="T570" s="29">
        <f>LocalPacking!T108</f>
        <v>0</v>
      </c>
      <c r="U570" s="29">
        <f>LocalPacking!U108</f>
        <v>0</v>
      </c>
      <c r="V570" s="29">
        <f>LocalPacking!V108</f>
        <v>0</v>
      </c>
      <c r="W570" s="29">
        <f>LocalPacking!W108</f>
        <v>0</v>
      </c>
      <c r="X570" s="29">
        <f>LocalPacking!X108</f>
        <v>0</v>
      </c>
      <c r="Y570" s="29">
        <f>LocalPacking!Y108</f>
        <v>0</v>
      </c>
      <c r="Z570" s="29" t="e">
        <f>LocalPacking!#REF!</f>
        <v>#REF!</v>
      </c>
      <c r="AA570" s="29">
        <f>LocalPacking!Z108</f>
        <v>0</v>
      </c>
      <c r="AB570" s="29">
        <f>LocalPacking!AA108</f>
        <v>0</v>
      </c>
    </row>
    <row r="571" spans="3:28" s="11" customFormat="1">
      <c r="C571" s="98" t="s">
        <v>88</v>
      </c>
      <c r="D571" s="29">
        <f>LocalPacking!C109</f>
        <v>0</v>
      </c>
      <c r="E571" s="29" t="str">
        <f>LocalPacking!G109</f>
        <v>Core i7-1195G7</v>
      </c>
      <c r="F571" s="29">
        <f>LocalPacking!D109</f>
        <v>0</v>
      </c>
      <c r="G571" s="29">
        <f>LocalPacking!E109</f>
        <v>0</v>
      </c>
      <c r="H571" s="29" t="str">
        <f>LocalPacking!F109</f>
        <v>UX482EAR</v>
      </c>
      <c r="I571" s="29" t="str">
        <f>LocalPacking!H109</f>
        <v>Imported</v>
      </c>
      <c r="J571" s="29" t="str">
        <f>LocalPacking!I109</f>
        <v>Asus</v>
      </c>
      <c r="K571" s="29" t="str">
        <f>LocalPacking!J109</f>
        <v>Giftbox</v>
      </c>
      <c r="L571" s="29">
        <f>LocalPacking!K109</f>
        <v>0</v>
      </c>
      <c r="M571" s="29">
        <f>LocalPacking!L109</f>
        <v>0</v>
      </c>
      <c r="N571" s="29">
        <f>LocalPacking!M109</f>
        <v>0</v>
      </c>
      <c r="O571" s="29">
        <f>LocalPacking!N109</f>
        <v>0</v>
      </c>
      <c r="P571" s="29">
        <f>LocalPacking!P109</f>
        <v>0</v>
      </c>
      <c r="Q571" s="29">
        <f>LocalPacking!Q109</f>
        <v>0</v>
      </c>
      <c r="R571" s="29">
        <f>LocalPacking!R109</f>
        <v>0</v>
      </c>
      <c r="S571" s="29">
        <f>LocalPacking!S109</f>
        <v>0</v>
      </c>
      <c r="T571" s="29">
        <f>LocalPacking!T109</f>
        <v>0</v>
      </c>
      <c r="U571" s="29">
        <f>LocalPacking!U109</f>
        <v>0</v>
      </c>
      <c r="V571" s="29">
        <f>LocalPacking!V109</f>
        <v>0</v>
      </c>
      <c r="W571" s="29">
        <f>LocalPacking!W109</f>
        <v>0</v>
      </c>
      <c r="X571" s="29">
        <f>LocalPacking!X109</f>
        <v>0</v>
      </c>
      <c r="Y571" s="29">
        <f>LocalPacking!Y109</f>
        <v>0</v>
      </c>
      <c r="Z571" s="29" t="e">
        <f>LocalPacking!#REF!</f>
        <v>#REF!</v>
      </c>
      <c r="AA571" s="29">
        <f>LocalPacking!Z109</f>
        <v>0</v>
      </c>
      <c r="AB571" s="29">
        <f>LocalPacking!AA109</f>
        <v>0</v>
      </c>
    </row>
    <row r="572" spans="3:28" s="11" customFormat="1">
      <c r="C572" s="98" t="s">
        <v>88</v>
      </c>
      <c r="D572" s="29">
        <f>LocalPacking!C110</f>
        <v>0</v>
      </c>
      <c r="E572" s="29" t="str">
        <f>LocalPacking!G110</f>
        <v>Core i7-1195G7</v>
      </c>
      <c r="F572" s="29">
        <f>LocalPacking!D110</f>
        <v>0</v>
      </c>
      <c r="G572" s="29">
        <f>LocalPacking!E110</f>
        <v>0</v>
      </c>
      <c r="H572" s="29" t="str">
        <f>LocalPacking!F110</f>
        <v>UX482EAR</v>
      </c>
      <c r="I572" s="29" t="str">
        <f>LocalPacking!H110</f>
        <v>Local</v>
      </c>
      <c r="J572" s="29" t="str">
        <f>LocalPacking!I110</f>
        <v>Asus</v>
      </c>
      <c r="K572" s="29" t="str">
        <f>LocalPacking!J110</f>
        <v>Giftbox</v>
      </c>
      <c r="L572" s="29">
        <f>LocalPacking!K110</f>
        <v>0</v>
      </c>
      <c r="M572" s="29">
        <f>LocalPacking!L110</f>
        <v>0</v>
      </c>
      <c r="N572" s="29">
        <f>LocalPacking!M110</f>
        <v>0</v>
      </c>
      <c r="O572" s="29">
        <f>LocalPacking!N110</f>
        <v>0</v>
      </c>
      <c r="P572" s="29">
        <f>LocalPacking!P110</f>
        <v>0</v>
      </c>
      <c r="Q572" s="29">
        <f>LocalPacking!Q110</f>
        <v>0</v>
      </c>
      <c r="R572" s="29">
        <f>LocalPacking!R110</f>
        <v>0</v>
      </c>
      <c r="S572" s="29">
        <f>LocalPacking!S110</f>
        <v>0</v>
      </c>
      <c r="T572" s="29">
        <f>LocalPacking!T110</f>
        <v>0</v>
      </c>
      <c r="U572" s="29">
        <f>LocalPacking!U110</f>
        <v>0</v>
      </c>
      <c r="V572" s="29">
        <f>LocalPacking!V110</f>
        <v>0</v>
      </c>
      <c r="W572" s="29">
        <f>LocalPacking!W110</f>
        <v>0</v>
      </c>
      <c r="X572" s="29">
        <f>LocalPacking!X110</f>
        <v>0</v>
      </c>
      <c r="Y572" s="29">
        <f>LocalPacking!Y110</f>
        <v>0</v>
      </c>
      <c r="Z572" s="29" t="e">
        <f>LocalPacking!#REF!</f>
        <v>#REF!</v>
      </c>
      <c r="AA572" s="29">
        <f>LocalPacking!Z110</f>
        <v>0</v>
      </c>
      <c r="AB572" s="29">
        <f>LocalPacking!AA110</f>
        <v>0</v>
      </c>
    </row>
    <row r="573" spans="3:28" s="11" customFormat="1">
      <c r="C573" s="98" t="s">
        <v>88</v>
      </c>
      <c r="D573" s="29">
        <f>LocalPacking!C111</f>
        <v>0</v>
      </c>
      <c r="E573" s="29" t="str">
        <f>LocalPacking!G111</f>
        <v>Core i7-1260P</v>
      </c>
      <c r="F573" s="29" t="str">
        <f>LocalPacking!D111</f>
        <v>FCST</v>
      </c>
      <c r="G573" s="29">
        <f>LocalPacking!E111</f>
        <v>450</v>
      </c>
      <c r="H573" s="29" t="str">
        <f>LocalPacking!F111</f>
        <v>UX3402ZA</v>
      </c>
      <c r="I573" s="29">
        <f>LocalPacking!H111</f>
        <v>0</v>
      </c>
      <c r="J573" s="29">
        <f>LocalPacking!I111</f>
        <v>0</v>
      </c>
      <c r="K573" s="29">
        <f>LocalPacking!J111</f>
        <v>0</v>
      </c>
      <c r="L573" s="29">
        <f>LocalPacking!K111</f>
        <v>0</v>
      </c>
      <c r="M573" s="29">
        <f>LocalPacking!L111</f>
        <v>0</v>
      </c>
      <c r="N573" s="29">
        <f>LocalPacking!M111</f>
        <v>0</v>
      </c>
      <c r="O573" s="29">
        <f>LocalPacking!N111</f>
        <v>50</v>
      </c>
      <c r="P573" s="29">
        <f>LocalPacking!P111</f>
        <v>0</v>
      </c>
      <c r="Q573" s="29">
        <f>LocalPacking!Q111</f>
        <v>0</v>
      </c>
      <c r="R573" s="29">
        <f>LocalPacking!R111</f>
        <v>150</v>
      </c>
      <c r="S573" s="29">
        <f>LocalPacking!S111</f>
        <v>150</v>
      </c>
      <c r="T573" s="29">
        <f>LocalPacking!T111</f>
        <v>0</v>
      </c>
      <c r="U573" s="29">
        <f>LocalPacking!U111</f>
        <v>0</v>
      </c>
      <c r="V573" s="29">
        <f>LocalPacking!V111</f>
        <v>0</v>
      </c>
      <c r="W573" s="29">
        <f>LocalPacking!W111</f>
        <v>0</v>
      </c>
      <c r="X573" s="29">
        <f>LocalPacking!X111</f>
        <v>0</v>
      </c>
      <c r="Y573" s="29">
        <f>LocalPacking!Y111</f>
        <v>0</v>
      </c>
      <c r="Z573" s="29" t="e">
        <f>LocalPacking!#REF!</f>
        <v>#REF!</v>
      </c>
      <c r="AA573" s="29">
        <f>LocalPacking!Z111</f>
        <v>0</v>
      </c>
      <c r="AB573" s="29">
        <f>LocalPacking!AA111</f>
        <v>0</v>
      </c>
    </row>
    <row r="574" spans="3:28" s="11" customFormat="1">
      <c r="C574" s="98" t="s">
        <v>88</v>
      </c>
      <c r="D574" s="29">
        <f>LocalPacking!C112</f>
        <v>0</v>
      </c>
      <c r="E574" s="29" t="str">
        <f>LocalPacking!G112</f>
        <v>Core i7-1260P</v>
      </c>
      <c r="F574" s="29">
        <f>LocalPacking!D112</f>
        <v>0</v>
      </c>
      <c r="G574" s="29">
        <f>LocalPacking!E112</f>
        <v>0</v>
      </c>
      <c r="H574" s="29" t="str">
        <f>LocalPacking!F112</f>
        <v>UX3402ZA</v>
      </c>
      <c r="I574" s="29" t="str">
        <f>LocalPacking!H112</f>
        <v>Imported</v>
      </c>
      <c r="J574" s="29" t="str">
        <f>LocalPacking!I112</f>
        <v>Asus</v>
      </c>
      <c r="K574" s="29" t="str">
        <f>LocalPacking!J112</f>
        <v>Giftbox</v>
      </c>
      <c r="L574" s="29">
        <f>LocalPacking!K112</f>
        <v>0</v>
      </c>
      <c r="M574" s="29">
        <f>LocalPacking!L112</f>
        <v>0</v>
      </c>
      <c r="N574" s="29">
        <f>LocalPacking!M112</f>
        <v>0</v>
      </c>
      <c r="O574" s="29">
        <f>LocalPacking!N112</f>
        <v>50</v>
      </c>
      <c r="P574" s="29">
        <f>LocalPacking!P112</f>
        <v>0</v>
      </c>
      <c r="Q574" s="29">
        <f>LocalPacking!Q112</f>
        <v>0</v>
      </c>
      <c r="R574" s="29">
        <f>LocalPacking!R112</f>
        <v>150</v>
      </c>
      <c r="S574" s="29">
        <f>LocalPacking!S112</f>
        <v>150</v>
      </c>
      <c r="T574" s="29">
        <f>LocalPacking!T112</f>
        <v>0</v>
      </c>
      <c r="U574" s="29">
        <f>LocalPacking!U112</f>
        <v>0</v>
      </c>
      <c r="V574" s="29">
        <f>LocalPacking!V112</f>
        <v>0</v>
      </c>
      <c r="W574" s="29">
        <f>LocalPacking!W112</f>
        <v>0</v>
      </c>
      <c r="X574" s="29">
        <f>LocalPacking!X112</f>
        <v>0</v>
      </c>
      <c r="Y574" s="29">
        <f>LocalPacking!Y112</f>
        <v>0</v>
      </c>
      <c r="Z574" s="29" t="e">
        <f>LocalPacking!#REF!</f>
        <v>#REF!</v>
      </c>
      <c r="AA574" s="29">
        <f>LocalPacking!Z112</f>
        <v>450</v>
      </c>
      <c r="AB574" s="29">
        <f>LocalPacking!AA112</f>
        <v>0</v>
      </c>
    </row>
    <row r="575" spans="3:28">
      <c r="C575" s="98" t="s">
        <v>88</v>
      </c>
      <c r="D575" s="29">
        <f>LocalPacking!C113</f>
        <v>0</v>
      </c>
      <c r="E575" s="29" t="str">
        <f>LocalPacking!G113</f>
        <v>Core i7-1260P</v>
      </c>
      <c r="F575" s="29">
        <f>LocalPacking!D113</f>
        <v>0</v>
      </c>
      <c r="G575" s="29">
        <f>LocalPacking!E113</f>
        <v>0</v>
      </c>
      <c r="H575" s="29" t="str">
        <f>LocalPacking!F113</f>
        <v>UX3402ZA</v>
      </c>
      <c r="I575" s="29" t="str">
        <f>LocalPacking!H113</f>
        <v>Local</v>
      </c>
      <c r="J575" s="29" t="str">
        <f>LocalPacking!I113</f>
        <v>Asus</v>
      </c>
      <c r="K575" s="29" t="str">
        <f>LocalPacking!J113</f>
        <v>Giftbox</v>
      </c>
      <c r="L575" s="29">
        <f>LocalPacking!K113</f>
        <v>0</v>
      </c>
      <c r="M575" s="29">
        <f>LocalPacking!L113</f>
        <v>0</v>
      </c>
      <c r="N575" s="29">
        <f>LocalPacking!M113</f>
        <v>0</v>
      </c>
      <c r="O575" s="29">
        <f>LocalPacking!N113</f>
        <v>0</v>
      </c>
      <c r="P575" s="29">
        <f>LocalPacking!P113</f>
        <v>0</v>
      </c>
      <c r="Q575" s="29">
        <f>LocalPacking!Q113</f>
        <v>0</v>
      </c>
      <c r="R575" s="29">
        <f>LocalPacking!R113</f>
        <v>0</v>
      </c>
      <c r="S575" s="29">
        <f>LocalPacking!S113</f>
        <v>0</v>
      </c>
      <c r="T575" s="29">
        <f>LocalPacking!T113</f>
        <v>0</v>
      </c>
      <c r="U575" s="29">
        <f>LocalPacking!U113</f>
        <v>0</v>
      </c>
      <c r="V575" s="29">
        <f>LocalPacking!V113</f>
        <v>0</v>
      </c>
      <c r="W575" s="29">
        <f>LocalPacking!W113</f>
        <v>0</v>
      </c>
      <c r="X575" s="29">
        <f>LocalPacking!X113</f>
        <v>0</v>
      </c>
      <c r="Y575" s="29">
        <f>LocalPacking!Y113</f>
        <v>0</v>
      </c>
      <c r="Z575" s="29" t="e">
        <f>LocalPacking!#REF!</f>
        <v>#REF!</v>
      </c>
      <c r="AA575" s="29">
        <f>LocalPacking!Z113</f>
        <v>0</v>
      </c>
      <c r="AB575" s="29">
        <f>LocalPacking!AA113</f>
        <v>0</v>
      </c>
    </row>
    <row r="576" spans="3:28">
      <c r="C576" s="98" t="s">
        <v>88</v>
      </c>
      <c r="D576" s="29">
        <f>LocalPacking!C114</f>
        <v>0</v>
      </c>
      <c r="E576" s="29" t="str">
        <f>LocalPacking!G114</f>
        <v>Core i7-12700H</v>
      </c>
      <c r="F576" s="29" t="str">
        <f>LocalPacking!D114</f>
        <v>FCST</v>
      </c>
      <c r="G576" s="29">
        <f>LocalPacking!E114</f>
        <v>0</v>
      </c>
      <c r="H576" s="29" t="str">
        <f>LocalPacking!F114</f>
        <v>UX5401ZA</v>
      </c>
      <c r="I576" s="29">
        <f>LocalPacking!H114</f>
        <v>0</v>
      </c>
      <c r="J576" s="29">
        <f>LocalPacking!I114</f>
        <v>0</v>
      </c>
      <c r="K576" s="29">
        <f>LocalPacking!J114</f>
        <v>0</v>
      </c>
      <c r="L576" s="29">
        <f>LocalPacking!K114</f>
        <v>0</v>
      </c>
      <c r="M576" s="29">
        <f>LocalPacking!L114</f>
        <v>0</v>
      </c>
      <c r="N576" s="29">
        <f>LocalPacking!M114</f>
        <v>0</v>
      </c>
      <c r="O576" s="29">
        <f>LocalPacking!N114</f>
        <v>0</v>
      </c>
      <c r="P576" s="29">
        <f>LocalPacking!P114</f>
        <v>0</v>
      </c>
      <c r="Q576" s="29">
        <f>LocalPacking!Q114</f>
        <v>0</v>
      </c>
      <c r="R576" s="29">
        <f>LocalPacking!R114</f>
        <v>0</v>
      </c>
      <c r="S576" s="29">
        <f>LocalPacking!S114</f>
        <v>0</v>
      </c>
      <c r="T576" s="29">
        <f>LocalPacking!T114</f>
        <v>0</v>
      </c>
      <c r="U576" s="29">
        <f>LocalPacking!U114</f>
        <v>0</v>
      </c>
      <c r="V576" s="29">
        <f>LocalPacking!V114</f>
        <v>0</v>
      </c>
      <c r="W576" s="29">
        <f>LocalPacking!W114</f>
        <v>0</v>
      </c>
      <c r="X576" s="29">
        <f>LocalPacking!X114</f>
        <v>0</v>
      </c>
      <c r="Y576" s="29">
        <f>LocalPacking!Y114</f>
        <v>0</v>
      </c>
      <c r="Z576" s="29" t="e">
        <f>LocalPacking!#REF!</f>
        <v>#REF!</v>
      </c>
      <c r="AA576" s="29">
        <f>LocalPacking!Z114</f>
        <v>0</v>
      </c>
      <c r="AB576" s="29">
        <f>LocalPacking!AA114</f>
        <v>0</v>
      </c>
    </row>
    <row r="577" spans="3:28">
      <c r="C577" s="98" t="s">
        <v>88</v>
      </c>
      <c r="D577" s="29">
        <f>LocalPacking!C115</f>
        <v>0</v>
      </c>
      <c r="E577" s="29" t="str">
        <f>LocalPacking!G115</f>
        <v>Core i7-12700H</v>
      </c>
      <c r="F577" s="29">
        <f>LocalPacking!D115</f>
        <v>0</v>
      </c>
      <c r="G577" s="29">
        <f>LocalPacking!E115</f>
        <v>0</v>
      </c>
      <c r="H577" s="29" t="str">
        <f>LocalPacking!F115</f>
        <v>UX5401ZA</v>
      </c>
      <c r="I577" s="29" t="str">
        <f>LocalPacking!H115</f>
        <v>Imported</v>
      </c>
      <c r="J577" s="29" t="str">
        <f>LocalPacking!I115</f>
        <v>Asus</v>
      </c>
      <c r="K577" s="29" t="str">
        <f>LocalPacking!J115</f>
        <v>Giftbox</v>
      </c>
      <c r="L577" s="29">
        <f>LocalPacking!K115</f>
        <v>0</v>
      </c>
      <c r="M577" s="29">
        <f>LocalPacking!L115</f>
        <v>0</v>
      </c>
      <c r="N577" s="29">
        <f>LocalPacking!M115</f>
        <v>0</v>
      </c>
      <c r="O577" s="29">
        <f>LocalPacking!N115</f>
        <v>0</v>
      </c>
      <c r="P577" s="29">
        <f>LocalPacking!P115</f>
        <v>0</v>
      </c>
      <c r="Q577" s="29">
        <f>LocalPacking!Q115</f>
        <v>0</v>
      </c>
      <c r="R577" s="29">
        <f>LocalPacking!R115</f>
        <v>0</v>
      </c>
      <c r="S577" s="29">
        <f>LocalPacking!S115</f>
        <v>0</v>
      </c>
      <c r="T577" s="29">
        <f>LocalPacking!T115</f>
        <v>0</v>
      </c>
      <c r="U577" s="29">
        <f>LocalPacking!U115</f>
        <v>0</v>
      </c>
      <c r="V577" s="29">
        <f>LocalPacking!V115</f>
        <v>0</v>
      </c>
      <c r="W577" s="29">
        <f>LocalPacking!W115</f>
        <v>0</v>
      </c>
      <c r="X577" s="29">
        <f>LocalPacking!X115</f>
        <v>0</v>
      </c>
      <c r="Y577" s="29">
        <f>LocalPacking!Y115</f>
        <v>0</v>
      </c>
      <c r="Z577" s="29" t="e">
        <f>LocalPacking!#REF!</f>
        <v>#REF!</v>
      </c>
      <c r="AA577" s="29">
        <f>LocalPacking!Z115</f>
        <v>0</v>
      </c>
      <c r="AB577" s="29">
        <f>LocalPacking!AA115</f>
        <v>0</v>
      </c>
    </row>
    <row r="578" spans="3:28">
      <c r="C578" s="98" t="s">
        <v>88</v>
      </c>
      <c r="D578" s="29">
        <f>LocalPacking!C116</f>
        <v>0</v>
      </c>
      <c r="E578" s="29" t="str">
        <f>LocalPacking!G116</f>
        <v>Core i7-12700H</v>
      </c>
      <c r="F578" s="29">
        <f>LocalPacking!D116</f>
        <v>0</v>
      </c>
      <c r="G578" s="29">
        <f>LocalPacking!E116</f>
        <v>0</v>
      </c>
      <c r="H578" s="29" t="str">
        <f>LocalPacking!F116</f>
        <v>UX5401ZA</v>
      </c>
      <c r="I578" s="29" t="str">
        <f>LocalPacking!H116</f>
        <v>Local</v>
      </c>
      <c r="J578" s="29" t="str">
        <f>LocalPacking!I116</f>
        <v>Asus</v>
      </c>
      <c r="K578" s="29" t="str">
        <f>LocalPacking!J116</f>
        <v>Giftbox</v>
      </c>
      <c r="L578" s="29">
        <f>LocalPacking!K116</f>
        <v>0</v>
      </c>
      <c r="M578" s="29">
        <f>LocalPacking!L116</f>
        <v>0</v>
      </c>
      <c r="N578" s="29">
        <f>LocalPacking!M116</f>
        <v>0</v>
      </c>
      <c r="O578" s="29">
        <f>LocalPacking!N116</f>
        <v>0</v>
      </c>
      <c r="P578" s="29">
        <f>LocalPacking!P116</f>
        <v>0</v>
      </c>
      <c r="Q578" s="29">
        <f>LocalPacking!Q116</f>
        <v>0</v>
      </c>
      <c r="R578" s="29">
        <f>LocalPacking!R116</f>
        <v>0</v>
      </c>
      <c r="S578" s="29">
        <f>LocalPacking!S116</f>
        <v>0</v>
      </c>
      <c r="T578" s="29">
        <f>LocalPacking!T116</f>
        <v>0</v>
      </c>
      <c r="U578" s="29">
        <f>LocalPacking!U116</f>
        <v>0</v>
      </c>
      <c r="V578" s="29">
        <f>LocalPacking!V116</f>
        <v>0</v>
      </c>
      <c r="W578" s="29">
        <f>LocalPacking!W116</f>
        <v>0</v>
      </c>
      <c r="X578" s="29">
        <f>LocalPacking!X116</f>
        <v>0</v>
      </c>
      <c r="Y578" s="29">
        <f>LocalPacking!Y116</f>
        <v>0</v>
      </c>
      <c r="Z578" s="29" t="e">
        <f>LocalPacking!#REF!</f>
        <v>#REF!</v>
      </c>
      <c r="AA578" s="29">
        <f>LocalPacking!Z116</f>
        <v>0</v>
      </c>
      <c r="AB578" s="29">
        <f>LocalPacking!AA116</f>
        <v>0</v>
      </c>
    </row>
    <row r="579" spans="3:28">
      <c r="C579" s="98" t="s">
        <v>88</v>
      </c>
      <c r="D579" s="29" t="str">
        <f>LocalPacking!C117</f>
        <v>new</v>
      </c>
      <c r="E579" s="29" t="str">
        <f>LocalPacking!G117</f>
        <v>Core i9-11900H</v>
      </c>
      <c r="F579" s="29" t="str">
        <f>LocalPacking!D117</f>
        <v>FCST</v>
      </c>
      <c r="G579" s="29">
        <f>LocalPacking!E117</f>
        <v>4450</v>
      </c>
      <c r="H579" s="29" t="str">
        <f>LocalPacking!F117</f>
        <v>K6502HC</v>
      </c>
      <c r="I579" s="29">
        <f>LocalPacking!H117</f>
        <v>0</v>
      </c>
      <c r="J579" s="29">
        <f>LocalPacking!I117</f>
        <v>0</v>
      </c>
      <c r="K579" s="29">
        <f>LocalPacking!J117</f>
        <v>0</v>
      </c>
      <c r="L579" s="29">
        <f>LocalPacking!K117</f>
        <v>0</v>
      </c>
      <c r="M579" s="29">
        <f>LocalPacking!L117</f>
        <v>0</v>
      </c>
      <c r="N579" s="29">
        <f>LocalPacking!M117</f>
        <v>0</v>
      </c>
      <c r="O579" s="29">
        <f>LocalPacking!N117</f>
        <v>250</v>
      </c>
      <c r="P579" s="29">
        <f>LocalPacking!P117</f>
        <v>550</v>
      </c>
      <c r="Q579" s="29">
        <f>LocalPacking!Q117</f>
        <v>700</v>
      </c>
      <c r="R579" s="29">
        <f>LocalPacking!R117</f>
        <v>450</v>
      </c>
      <c r="S579" s="29">
        <f>LocalPacking!S117</f>
        <v>600</v>
      </c>
      <c r="T579" s="29">
        <f>LocalPacking!T117</f>
        <v>450</v>
      </c>
      <c r="U579" s="29">
        <f>LocalPacking!U117</f>
        <v>550</v>
      </c>
      <c r="V579" s="29">
        <f>LocalPacking!V117</f>
        <v>550</v>
      </c>
      <c r="W579" s="29">
        <f>LocalPacking!W117</f>
        <v>0</v>
      </c>
      <c r="X579" s="29">
        <f>LocalPacking!X117</f>
        <v>0</v>
      </c>
      <c r="Y579" s="29">
        <f>LocalPacking!Y117</f>
        <v>0</v>
      </c>
      <c r="Z579" s="29" t="e">
        <f>LocalPacking!#REF!</f>
        <v>#REF!</v>
      </c>
      <c r="AA579" s="29">
        <f>LocalPacking!Z117</f>
        <v>0</v>
      </c>
      <c r="AB579" s="29">
        <f>LocalPacking!AA117</f>
        <v>0</v>
      </c>
    </row>
    <row r="580" spans="3:28">
      <c r="C580" s="98" t="s">
        <v>88</v>
      </c>
      <c r="D580" s="29">
        <f>LocalPacking!C118</f>
        <v>0</v>
      </c>
      <c r="E580" s="29" t="str">
        <f>LocalPacking!G118</f>
        <v>Core i9-11900H</v>
      </c>
      <c r="F580" s="29">
        <f>LocalPacking!D118</f>
        <v>0</v>
      </c>
      <c r="G580" s="29">
        <f>LocalPacking!E118</f>
        <v>0</v>
      </c>
      <c r="H580" s="29" t="str">
        <f>LocalPacking!F118</f>
        <v>K6502HC</v>
      </c>
      <c r="I580" s="29" t="str">
        <f>LocalPacking!H118</f>
        <v>Imported</v>
      </c>
      <c r="J580" s="29" t="str">
        <f>LocalPacking!I118</f>
        <v>Asus</v>
      </c>
      <c r="K580" s="29" t="str">
        <f>LocalPacking!J118</f>
        <v>Giftbox</v>
      </c>
      <c r="L580" s="29">
        <f>LocalPacking!K118</f>
        <v>0</v>
      </c>
      <c r="M580" s="29">
        <f>LocalPacking!L118</f>
        <v>0</v>
      </c>
      <c r="N580" s="29">
        <f>LocalPacking!M118</f>
        <v>0</v>
      </c>
      <c r="O580" s="29">
        <f>LocalPacking!N118</f>
        <v>250</v>
      </c>
      <c r="P580" s="29">
        <f>LocalPacking!P118</f>
        <v>550</v>
      </c>
      <c r="Q580" s="29">
        <f>LocalPacking!Q118</f>
        <v>700</v>
      </c>
      <c r="R580" s="29">
        <f>LocalPacking!R118</f>
        <v>450</v>
      </c>
      <c r="S580" s="29">
        <f>LocalPacking!S118</f>
        <v>600</v>
      </c>
      <c r="T580" s="29">
        <f>LocalPacking!T118</f>
        <v>450</v>
      </c>
      <c r="U580" s="29">
        <f>LocalPacking!U118</f>
        <v>550</v>
      </c>
      <c r="V580" s="29">
        <f>LocalPacking!V118</f>
        <v>550</v>
      </c>
      <c r="W580" s="29">
        <f>LocalPacking!W118</f>
        <v>0</v>
      </c>
      <c r="X580" s="29">
        <f>LocalPacking!X118</f>
        <v>0</v>
      </c>
      <c r="Y580" s="29">
        <f>LocalPacking!Y118</f>
        <v>0</v>
      </c>
      <c r="Z580" s="29" t="e">
        <f>LocalPacking!#REF!</f>
        <v>#REF!</v>
      </c>
      <c r="AA580" s="29">
        <f>LocalPacking!Z118</f>
        <v>4450</v>
      </c>
      <c r="AB580" s="29">
        <f>LocalPacking!AA118</f>
        <v>0</v>
      </c>
    </row>
    <row r="581" spans="3:28">
      <c r="C581" s="98" t="s">
        <v>88</v>
      </c>
      <c r="D581" s="29">
        <f>LocalPacking!C119</f>
        <v>0</v>
      </c>
      <c r="E581" s="29" t="str">
        <f>LocalPacking!G119</f>
        <v>Core i9-11900H</v>
      </c>
      <c r="F581" s="29">
        <f>LocalPacking!D119</f>
        <v>0</v>
      </c>
      <c r="G581" s="29">
        <f>LocalPacking!E119</f>
        <v>0</v>
      </c>
      <c r="H581" s="29" t="str">
        <f>LocalPacking!F119</f>
        <v>K6502HC</v>
      </c>
      <c r="I581" s="29" t="str">
        <f>LocalPacking!H119</f>
        <v>Local</v>
      </c>
      <c r="J581" s="29" t="str">
        <f>LocalPacking!I119</f>
        <v>Asus</v>
      </c>
      <c r="K581" s="29" t="str">
        <f>LocalPacking!J119</f>
        <v>Giftbox</v>
      </c>
      <c r="L581" s="29">
        <f>LocalPacking!K119</f>
        <v>0</v>
      </c>
      <c r="M581" s="29">
        <f>LocalPacking!L119</f>
        <v>0</v>
      </c>
      <c r="N581" s="29">
        <f>LocalPacking!M119</f>
        <v>0</v>
      </c>
      <c r="O581" s="29">
        <f>LocalPacking!N119</f>
        <v>0</v>
      </c>
      <c r="P581" s="29">
        <f>LocalPacking!P119</f>
        <v>0</v>
      </c>
      <c r="Q581" s="29">
        <f>LocalPacking!Q119</f>
        <v>0</v>
      </c>
      <c r="R581" s="29">
        <f>LocalPacking!R119</f>
        <v>0</v>
      </c>
      <c r="S581" s="29">
        <f>LocalPacking!S119</f>
        <v>0</v>
      </c>
      <c r="T581" s="29">
        <f>LocalPacking!T119</f>
        <v>0</v>
      </c>
      <c r="U581" s="29">
        <f>LocalPacking!U119</f>
        <v>0</v>
      </c>
      <c r="V581" s="29">
        <f>LocalPacking!V119</f>
        <v>0</v>
      </c>
      <c r="W581" s="29">
        <f>LocalPacking!W119</f>
        <v>0</v>
      </c>
      <c r="X581" s="29">
        <f>LocalPacking!X119</f>
        <v>0</v>
      </c>
      <c r="Y581" s="29">
        <f>LocalPacking!Y119</f>
        <v>0</v>
      </c>
      <c r="Z581" s="29" t="e">
        <f>LocalPacking!#REF!</f>
        <v>#REF!</v>
      </c>
      <c r="AA581" s="29">
        <f>LocalPacking!Z119</f>
        <v>0</v>
      </c>
      <c r="AB581" s="29">
        <f>LocalPacking!AA119</f>
        <v>0</v>
      </c>
    </row>
    <row r="582" spans="3:28">
      <c r="C582" s="98" t="s">
        <v>88</v>
      </c>
      <c r="D582" s="29" t="str">
        <f>LocalPacking!C120</f>
        <v>new</v>
      </c>
      <c r="E582" s="29" t="str">
        <f>LocalPacking!G120</f>
        <v>Ryzen 7-6800H</v>
      </c>
      <c r="F582" s="29" t="str">
        <f>LocalPacking!D120</f>
        <v>FCST</v>
      </c>
      <c r="G582" s="29">
        <f>LocalPacking!E120</f>
        <v>300</v>
      </c>
      <c r="H582" s="29" t="str">
        <f>LocalPacking!F120</f>
        <v>M6500RC</v>
      </c>
      <c r="I582" s="29">
        <f>LocalPacking!H120</f>
        <v>0</v>
      </c>
      <c r="J582" s="29">
        <f>LocalPacking!I120</f>
        <v>0</v>
      </c>
      <c r="K582" s="29">
        <f>LocalPacking!J120</f>
        <v>0</v>
      </c>
      <c r="L582" s="29">
        <f>LocalPacking!K120</f>
        <v>0</v>
      </c>
      <c r="M582" s="29">
        <f>LocalPacking!L120</f>
        <v>0</v>
      </c>
      <c r="N582" s="29">
        <f>LocalPacking!M120</f>
        <v>0</v>
      </c>
      <c r="O582" s="29">
        <f>LocalPacking!N120</f>
        <v>0</v>
      </c>
      <c r="P582" s="29">
        <f>LocalPacking!P120</f>
        <v>0</v>
      </c>
      <c r="Q582" s="29">
        <f>LocalPacking!Q120</f>
        <v>100</v>
      </c>
      <c r="R582" s="29">
        <f>LocalPacking!R120</f>
        <v>0</v>
      </c>
      <c r="S582" s="29">
        <f>LocalPacking!S120</f>
        <v>0</v>
      </c>
      <c r="T582" s="29">
        <f>LocalPacking!T120</f>
        <v>0</v>
      </c>
      <c r="U582" s="29">
        <f>LocalPacking!U120</f>
        <v>0</v>
      </c>
      <c r="V582" s="29">
        <f>LocalPacking!V120</f>
        <v>0</v>
      </c>
      <c r="W582" s="29">
        <f>LocalPacking!W120</f>
        <v>0</v>
      </c>
      <c r="X582" s="29">
        <f>LocalPacking!X120</f>
        <v>0</v>
      </c>
      <c r="Y582" s="29">
        <f>LocalPacking!Y120</f>
        <v>0</v>
      </c>
      <c r="Z582" s="29" t="e">
        <f>LocalPacking!#REF!</f>
        <v>#REF!</v>
      </c>
      <c r="AA582" s="29">
        <f>LocalPacking!Z120</f>
        <v>0</v>
      </c>
      <c r="AB582" s="29">
        <f>LocalPacking!AA120</f>
        <v>0</v>
      </c>
    </row>
    <row r="583" spans="3:28">
      <c r="C583" s="98" t="s">
        <v>88</v>
      </c>
      <c r="D583" s="29">
        <f>LocalPacking!C121</f>
        <v>0</v>
      </c>
      <c r="E583" s="29" t="str">
        <f>LocalPacking!G121</f>
        <v>Ryzen 7-6800H</v>
      </c>
      <c r="F583" s="29">
        <f>LocalPacking!D121</f>
        <v>0</v>
      </c>
      <c r="G583" s="29">
        <f>LocalPacking!E121</f>
        <v>0</v>
      </c>
      <c r="H583" s="29" t="str">
        <f>LocalPacking!F121</f>
        <v>M6500RC</v>
      </c>
      <c r="I583" s="29" t="str">
        <f>LocalPacking!H121</f>
        <v>Imported</v>
      </c>
      <c r="J583" s="29" t="str">
        <f>LocalPacking!I121</f>
        <v>Asus</v>
      </c>
      <c r="K583" s="29" t="str">
        <f>LocalPacking!J121</f>
        <v>Giftbox</v>
      </c>
      <c r="L583" s="29">
        <f>LocalPacking!K121</f>
        <v>0</v>
      </c>
      <c r="M583" s="29">
        <f>LocalPacking!L121</f>
        <v>0</v>
      </c>
      <c r="N583" s="29">
        <f>LocalPacking!M121</f>
        <v>0</v>
      </c>
      <c r="O583" s="29">
        <f>LocalPacking!N121</f>
        <v>0</v>
      </c>
      <c r="P583" s="29">
        <f>LocalPacking!P121</f>
        <v>0</v>
      </c>
      <c r="Q583" s="29">
        <f>LocalPacking!Q121</f>
        <v>100</v>
      </c>
      <c r="R583" s="29">
        <f>LocalPacking!R121</f>
        <v>0</v>
      </c>
      <c r="S583" s="29">
        <f>LocalPacking!S121</f>
        <v>0</v>
      </c>
      <c r="T583" s="29">
        <f>LocalPacking!T121</f>
        <v>0</v>
      </c>
      <c r="U583" s="29">
        <f>LocalPacking!U121</f>
        <v>0</v>
      </c>
      <c r="V583" s="29">
        <f>LocalPacking!V121</f>
        <v>0</v>
      </c>
      <c r="W583" s="29">
        <f>LocalPacking!W121</f>
        <v>0</v>
      </c>
      <c r="X583" s="29">
        <f>LocalPacking!X121</f>
        <v>0</v>
      </c>
      <c r="Y583" s="29">
        <f>LocalPacking!Y121</f>
        <v>0</v>
      </c>
      <c r="Z583" s="29" t="e">
        <f>LocalPacking!#REF!</f>
        <v>#REF!</v>
      </c>
      <c r="AA583" s="29">
        <f>LocalPacking!Z121</f>
        <v>300</v>
      </c>
      <c r="AB583" s="29">
        <f>LocalPacking!AA121</f>
        <v>0</v>
      </c>
    </row>
    <row r="584" spans="3:28">
      <c r="C584" s="98" t="s">
        <v>88</v>
      </c>
      <c r="D584" s="29">
        <f>LocalPacking!C122</f>
        <v>0</v>
      </c>
      <c r="E584" s="29" t="str">
        <f>LocalPacking!G122</f>
        <v>Ryzen 7-6800H</v>
      </c>
      <c r="F584" s="29">
        <f>LocalPacking!D122</f>
        <v>0</v>
      </c>
      <c r="G584" s="29">
        <f>LocalPacking!E122</f>
        <v>0</v>
      </c>
      <c r="H584" s="29" t="str">
        <f>LocalPacking!F122</f>
        <v>M6500RC</v>
      </c>
      <c r="I584" s="29" t="str">
        <f>LocalPacking!H122</f>
        <v>Local</v>
      </c>
      <c r="J584" s="29" t="str">
        <f>LocalPacking!I122</f>
        <v>Asus</v>
      </c>
      <c r="K584" s="29" t="str">
        <f>LocalPacking!J122</f>
        <v>Giftbox</v>
      </c>
      <c r="L584" s="29">
        <f>LocalPacking!K122</f>
        <v>0</v>
      </c>
      <c r="M584" s="29">
        <f>LocalPacking!L122</f>
        <v>0</v>
      </c>
      <c r="N584" s="29">
        <f>LocalPacking!M122</f>
        <v>0</v>
      </c>
      <c r="O584" s="29">
        <f>LocalPacking!N122</f>
        <v>0</v>
      </c>
      <c r="P584" s="29">
        <f>LocalPacking!P122</f>
        <v>0</v>
      </c>
      <c r="Q584" s="29">
        <f>LocalPacking!Q122</f>
        <v>0</v>
      </c>
      <c r="R584" s="29">
        <f>LocalPacking!R122</f>
        <v>0</v>
      </c>
      <c r="S584" s="29">
        <f>LocalPacking!S122</f>
        <v>0</v>
      </c>
      <c r="T584" s="29">
        <f>LocalPacking!T122</f>
        <v>0</v>
      </c>
      <c r="U584" s="29">
        <f>LocalPacking!U122</f>
        <v>0</v>
      </c>
      <c r="V584" s="29">
        <f>LocalPacking!V122</f>
        <v>0</v>
      </c>
      <c r="W584" s="29">
        <f>LocalPacking!W122</f>
        <v>0</v>
      </c>
      <c r="X584" s="29">
        <f>LocalPacking!X122</f>
        <v>0</v>
      </c>
      <c r="Y584" s="29">
        <f>LocalPacking!Y122</f>
        <v>0</v>
      </c>
      <c r="Z584" s="29" t="e">
        <f>LocalPacking!#REF!</f>
        <v>#REF!</v>
      </c>
      <c r="AA584" s="29">
        <f>LocalPacking!Z122</f>
        <v>0</v>
      </c>
      <c r="AB584" s="29">
        <f>LocalPacking!AA122</f>
        <v>0</v>
      </c>
    </row>
  </sheetData>
  <autoFilter ref="C5:AB584"/>
  <phoneticPr fontId="15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工作表4">
    <tabColor theme="3"/>
  </sheetPr>
  <dimension ref="C2:J51"/>
  <sheetViews>
    <sheetView showGridLines="0" workbookViewId="0">
      <selection activeCell="M15" sqref="M15"/>
    </sheetView>
  </sheetViews>
  <sheetFormatPr defaultRowHeight="14.4"/>
  <cols>
    <col min="4" max="4" width="23" bestFit="1" customWidth="1"/>
    <col min="5" max="5" width="11.109375" style="11" bestFit="1" customWidth="1"/>
    <col min="6" max="6" width="11.109375" style="11" customWidth="1"/>
    <col min="8" max="8" width="23" bestFit="1" customWidth="1"/>
    <col min="9" max="9" width="11.109375" style="11" bestFit="1" customWidth="1"/>
  </cols>
  <sheetData>
    <row r="2" spans="3:9">
      <c r="E2" s="191">
        <f>SUM(E4:E25)</f>
        <v>297830</v>
      </c>
      <c r="I2" s="191">
        <f>SUM(I4:I25)</f>
        <v>297830</v>
      </c>
    </row>
    <row r="3" spans="3:9">
      <c r="C3" s="23" t="s">
        <v>32</v>
      </c>
      <c r="D3" s="23" t="s">
        <v>14</v>
      </c>
      <c r="E3" s="23" t="s">
        <v>24</v>
      </c>
      <c r="G3" s="23" t="s">
        <v>255</v>
      </c>
      <c r="H3" s="23" t="s">
        <v>14</v>
      </c>
      <c r="I3" s="23" t="s">
        <v>24</v>
      </c>
    </row>
    <row r="4" spans="3:9">
      <c r="C4" s="23" t="s">
        <v>32</v>
      </c>
      <c r="D4" s="23" t="s">
        <v>139</v>
      </c>
      <c r="E4" s="29">
        <v>23100</v>
      </c>
      <c r="G4" s="23" t="s">
        <v>255</v>
      </c>
      <c r="H4" s="23" t="s">
        <v>139</v>
      </c>
      <c r="I4" s="23">
        <v>23100</v>
      </c>
    </row>
    <row r="5" spans="3:9" s="11" customFormat="1">
      <c r="C5" s="23" t="s">
        <v>32</v>
      </c>
      <c r="D5" s="276" t="s">
        <v>244</v>
      </c>
      <c r="E5" s="29">
        <v>700</v>
      </c>
      <c r="G5" s="23" t="s">
        <v>32</v>
      </c>
      <c r="H5" s="276" t="s">
        <v>244</v>
      </c>
      <c r="I5" s="277">
        <v>700</v>
      </c>
    </row>
    <row r="6" spans="3:9">
      <c r="C6" s="23" t="s">
        <v>32</v>
      </c>
      <c r="D6" s="23" t="s">
        <v>201</v>
      </c>
      <c r="E6" s="29">
        <v>850</v>
      </c>
      <c r="G6" s="23" t="s">
        <v>255</v>
      </c>
      <c r="H6" s="23" t="s">
        <v>201</v>
      </c>
      <c r="I6" s="23">
        <v>850</v>
      </c>
    </row>
    <row r="7" spans="3:9">
      <c r="C7" s="23" t="s">
        <v>32</v>
      </c>
      <c r="D7" s="23" t="s">
        <v>207</v>
      </c>
      <c r="E7" s="29">
        <v>2200</v>
      </c>
      <c r="G7" s="23" t="s">
        <v>255</v>
      </c>
      <c r="H7" s="23" t="s">
        <v>207</v>
      </c>
      <c r="I7" s="23">
        <v>2200</v>
      </c>
    </row>
    <row r="8" spans="3:9">
      <c r="C8" s="23" t="s">
        <v>32</v>
      </c>
      <c r="D8" s="23" t="s">
        <v>135</v>
      </c>
      <c r="E8" s="29">
        <v>23500</v>
      </c>
      <c r="G8" s="23" t="s">
        <v>255</v>
      </c>
      <c r="H8" s="23" t="s">
        <v>135</v>
      </c>
      <c r="I8" s="23">
        <v>23500</v>
      </c>
    </row>
    <row r="9" spans="3:9">
      <c r="C9" s="23" t="s">
        <v>32</v>
      </c>
      <c r="D9" s="23" t="s">
        <v>137</v>
      </c>
      <c r="E9" s="29">
        <v>3900</v>
      </c>
      <c r="G9" s="23" t="s">
        <v>255</v>
      </c>
      <c r="H9" s="23" t="s">
        <v>137</v>
      </c>
      <c r="I9" s="23">
        <v>3900</v>
      </c>
    </row>
    <row r="10" spans="3:9">
      <c r="C10" s="23" t="s">
        <v>32</v>
      </c>
      <c r="D10" s="23" t="s">
        <v>112</v>
      </c>
      <c r="E10" s="29">
        <v>800</v>
      </c>
      <c r="G10" s="23" t="s">
        <v>255</v>
      </c>
      <c r="H10" s="23" t="s">
        <v>112</v>
      </c>
      <c r="I10" s="23">
        <v>800</v>
      </c>
    </row>
    <row r="11" spans="3:9">
      <c r="C11" s="23" t="s">
        <v>32</v>
      </c>
      <c r="D11" s="23" t="s">
        <v>113</v>
      </c>
      <c r="E11" s="29">
        <v>1800</v>
      </c>
      <c r="G11" s="23" t="s">
        <v>255</v>
      </c>
      <c r="H11" s="23" t="s">
        <v>113</v>
      </c>
      <c r="I11" s="23">
        <v>1800</v>
      </c>
    </row>
    <row r="12" spans="3:9">
      <c r="C12" s="23" t="s">
        <v>32</v>
      </c>
      <c r="D12" s="23" t="s">
        <v>239</v>
      </c>
      <c r="E12" s="29">
        <v>580</v>
      </c>
      <c r="G12" s="23" t="s">
        <v>255</v>
      </c>
      <c r="H12" s="23" t="s">
        <v>239</v>
      </c>
      <c r="I12" s="23">
        <v>580</v>
      </c>
    </row>
    <row r="13" spans="3:9">
      <c r="C13" s="23" t="s">
        <v>32</v>
      </c>
      <c r="D13" s="23" t="s">
        <v>206</v>
      </c>
      <c r="E13" s="29">
        <v>9000</v>
      </c>
      <c r="G13" s="23" t="s">
        <v>255</v>
      </c>
      <c r="H13" s="23" t="s">
        <v>206</v>
      </c>
      <c r="I13" s="23">
        <v>9000</v>
      </c>
    </row>
    <row r="14" spans="3:9">
      <c r="C14" s="23" t="s">
        <v>32</v>
      </c>
      <c r="D14" s="23" t="s">
        <v>205</v>
      </c>
      <c r="E14" s="29">
        <v>1000</v>
      </c>
      <c r="G14" s="23" t="s">
        <v>255</v>
      </c>
      <c r="H14" s="23" t="s">
        <v>205</v>
      </c>
      <c r="I14" s="23">
        <v>1000</v>
      </c>
    </row>
    <row r="15" spans="3:9">
      <c r="C15" s="23" t="s">
        <v>32</v>
      </c>
      <c r="D15" s="23" t="s">
        <v>120</v>
      </c>
      <c r="E15" s="29">
        <v>3500</v>
      </c>
      <c r="G15" s="23" t="s">
        <v>255</v>
      </c>
      <c r="H15" s="23" t="s">
        <v>120</v>
      </c>
      <c r="I15" s="23">
        <v>3500</v>
      </c>
    </row>
    <row r="16" spans="3:9">
      <c r="C16" s="23" t="s">
        <v>32</v>
      </c>
      <c r="D16" s="23" t="s">
        <v>200</v>
      </c>
      <c r="E16" s="29">
        <v>11900</v>
      </c>
      <c r="G16" s="23" t="s">
        <v>255</v>
      </c>
      <c r="H16" s="23" t="s">
        <v>200</v>
      </c>
      <c r="I16" s="23">
        <v>11900</v>
      </c>
    </row>
    <row r="17" spans="3:10">
      <c r="C17" s="23" t="s">
        <v>32</v>
      </c>
      <c r="D17" s="23" t="s">
        <v>107</v>
      </c>
      <c r="E17" s="29">
        <v>16100</v>
      </c>
      <c r="G17" s="23" t="s">
        <v>255</v>
      </c>
      <c r="H17" s="23" t="s">
        <v>107</v>
      </c>
      <c r="I17" s="23">
        <v>16100</v>
      </c>
    </row>
    <row r="18" spans="3:10">
      <c r="C18" s="23" t="s">
        <v>32</v>
      </c>
      <c r="D18" s="23" t="s">
        <v>110</v>
      </c>
      <c r="E18" s="29">
        <v>22100</v>
      </c>
      <c r="G18" s="23" t="s">
        <v>255</v>
      </c>
      <c r="H18" s="23" t="s">
        <v>110</v>
      </c>
      <c r="I18" s="23">
        <v>22100</v>
      </c>
    </row>
    <row r="19" spans="3:10">
      <c r="C19" s="23" t="s">
        <v>32</v>
      </c>
      <c r="D19" s="276" t="s">
        <v>243</v>
      </c>
      <c r="E19" s="29">
        <v>3500</v>
      </c>
      <c r="G19" s="23" t="s">
        <v>32</v>
      </c>
      <c r="H19" s="23" t="s">
        <v>243</v>
      </c>
      <c r="I19" s="277">
        <v>3500</v>
      </c>
    </row>
    <row r="20" spans="3:10">
      <c r="C20" s="23" t="s">
        <v>32</v>
      </c>
      <c r="D20" s="23" t="s">
        <v>134</v>
      </c>
      <c r="E20" s="29">
        <v>69650</v>
      </c>
      <c r="G20" s="23" t="s">
        <v>255</v>
      </c>
      <c r="H20" s="23" t="s">
        <v>134</v>
      </c>
      <c r="I20" s="23">
        <v>69650</v>
      </c>
    </row>
    <row r="21" spans="3:10">
      <c r="C21" s="23" t="s">
        <v>32</v>
      </c>
      <c r="D21" s="23" t="s">
        <v>252</v>
      </c>
      <c r="E21" s="29">
        <v>3050</v>
      </c>
      <c r="G21" s="23" t="s">
        <v>255</v>
      </c>
      <c r="H21" s="23" t="s">
        <v>252</v>
      </c>
      <c r="I21" s="23">
        <v>3050</v>
      </c>
    </row>
    <row r="22" spans="3:10">
      <c r="C22" s="23" t="s">
        <v>32</v>
      </c>
      <c r="D22" s="23" t="s">
        <v>165</v>
      </c>
      <c r="E22" s="29">
        <v>51400</v>
      </c>
      <c r="G22" s="23" t="s">
        <v>255</v>
      </c>
      <c r="H22" s="23" t="s">
        <v>165</v>
      </c>
      <c r="I22" s="23">
        <v>51400</v>
      </c>
    </row>
    <row r="23" spans="3:10">
      <c r="C23" s="23" t="s">
        <v>32</v>
      </c>
      <c r="D23" s="23" t="s">
        <v>253</v>
      </c>
      <c r="E23" s="29">
        <v>7400</v>
      </c>
      <c r="G23" s="23" t="s">
        <v>255</v>
      </c>
      <c r="H23" s="23" t="s">
        <v>253</v>
      </c>
      <c r="I23" s="23">
        <v>7400</v>
      </c>
    </row>
    <row r="24" spans="3:10">
      <c r="C24" s="23" t="s">
        <v>32</v>
      </c>
      <c r="D24" s="23" t="s">
        <v>254</v>
      </c>
      <c r="E24" s="29">
        <v>40000</v>
      </c>
      <c r="G24" s="23" t="s">
        <v>255</v>
      </c>
      <c r="H24" s="23" t="s">
        <v>254</v>
      </c>
      <c r="I24" s="23">
        <v>40000</v>
      </c>
    </row>
    <row r="25" spans="3:10">
      <c r="C25" s="23" t="s">
        <v>32</v>
      </c>
      <c r="D25" s="23" t="s">
        <v>106</v>
      </c>
      <c r="E25" s="29">
        <v>1800</v>
      </c>
      <c r="G25" s="23" t="s">
        <v>255</v>
      </c>
      <c r="H25" s="23" t="s">
        <v>106</v>
      </c>
      <c r="I25" s="23">
        <v>1800</v>
      </c>
    </row>
    <row r="26" spans="3:10">
      <c r="G26" s="11"/>
      <c r="H26" s="11"/>
      <c r="J26" s="11"/>
    </row>
    <row r="27" spans="3:10">
      <c r="G27" s="11"/>
      <c r="H27" s="11"/>
      <c r="J27" s="11"/>
    </row>
    <row r="28" spans="3:10">
      <c r="G28" s="11"/>
      <c r="H28" s="11"/>
      <c r="J28" s="11"/>
    </row>
    <row r="31" spans="3:10">
      <c r="C31" s="11"/>
      <c r="D31" s="11"/>
    </row>
    <row r="32" spans="3:10">
      <c r="C32" s="11"/>
      <c r="D32" s="11"/>
      <c r="G32" s="11"/>
    </row>
    <row r="33" spans="3:7">
      <c r="C33" s="11"/>
      <c r="D33" s="11"/>
      <c r="G33" s="11"/>
    </row>
    <row r="34" spans="3:7">
      <c r="C34" s="11"/>
      <c r="D34" s="11"/>
      <c r="G34" s="11"/>
    </row>
    <row r="35" spans="3:7">
      <c r="C35" s="11"/>
      <c r="D35" s="11"/>
      <c r="G35" s="11"/>
    </row>
    <row r="36" spans="3:7">
      <c r="C36" s="11"/>
      <c r="D36" s="11"/>
      <c r="G36" s="11"/>
    </row>
    <row r="37" spans="3:7">
      <c r="C37" s="11"/>
      <c r="D37" s="11"/>
      <c r="G37" s="11"/>
    </row>
    <row r="38" spans="3:7">
      <c r="C38" s="11"/>
      <c r="D38" s="11"/>
      <c r="G38" s="11"/>
    </row>
    <row r="39" spans="3:7">
      <c r="C39" s="11"/>
      <c r="D39" s="11"/>
      <c r="G39" s="11"/>
    </row>
    <row r="40" spans="3:7">
      <c r="C40" s="11"/>
      <c r="D40" s="11"/>
      <c r="G40" s="11"/>
    </row>
    <row r="41" spans="3:7">
      <c r="C41" s="11"/>
      <c r="D41" s="11"/>
      <c r="G41" s="11"/>
    </row>
    <row r="42" spans="3:7">
      <c r="C42" s="11"/>
      <c r="D42" s="11"/>
      <c r="G42" s="11"/>
    </row>
    <row r="43" spans="3:7">
      <c r="C43" s="11"/>
      <c r="D43" s="11"/>
      <c r="G43" s="11"/>
    </row>
    <row r="44" spans="3:7">
      <c r="C44" s="11"/>
      <c r="D44" s="11"/>
      <c r="G44" s="11"/>
    </row>
    <row r="45" spans="3:7">
      <c r="C45" s="11"/>
      <c r="D45" s="11"/>
      <c r="G45" s="11"/>
    </row>
    <row r="46" spans="3:7">
      <c r="C46" s="11"/>
      <c r="D46" s="11"/>
      <c r="G46" s="11"/>
    </row>
    <row r="47" spans="3:7">
      <c r="C47" s="11"/>
      <c r="D47" s="11"/>
      <c r="G47" s="11"/>
    </row>
    <row r="48" spans="3:7">
      <c r="C48" s="11"/>
      <c r="D48" s="11"/>
      <c r="G48" s="11"/>
    </row>
    <row r="49" spans="3:7">
      <c r="C49" s="11"/>
      <c r="D49" s="11"/>
      <c r="G49" s="11"/>
    </row>
    <row r="50" spans="3:7">
      <c r="C50" s="11"/>
      <c r="D50" s="11"/>
      <c r="G50" s="11"/>
    </row>
    <row r="51" spans="3:7">
      <c r="C51" s="11"/>
      <c r="D51" s="11"/>
      <c r="G51" s="11"/>
    </row>
  </sheetData>
  <phoneticPr fontId="7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FB46E0BEF0B4A04D844A484E44856001" ma:contentTypeVersion="2" ma:contentTypeDescription="建立新的文件。" ma:contentTypeScope="" ma:versionID="05057f72a1503044d29e1223af5f997f">
  <xsd:schema xmlns:xsd="http://www.w3.org/2001/XMLSchema" xmlns:xs="http://www.w3.org/2001/XMLSchema" xmlns:p="http://schemas.microsoft.com/office/2006/metadata/properties" xmlns:ns3="2e64aa13-f929-414f-8b4a-4c6b5a38a760" targetNamespace="http://schemas.microsoft.com/office/2006/metadata/properties" ma:root="true" ma:fieldsID="0ceb64b212049ad2d225d436d49c9d9c" ns3:_="">
    <xsd:import namespace="2e64aa13-f929-414f-8b4a-4c6b5a38a76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64aa13-f929-414f-8b4a-4c6b5a38a76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384FA6-5E85-4D87-A263-C2D604642FBE}">
  <ds:schemaRefs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2e64aa13-f929-414f-8b4a-4c6b5a38a760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FC5734D-7E0F-411E-9638-246E918F7B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BEB9E4-1A4F-41ED-918D-3DE42E9681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e64aa13-f929-414f-8b4a-4c6b5a38a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Summary</vt:lpstr>
      <vt:lpstr>MB</vt:lpstr>
      <vt:lpstr>Adaptor</vt:lpstr>
      <vt:lpstr>MModule+onboard_volatile</vt:lpstr>
      <vt:lpstr>SSD_eMMC_non volatile</vt:lpstr>
      <vt:lpstr>HDD</vt:lpstr>
      <vt:lpstr>LocalPacking</vt:lpstr>
      <vt:lpstr>FCST</vt:lpstr>
      <vt:lpstr>vba</vt:lpstr>
      <vt:lpstr>Label rev</vt:lpstr>
      <vt:lpstr>FCST analysis</vt:lpstr>
      <vt:lpstr>FCST data</vt:lpstr>
      <vt:lpstr>all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jeiselaine.kozan</dc:creator>
  <cp:lastModifiedBy>julialorencini</cp:lastModifiedBy>
  <dcterms:created xsi:type="dcterms:W3CDTF">2011-07-28T14:13:18Z</dcterms:created>
  <dcterms:modified xsi:type="dcterms:W3CDTF">2023-01-20T13:55:08Z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0x010100FB46E0BEF0B4A04D844A484E44856001</vt:lpwstr>
  </property>
</Properties>
</file>